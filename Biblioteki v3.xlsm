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Ka\Dysk Google\Private\Piotr\Kursy IT\PKA_Projekty\Projekt mailing\"/>
    </mc:Choice>
  </mc:AlternateContent>
  <xr:revisionPtr revIDLastSave="0" documentId="13_ncr:1_{A5D3A340-8005-48E9-89C6-3E99A2504C18}" xr6:coauthVersionLast="46" xr6:coauthVersionMax="46" xr10:uidLastSave="{00000000-0000-0000-0000-000000000000}"/>
  <bookViews>
    <workbookView xWindow="-120" yWindow="-120" windowWidth="29040" windowHeight="15840" activeTab="2" xr2:uid="{E4DEE2E8-14F3-4A05-90D5-26812842A383}"/>
  </bookViews>
  <sheets>
    <sheet name="Biblioteki" sheetId="1" r:id="rId1"/>
    <sheet name="Wpis" sheetId="2" r:id="rId2"/>
    <sheet name="DKK" sheetId="3" r:id="rId3"/>
    <sheet name="temp" sheetId="4" r:id="rId4"/>
    <sheet name="Koordynatorzy" sheetId="5" r:id="rId5"/>
  </sheets>
  <functionGroups builtInGroupCount="19"/>
  <definedNames>
    <definedName name="_xlnm._FilterDatabase" localSheetId="0" hidden="1">Biblioteki!$A$1:$D$1</definedName>
    <definedName name="_xlnm._FilterDatabase" localSheetId="2" hidden="1">DKK!$A$1:$T$1694</definedName>
    <definedName name="_xlnm._FilterDatabase" localSheetId="4" hidden="1">Koordynatorzy!$A$1:$I$720</definedName>
    <definedName name="_xlnm._FilterDatabase" localSheetId="3" hidden="1">temp!$C$1:$J$613</definedName>
    <definedName name="LibraCount">DKK!$U$1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480" i="3" l="1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1" i="3"/>
  <c r="U1482" i="3"/>
  <c r="U1483" i="3"/>
  <c r="U1484" i="3"/>
  <c r="U1485" i="3"/>
  <c r="U1486" i="3"/>
  <c r="U1487" i="3"/>
  <c r="U1488" i="3"/>
  <c r="U148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52" i="3"/>
  <c r="N1307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448" i="3"/>
  <c r="N371" i="3" l="1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C968" i="4" l="1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964" i="4"/>
  <c r="C965" i="4"/>
  <c r="C966" i="4"/>
  <c r="C967" i="4"/>
  <c r="C203" i="4"/>
  <c r="C201" i="4"/>
  <c r="C195" i="4"/>
  <c r="C257" i="4" l="1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30" i="4"/>
  <c r="E30" i="4" s="1"/>
  <c r="I30" i="4" s="1"/>
  <c r="C31" i="4"/>
  <c r="C32" i="4"/>
  <c r="C33" i="4"/>
  <c r="E33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C42" i="4"/>
  <c r="E42" i="4" s="1"/>
  <c r="C44" i="4"/>
  <c r="E44" i="4" s="1"/>
  <c r="C45" i="4"/>
  <c r="E45" i="4" s="1"/>
  <c r="C56" i="4"/>
  <c r="E56" i="4" s="1"/>
  <c r="C57" i="4"/>
  <c r="E57" i="4" s="1"/>
  <c r="C62" i="4"/>
  <c r="B62" i="4" s="1"/>
  <c r="C63" i="4"/>
  <c r="E63" i="4" s="1"/>
  <c r="C64" i="4"/>
  <c r="C67" i="4"/>
  <c r="E67" i="4" s="1"/>
  <c r="C69" i="4"/>
  <c r="C70" i="4"/>
  <c r="E70" i="4" s="1"/>
  <c r="C71" i="4"/>
  <c r="E71" i="4" s="1"/>
  <c r="C72" i="4"/>
  <c r="C73" i="4"/>
  <c r="E73" i="4" s="1"/>
  <c r="C74" i="4"/>
  <c r="E74" i="4" s="1"/>
  <c r="C75" i="4"/>
  <c r="E75" i="4" s="1"/>
  <c r="C76" i="4"/>
  <c r="E76" i="4" s="1"/>
  <c r="C77" i="4"/>
  <c r="C82" i="4"/>
  <c r="C87" i="4"/>
  <c r="C88" i="4"/>
  <c r="E88" i="4" s="1"/>
  <c r="C89" i="4"/>
  <c r="C91" i="4"/>
  <c r="E91" i="4" s="1"/>
  <c r="C92" i="4"/>
  <c r="C93" i="4"/>
  <c r="E93" i="4" s="1"/>
  <c r="C94" i="4"/>
  <c r="C95" i="4"/>
  <c r="E95" i="4" s="1"/>
  <c r="C96" i="4"/>
  <c r="C104" i="4"/>
  <c r="E104" i="4" s="1"/>
  <c r="C105" i="4"/>
  <c r="C107" i="4"/>
  <c r="C109" i="4"/>
  <c r="E109" i="4" s="1"/>
  <c r="C110" i="4"/>
  <c r="C111" i="4"/>
  <c r="E111" i="4" s="1"/>
  <c r="C112" i="4"/>
  <c r="C113" i="4"/>
  <c r="E113" i="4" s="1"/>
  <c r="I113" i="4" s="1"/>
  <c r="C116" i="4"/>
  <c r="C117" i="4"/>
  <c r="C118" i="4"/>
  <c r="C121" i="4"/>
  <c r="D121" i="4" s="1"/>
  <c r="C122" i="4"/>
  <c r="C123" i="4"/>
  <c r="E123" i="4" s="1"/>
  <c r="C124" i="4"/>
  <c r="E124" i="4" s="1"/>
  <c r="C125" i="4"/>
  <c r="C126" i="4"/>
  <c r="D126" i="4" s="1"/>
  <c r="C127" i="4"/>
  <c r="C131" i="4"/>
  <c r="D131" i="4" s="1"/>
  <c r="C132" i="4"/>
  <c r="C139" i="4"/>
  <c r="D139" i="4" s="1"/>
  <c r="C140" i="4"/>
  <c r="C141" i="4"/>
  <c r="C147" i="4"/>
  <c r="C153" i="4"/>
  <c r="C154" i="4"/>
  <c r="C158" i="4"/>
  <c r="C159" i="4"/>
  <c r="D159" i="4" s="1"/>
  <c r="C167" i="4"/>
  <c r="D167" i="4" s="1"/>
  <c r="C168" i="4"/>
  <c r="E168" i="4" s="1"/>
  <c r="C172" i="4"/>
  <c r="C174" i="4"/>
  <c r="C175" i="4"/>
  <c r="C176" i="4"/>
  <c r="C181" i="4"/>
  <c r="C187" i="4"/>
  <c r="C188" i="4"/>
  <c r="E188" i="4" s="1"/>
  <c r="C193" i="4"/>
  <c r="C194" i="4"/>
  <c r="C196" i="4"/>
  <c r="D196" i="4" s="1"/>
  <c r="C197" i="4"/>
  <c r="E197" i="4" s="1"/>
  <c r="C198" i="4"/>
  <c r="D198" i="4" s="1"/>
  <c r="C199" i="4"/>
  <c r="D199" i="4" s="1"/>
  <c r="C200" i="4"/>
  <c r="E200" i="4" s="1"/>
  <c r="C202" i="4"/>
  <c r="C204" i="4"/>
  <c r="C205" i="4"/>
  <c r="C206" i="4"/>
  <c r="C207" i="4"/>
  <c r="C208" i="4"/>
  <c r="C209" i="4"/>
  <c r="C210" i="4"/>
  <c r="C211" i="4"/>
  <c r="C213" i="4"/>
  <c r="C214" i="4"/>
  <c r="C215" i="4"/>
  <c r="C216" i="4"/>
  <c r="C217" i="4"/>
  <c r="C218" i="4"/>
  <c r="C219" i="4"/>
  <c r="C220" i="4"/>
  <c r="C221" i="4"/>
  <c r="C22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D298" i="4" s="1"/>
  <c r="C300" i="4"/>
  <c r="C301" i="4"/>
  <c r="C302" i="4"/>
  <c r="E302" i="4" s="1"/>
  <c r="I302" i="4" s="1"/>
  <c r="C303" i="4"/>
  <c r="E303" i="4" s="1"/>
  <c r="F303" i="4" s="1"/>
  <c r="C304" i="4"/>
  <c r="D304" i="4" s="1"/>
  <c r="C305" i="4"/>
  <c r="E305" i="4" s="1"/>
  <c r="C306" i="4"/>
  <c r="D306" i="4" s="1"/>
  <c r="C307" i="4"/>
  <c r="D307" i="4" s="1"/>
  <c r="C308" i="4"/>
  <c r="C309" i="4"/>
  <c r="C310" i="4"/>
  <c r="C311" i="4"/>
  <c r="C312" i="4"/>
  <c r="D312" i="4" s="1"/>
  <c r="C313" i="4"/>
  <c r="C314" i="4"/>
  <c r="D314" i="4" s="1"/>
  <c r="C315" i="4"/>
  <c r="D315" i="4" s="1"/>
  <c r="C316" i="4"/>
  <c r="C317" i="4"/>
  <c r="C318" i="4"/>
  <c r="D318" i="4" s="1"/>
  <c r="C319" i="4"/>
  <c r="D319" i="4" s="1"/>
  <c r="C320" i="4"/>
  <c r="C321" i="4"/>
  <c r="D321" i="4" s="1"/>
  <c r="C322" i="4"/>
  <c r="D322" i="4" s="1"/>
  <c r="C323" i="4"/>
  <c r="D323" i="4" s="1"/>
  <c r="C324" i="4"/>
  <c r="E324" i="4" s="1"/>
  <c r="C325" i="4"/>
  <c r="C326" i="4"/>
  <c r="C328" i="4"/>
  <c r="C329" i="4"/>
  <c r="E329" i="4" s="1"/>
  <c r="C330" i="4"/>
  <c r="D330" i="4" s="1"/>
  <c r="C331" i="4"/>
  <c r="C332" i="4"/>
  <c r="D332" i="4" s="1"/>
  <c r="C333" i="4"/>
  <c r="E333" i="4" s="1"/>
  <c r="C334" i="4"/>
  <c r="C335" i="4"/>
  <c r="C336" i="4"/>
  <c r="C337" i="4"/>
  <c r="D337" i="4" s="1"/>
  <c r="C338" i="4"/>
  <c r="D338" i="4" s="1"/>
  <c r="C339" i="4"/>
  <c r="D339" i="4" s="1"/>
  <c r="C340" i="4"/>
  <c r="C341" i="4"/>
  <c r="D341" i="4" s="1"/>
  <c r="C342" i="4"/>
  <c r="C343" i="4"/>
  <c r="C344" i="4"/>
  <c r="E344" i="4" s="1"/>
  <c r="C345" i="4"/>
  <c r="D345" i="4" s="1"/>
  <c r="C346" i="4"/>
  <c r="D346" i="4" s="1"/>
  <c r="C347" i="4"/>
  <c r="C348" i="4"/>
  <c r="E348" i="4" s="1"/>
  <c r="C349" i="4"/>
  <c r="C350" i="4"/>
  <c r="C351" i="4"/>
  <c r="D351" i="4" s="1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D367" i="4" s="1"/>
  <c r="C368" i="4"/>
  <c r="C369" i="4"/>
  <c r="D369" i="4" s="1"/>
  <c r="C370" i="4"/>
  <c r="C371" i="4"/>
  <c r="C372" i="4"/>
  <c r="E372" i="4" s="1"/>
  <c r="C374" i="4"/>
  <c r="C375" i="4"/>
  <c r="C376" i="4"/>
  <c r="C377" i="4"/>
  <c r="C378" i="4"/>
  <c r="C379" i="4"/>
  <c r="C380" i="4"/>
  <c r="C381" i="4"/>
  <c r="C382" i="4"/>
  <c r="C383" i="4"/>
  <c r="E383" i="4" s="1"/>
  <c r="C10" i="4"/>
  <c r="C11" i="4"/>
  <c r="C12" i="4"/>
  <c r="C21" i="4"/>
  <c r="C22" i="4"/>
  <c r="C23" i="4"/>
  <c r="C24" i="4"/>
  <c r="B24" i="4" s="1"/>
  <c r="C25" i="4"/>
  <c r="C27" i="4"/>
  <c r="C28" i="4"/>
  <c r="C29" i="4"/>
  <c r="C2" i="4"/>
  <c r="B2" i="4" s="1"/>
  <c r="B3" i="4" s="1"/>
  <c r="B4" i="4" s="1"/>
  <c r="C5" i="4"/>
  <c r="C9" i="4"/>
  <c r="U1" i="3"/>
  <c r="B25" i="4" l="1"/>
  <c r="B26" i="4" s="1"/>
  <c r="B27" i="4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3" i="4"/>
  <c r="D176" i="4"/>
  <c r="B5" i="4"/>
  <c r="B6" i="4" s="1"/>
  <c r="B7" i="4" s="1"/>
  <c r="B8" i="4" s="1"/>
  <c r="B9" i="4" s="1"/>
  <c r="D122" i="4"/>
  <c r="E116" i="4"/>
  <c r="I116" i="4" s="1"/>
  <c r="B116" i="4"/>
  <c r="B117" i="4" s="1"/>
  <c r="B118" i="4" s="1"/>
  <c r="B119" i="4" s="1"/>
  <c r="B120" i="4" s="1"/>
  <c r="B121" i="4" s="1"/>
  <c r="B122" i="4" s="1"/>
  <c r="B123" i="4" s="1"/>
  <c r="B124" i="4" s="1"/>
  <c r="D110" i="4"/>
  <c r="B110" i="4"/>
  <c r="B111" i="4" s="1"/>
  <c r="B112" i="4" s="1"/>
  <c r="B113" i="4" s="1"/>
  <c r="B114" i="4" s="1"/>
  <c r="B115" i="4" s="1"/>
  <c r="E132" i="4"/>
  <c r="F132" i="4" s="1"/>
  <c r="D125" i="4"/>
  <c r="B125" i="4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5" i="4" s="1"/>
  <c r="B146" i="4" s="1"/>
  <c r="B147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E64" i="4"/>
  <c r="H64" i="4" s="1"/>
  <c r="B64" i="4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E118" i="4"/>
  <c r="I118" i="4" s="1"/>
  <c r="E82" i="4"/>
  <c r="H82" i="4" s="1"/>
  <c r="E10" i="4"/>
  <c r="F10" i="4" s="1"/>
  <c r="B10" i="4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D127" i="4"/>
  <c r="D342" i="4"/>
  <c r="D334" i="4"/>
  <c r="E175" i="4"/>
  <c r="G175" i="4" s="1"/>
  <c r="D153" i="4"/>
  <c r="D376" i="4"/>
  <c r="D316" i="4"/>
  <c r="D308" i="4"/>
  <c r="D174" i="4"/>
  <c r="D147" i="4"/>
  <c r="E377" i="4"/>
  <c r="E368" i="4"/>
  <c r="F368" i="4" s="1"/>
  <c r="E194" i="4"/>
  <c r="H194" i="4" s="1"/>
  <c r="D172" i="4"/>
  <c r="E41" i="4"/>
  <c r="F41" i="4" s="1"/>
  <c r="E72" i="4"/>
  <c r="I72" i="4" s="1"/>
  <c r="E62" i="4"/>
  <c r="F62" i="4" s="1"/>
  <c r="D193" i="4"/>
  <c r="E69" i="4"/>
  <c r="I69" i="4" s="1"/>
  <c r="D363" i="4"/>
  <c r="D379" i="4"/>
  <c r="E313" i="4"/>
  <c r="G313" i="4" s="1"/>
  <c r="E202" i="4"/>
  <c r="F202" i="4" s="1"/>
  <c r="E336" i="4"/>
  <c r="I336" i="4" s="1"/>
  <c r="E320" i="4"/>
  <c r="F320" i="4" s="1"/>
  <c r="E187" i="4"/>
  <c r="H187" i="4" s="1"/>
  <c r="D335" i="4"/>
  <c r="D378" i="4"/>
  <c r="D371" i="4"/>
  <c r="D359" i="4"/>
  <c r="E317" i="4"/>
  <c r="F317" i="4" s="1"/>
  <c r="D374" i="4"/>
  <c r="E21" i="4"/>
  <c r="F21" i="4" s="1"/>
  <c r="D370" i="4"/>
  <c r="E181" i="4"/>
  <c r="H181" i="4" s="1"/>
  <c r="D325" i="4"/>
  <c r="D310" i="4"/>
  <c r="E117" i="4"/>
  <c r="G117" i="4" s="1"/>
  <c r="E107" i="4"/>
  <c r="H107" i="4" s="1"/>
  <c r="E32" i="4"/>
  <c r="F32" i="4" s="1"/>
  <c r="E358" i="4"/>
  <c r="F358" i="4" s="1"/>
  <c r="E309" i="4"/>
  <c r="H309" i="4" s="1"/>
  <c r="D301" i="4"/>
  <c r="E22" i="4"/>
  <c r="F22" i="4" s="1"/>
  <c r="D355" i="4"/>
  <c r="D347" i="4"/>
  <c r="D343" i="4"/>
  <c r="D326" i="4"/>
  <c r="E381" i="4"/>
  <c r="F381" i="4" s="1"/>
  <c r="E364" i="4"/>
  <c r="F364" i="4" s="1"/>
  <c r="E360" i="4"/>
  <c r="H360" i="4" s="1"/>
  <c r="D357" i="4"/>
  <c r="D353" i="4"/>
  <c r="D350" i="4"/>
  <c r="D331" i="4"/>
  <c r="D311" i="4"/>
  <c r="D380" i="4"/>
  <c r="E356" i="4"/>
  <c r="F356" i="4" s="1"/>
  <c r="E352" i="4"/>
  <c r="G352" i="4" s="1"/>
  <c r="D349" i="4"/>
  <c r="D383" i="4"/>
  <c r="D375" i="4"/>
  <c r="D366" i="4"/>
  <c r="D362" i="4"/>
  <c r="E340" i="4"/>
  <c r="G340" i="4" s="1"/>
  <c r="D382" i="4"/>
  <c r="D365" i="4"/>
  <c r="D361" i="4"/>
  <c r="D358" i="4"/>
  <c r="D354" i="4"/>
  <c r="E350" i="4"/>
  <c r="G350" i="4" s="1"/>
  <c r="D328" i="4"/>
  <c r="E326" i="4"/>
  <c r="F326" i="4" s="1"/>
  <c r="E322" i="4"/>
  <c r="H322" i="4" s="1"/>
  <c r="E375" i="4"/>
  <c r="G375" i="4" s="1"/>
  <c r="E342" i="4"/>
  <c r="F342" i="4" s="1"/>
  <c r="E311" i="4"/>
  <c r="F311" i="4" s="1"/>
  <c r="E366" i="4"/>
  <c r="F366" i="4" s="1"/>
  <c r="E335" i="4"/>
  <c r="F335" i="4" s="1"/>
  <c r="E307" i="4"/>
  <c r="H307" i="4" s="1"/>
  <c r="E370" i="4"/>
  <c r="G370" i="4" s="1"/>
  <c r="E354" i="4"/>
  <c r="F354" i="4" s="1"/>
  <c r="E338" i="4"/>
  <c r="H338" i="4" s="1"/>
  <c r="E318" i="4"/>
  <c r="F318" i="4" s="1"/>
  <c r="I303" i="4"/>
  <c r="E379" i="4"/>
  <c r="G379" i="4" s="1"/>
  <c r="E362" i="4"/>
  <c r="F362" i="4" s="1"/>
  <c r="E346" i="4"/>
  <c r="H346" i="4" s="1"/>
  <c r="E331" i="4"/>
  <c r="F331" i="4" s="1"/>
  <c r="E315" i="4"/>
  <c r="I315" i="4" s="1"/>
  <c r="D381" i="4"/>
  <c r="D377" i="4"/>
  <c r="D372" i="4"/>
  <c r="D368" i="4"/>
  <c r="D364" i="4"/>
  <c r="D360" i="4"/>
  <c r="D356" i="4"/>
  <c r="D352" i="4"/>
  <c r="D348" i="4"/>
  <c r="D344" i="4"/>
  <c r="D340" i="4"/>
  <c r="D336" i="4"/>
  <c r="D333" i="4"/>
  <c r="D329" i="4"/>
  <c r="D324" i="4"/>
  <c r="D320" i="4"/>
  <c r="D317" i="4"/>
  <c r="D313" i="4"/>
  <c r="D309" i="4"/>
  <c r="D305" i="4"/>
  <c r="E382" i="4"/>
  <c r="F382" i="4" s="1"/>
  <c r="E378" i="4"/>
  <c r="H378" i="4" s="1"/>
  <c r="E374" i="4"/>
  <c r="H374" i="4" s="1"/>
  <c r="E369" i="4"/>
  <c r="H369" i="4" s="1"/>
  <c r="E365" i="4"/>
  <c r="H365" i="4" s="1"/>
  <c r="E361" i="4"/>
  <c r="I361" i="4" s="1"/>
  <c r="E357" i="4"/>
  <c r="F357" i="4" s="1"/>
  <c r="E353" i="4"/>
  <c r="H353" i="4" s="1"/>
  <c r="E349" i="4"/>
  <c r="F349" i="4" s="1"/>
  <c r="E345" i="4"/>
  <c r="G345" i="4" s="1"/>
  <c r="E341" i="4"/>
  <c r="F341" i="4" s="1"/>
  <c r="E337" i="4"/>
  <c r="F337" i="4" s="1"/>
  <c r="E334" i="4"/>
  <c r="H334" i="4" s="1"/>
  <c r="E330" i="4"/>
  <c r="G330" i="4" s="1"/>
  <c r="E325" i="4"/>
  <c r="F325" i="4" s="1"/>
  <c r="E321" i="4"/>
  <c r="F321" i="4" s="1"/>
  <c r="E314" i="4"/>
  <c r="F314" i="4" s="1"/>
  <c r="E310" i="4"/>
  <c r="F310" i="4" s="1"/>
  <c r="E306" i="4"/>
  <c r="F306" i="4" s="1"/>
  <c r="D111" i="4"/>
  <c r="G302" i="4"/>
  <c r="E380" i="4"/>
  <c r="F380" i="4" s="1"/>
  <c r="E376" i="4"/>
  <c r="G376" i="4" s="1"/>
  <c r="E371" i="4"/>
  <c r="F371" i="4" s="1"/>
  <c r="E367" i="4"/>
  <c r="H367" i="4" s="1"/>
  <c r="E363" i="4"/>
  <c r="F363" i="4" s="1"/>
  <c r="E359" i="4"/>
  <c r="F359" i="4" s="1"/>
  <c r="E355" i="4"/>
  <c r="G355" i="4" s="1"/>
  <c r="E351" i="4"/>
  <c r="F351" i="4" s="1"/>
  <c r="E347" i="4"/>
  <c r="F347" i="4" s="1"/>
  <c r="E343" i="4"/>
  <c r="H343" i="4" s="1"/>
  <c r="E339" i="4"/>
  <c r="G339" i="4" s="1"/>
  <c r="E332" i="4"/>
  <c r="I332" i="4" s="1"/>
  <c r="E328" i="4"/>
  <c r="H328" i="4" s="1"/>
  <c r="E323" i="4"/>
  <c r="F323" i="4" s="1"/>
  <c r="E319" i="4"/>
  <c r="G319" i="4" s="1"/>
  <c r="E316" i="4"/>
  <c r="H316" i="4" s="1"/>
  <c r="E312" i="4"/>
  <c r="G312" i="4" s="1"/>
  <c r="E308" i="4"/>
  <c r="H308" i="4" s="1"/>
  <c r="E304" i="4"/>
  <c r="H304" i="4" s="1"/>
  <c r="D303" i="4"/>
  <c r="F302" i="4"/>
  <c r="D302" i="4"/>
  <c r="D200" i="4"/>
  <c r="E112" i="4"/>
  <c r="I112" i="4" s="1"/>
  <c r="H302" i="4"/>
  <c r="D197" i="4"/>
  <c r="D194" i="4"/>
  <c r="E198" i="4"/>
  <c r="G198" i="4" s="1"/>
  <c r="E176" i="4"/>
  <c r="G176" i="4" s="1"/>
  <c r="E172" i="4"/>
  <c r="G172" i="4" s="1"/>
  <c r="D123" i="4"/>
  <c r="D118" i="4"/>
  <c r="D117" i="4"/>
  <c r="D187" i="4"/>
  <c r="D175" i="4"/>
  <c r="D188" i="4"/>
  <c r="D202" i="4"/>
  <c r="E167" i="4"/>
  <c r="G167" i="4" s="1"/>
  <c r="E147" i="4"/>
  <c r="I147" i="4" s="1"/>
  <c r="E139" i="4"/>
  <c r="H139" i="4" s="1"/>
  <c r="E131" i="4"/>
  <c r="H131" i="4" s="1"/>
  <c r="D124" i="4"/>
  <c r="D116" i="4"/>
  <c r="D113" i="4"/>
  <c r="D112" i="4"/>
  <c r="E193" i="4"/>
  <c r="E126" i="4"/>
  <c r="F126" i="4" s="1"/>
  <c r="E125" i="4"/>
  <c r="H125" i="4" s="1"/>
  <c r="D181" i="4"/>
  <c r="D168" i="4"/>
  <c r="E159" i="4"/>
  <c r="H159" i="4" s="1"/>
  <c r="E153" i="4"/>
  <c r="H153" i="4" s="1"/>
  <c r="D132" i="4"/>
  <c r="E127" i="4"/>
  <c r="I127" i="4" s="1"/>
  <c r="H113" i="4"/>
  <c r="D109" i="4"/>
  <c r="I124" i="4"/>
  <c r="H124" i="4"/>
  <c r="H116" i="4"/>
  <c r="G168" i="4"/>
  <c r="H168" i="4"/>
  <c r="I168" i="4"/>
  <c r="F168" i="4"/>
  <c r="I111" i="4"/>
  <c r="H111" i="4"/>
  <c r="G197" i="4"/>
  <c r="F197" i="4"/>
  <c r="H197" i="4"/>
  <c r="G188" i="4"/>
  <c r="F188" i="4"/>
  <c r="H188" i="4"/>
  <c r="E199" i="4"/>
  <c r="I199" i="4" s="1"/>
  <c r="E196" i="4"/>
  <c r="E174" i="4"/>
  <c r="I174" i="4" s="1"/>
  <c r="E158" i="4"/>
  <c r="F158" i="4" s="1"/>
  <c r="E154" i="4"/>
  <c r="G154" i="4" s="1"/>
  <c r="E141" i="4"/>
  <c r="G141" i="4" s="1"/>
  <c r="E140" i="4"/>
  <c r="H140" i="4" s="1"/>
  <c r="I10" i="4"/>
  <c r="D158" i="4"/>
  <c r="D154" i="4"/>
  <c r="D141" i="4"/>
  <c r="D140" i="4"/>
  <c r="E122" i="4"/>
  <c r="F122" i="4" s="1"/>
  <c r="E121" i="4"/>
  <c r="I121" i="4" s="1"/>
  <c r="E11" i="4"/>
  <c r="H11" i="4" s="1"/>
  <c r="E31" i="4"/>
  <c r="I31" i="4" s="1"/>
  <c r="E110" i="4"/>
  <c r="G110" i="4" s="1"/>
  <c r="F348" i="4"/>
  <c r="G348" i="4"/>
  <c r="H348" i="4"/>
  <c r="F329" i="4"/>
  <c r="G329" i="4"/>
  <c r="H329" i="4"/>
  <c r="F305" i="4"/>
  <c r="G305" i="4"/>
  <c r="H305" i="4"/>
  <c r="F109" i="4"/>
  <c r="G109" i="4"/>
  <c r="H109" i="4"/>
  <c r="I109" i="4"/>
  <c r="D94" i="4"/>
  <c r="E94" i="4"/>
  <c r="D77" i="4"/>
  <c r="E77" i="4"/>
  <c r="E291" i="4"/>
  <c r="D291" i="4"/>
  <c r="E284" i="4"/>
  <c r="D284" i="4"/>
  <c r="E276" i="4"/>
  <c r="D276" i="4"/>
  <c r="E260" i="4"/>
  <c r="D260" i="4"/>
  <c r="E226" i="4"/>
  <c r="D226" i="4"/>
  <c r="E218" i="4"/>
  <c r="D218" i="4"/>
  <c r="F383" i="4"/>
  <c r="G383" i="4"/>
  <c r="F377" i="4"/>
  <c r="H377" i="4"/>
  <c r="G377" i="4"/>
  <c r="F344" i="4"/>
  <c r="G344" i="4"/>
  <c r="H344" i="4"/>
  <c r="F372" i="4"/>
  <c r="G372" i="4"/>
  <c r="H372" i="4"/>
  <c r="G336" i="4"/>
  <c r="F333" i="4"/>
  <c r="H333" i="4"/>
  <c r="G333" i="4"/>
  <c r="F324" i="4"/>
  <c r="G324" i="4"/>
  <c r="H324" i="4"/>
  <c r="I383" i="4"/>
  <c r="H383" i="4"/>
  <c r="I377" i="4"/>
  <c r="I372" i="4"/>
  <c r="I348" i="4"/>
  <c r="I344" i="4"/>
  <c r="I333" i="4"/>
  <c r="I329" i="4"/>
  <c r="I324" i="4"/>
  <c r="I305" i="4"/>
  <c r="E295" i="4"/>
  <c r="D295" i="4"/>
  <c r="E287" i="4"/>
  <c r="D287" i="4"/>
  <c r="E280" i="4"/>
  <c r="D280" i="4"/>
  <c r="E264" i="4"/>
  <c r="D264" i="4"/>
  <c r="E230" i="4"/>
  <c r="D230" i="4"/>
  <c r="E222" i="4"/>
  <c r="D222" i="4"/>
  <c r="H303" i="4"/>
  <c r="E300" i="4"/>
  <c r="D300" i="4"/>
  <c r="E296" i="4"/>
  <c r="D296" i="4"/>
  <c r="E288" i="4"/>
  <c r="D288" i="4"/>
  <c r="E281" i="4"/>
  <c r="D281" i="4"/>
  <c r="E243" i="4"/>
  <c r="D243" i="4"/>
  <c r="E227" i="4"/>
  <c r="D227" i="4"/>
  <c r="E223" i="4"/>
  <c r="D223" i="4"/>
  <c r="E219" i="4"/>
  <c r="D219" i="4"/>
  <c r="E216" i="4"/>
  <c r="D216" i="4"/>
  <c r="E214" i="4"/>
  <c r="D214" i="4"/>
  <c r="E211" i="4"/>
  <c r="D211" i="4"/>
  <c r="E209" i="4"/>
  <c r="D209" i="4"/>
  <c r="E207" i="4"/>
  <c r="D207" i="4"/>
  <c r="E205" i="4"/>
  <c r="D205" i="4"/>
  <c r="E301" i="4"/>
  <c r="E292" i="4"/>
  <c r="D292" i="4"/>
  <c r="E277" i="4"/>
  <c r="D277" i="4"/>
  <c r="E265" i="4"/>
  <c r="D265" i="4"/>
  <c r="E261" i="4"/>
  <c r="D261" i="4"/>
  <c r="G303" i="4"/>
  <c r="E298" i="4"/>
  <c r="E297" i="4"/>
  <c r="D297" i="4"/>
  <c r="E293" i="4"/>
  <c r="D293" i="4"/>
  <c r="E289" i="4"/>
  <c r="D289" i="4"/>
  <c r="E285" i="4"/>
  <c r="D285" i="4"/>
  <c r="E282" i="4"/>
  <c r="D282" i="4"/>
  <c r="E278" i="4"/>
  <c r="D278" i="4"/>
  <c r="E266" i="4"/>
  <c r="D266" i="4"/>
  <c r="E262" i="4"/>
  <c r="D262" i="4"/>
  <c r="E254" i="4"/>
  <c r="D254" i="4"/>
  <c r="E228" i="4"/>
  <c r="D228" i="4"/>
  <c r="E224" i="4"/>
  <c r="D224" i="4"/>
  <c r="E220" i="4"/>
  <c r="D220" i="4"/>
  <c r="G200" i="4"/>
  <c r="H200" i="4"/>
  <c r="I200" i="4"/>
  <c r="F200" i="4"/>
  <c r="E294" i="4"/>
  <c r="D294" i="4"/>
  <c r="E290" i="4"/>
  <c r="D290" i="4"/>
  <c r="E286" i="4"/>
  <c r="D286" i="4"/>
  <c r="E283" i="4"/>
  <c r="D283" i="4"/>
  <c r="E279" i="4"/>
  <c r="D279" i="4"/>
  <c r="E267" i="4"/>
  <c r="D267" i="4"/>
  <c r="E263" i="4"/>
  <c r="D263" i="4"/>
  <c r="E259" i="4"/>
  <c r="D259" i="4"/>
  <c r="E229" i="4"/>
  <c r="D229" i="4"/>
  <c r="E225" i="4"/>
  <c r="D225" i="4"/>
  <c r="E221" i="4"/>
  <c r="D221" i="4"/>
  <c r="E217" i="4"/>
  <c r="D217" i="4"/>
  <c r="E215" i="4"/>
  <c r="D215" i="4"/>
  <c r="E213" i="4"/>
  <c r="D213" i="4"/>
  <c r="E210" i="4"/>
  <c r="D210" i="4"/>
  <c r="E208" i="4"/>
  <c r="D208" i="4"/>
  <c r="E206" i="4"/>
  <c r="D206" i="4"/>
  <c r="E204" i="4"/>
  <c r="D204" i="4"/>
  <c r="D96" i="4"/>
  <c r="E96" i="4"/>
  <c r="D87" i="4"/>
  <c r="E87" i="4"/>
  <c r="F123" i="4"/>
  <c r="G123" i="4"/>
  <c r="H123" i="4"/>
  <c r="I123" i="4"/>
  <c r="D105" i="4"/>
  <c r="E105" i="4"/>
  <c r="D89" i="4"/>
  <c r="E89" i="4"/>
  <c r="D92" i="4"/>
  <c r="E92" i="4"/>
  <c r="F104" i="4"/>
  <c r="H104" i="4"/>
  <c r="G104" i="4"/>
  <c r="I104" i="4"/>
  <c r="F95" i="4"/>
  <c r="H95" i="4"/>
  <c r="G95" i="4"/>
  <c r="I95" i="4"/>
  <c r="F93" i="4"/>
  <c r="H93" i="4"/>
  <c r="G93" i="4"/>
  <c r="I93" i="4"/>
  <c r="F91" i="4"/>
  <c r="H91" i="4"/>
  <c r="G91" i="4"/>
  <c r="I91" i="4"/>
  <c r="F88" i="4"/>
  <c r="H88" i="4"/>
  <c r="G88" i="4"/>
  <c r="I88" i="4"/>
  <c r="F76" i="4"/>
  <c r="H76" i="4"/>
  <c r="G76" i="4"/>
  <c r="I76" i="4"/>
  <c r="F74" i="4"/>
  <c r="H74" i="4"/>
  <c r="G74" i="4"/>
  <c r="I74" i="4"/>
  <c r="F71" i="4"/>
  <c r="H71" i="4"/>
  <c r="G71" i="4"/>
  <c r="I71" i="4"/>
  <c r="F64" i="4"/>
  <c r="F56" i="4"/>
  <c r="H56" i="4"/>
  <c r="G56" i="4"/>
  <c r="I56" i="4"/>
  <c r="F44" i="4"/>
  <c r="H44" i="4"/>
  <c r="G44" i="4"/>
  <c r="I44" i="4"/>
  <c r="F39" i="4"/>
  <c r="H39" i="4"/>
  <c r="G39" i="4"/>
  <c r="I39" i="4"/>
  <c r="F37" i="4"/>
  <c r="H37" i="4"/>
  <c r="G37" i="4"/>
  <c r="I37" i="4"/>
  <c r="F35" i="4"/>
  <c r="H35" i="4"/>
  <c r="G35" i="4"/>
  <c r="I35" i="4"/>
  <c r="F124" i="4"/>
  <c r="G124" i="4"/>
  <c r="G118" i="4"/>
  <c r="G116" i="4"/>
  <c r="F113" i="4"/>
  <c r="G113" i="4"/>
  <c r="F111" i="4"/>
  <c r="G111" i="4"/>
  <c r="D107" i="4"/>
  <c r="D104" i="4"/>
  <c r="D95" i="4"/>
  <c r="D93" i="4"/>
  <c r="D91" i="4"/>
  <c r="D88" i="4"/>
  <c r="D82" i="4"/>
  <c r="D76" i="4"/>
  <c r="I197" i="4"/>
  <c r="I188" i="4"/>
  <c r="F75" i="4"/>
  <c r="H75" i="4"/>
  <c r="G75" i="4"/>
  <c r="I75" i="4"/>
  <c r="F73" i="4"/>
  <c r="H73" i="4"/>
  <c r="G73" i="4"/>
  <c r="I73" i="4"/>
  <c r="F70" i="4"/>
  <c r="H70" i="4"/>
  <c r="G70" i="4"/>
  <c r="I70" i="4"/>
  <c r="F67" i="4"/>
  <c r="H67" i="4"/>
  <c r="G67" i="4"/>
  <c r="I67" i="4"/>
  <c r="F63" i="4"/>
  <c r="H63" i="4"/>
  <c r="G63" i="4"/>
  <c r="I63" i="4"/>
  <c r="F57" i="4"/>
  <c r="H57" i="4"/>
  <c r="G57" i="4"/>
  <c r="I57" i="4"/>
  <c r="F45" i="4"/>
  <c r="H45" i="4"/>
  <c r="G45" i="4"/>
  <c r="I45" i="4"/>
  <c r="F42" i="4"/>
  <c r="H42" i="4"/>
  <c r="G42" i="4"/>
  <c r="I42" i="4"/>
  <c r="F40" i="4"/>
  <c r="H40" i="4"/>
  <c r="G40" i="4"/>
  <c r="I40" i="4"/>
  <c r="F38" i="4"/>
  <c r="H38" i="4"/>
  <c r="G38" i="4"/>
  <c r="I38" i="4"/>
  <c r="F36" i="4"/>
  <c r="H36" i="4"/>
  <c r="G36" i="4"/>
  <c r="I36" i="4"/>
  <c r="F33" i="4"/>
  <c r="H33" i="4"/>
  <c r="G33" i="4"/>
  <c r="I33" i="4"/>
  <c r="D75" i="4"/>
  <c r="D74" i="4"/>
  <c r="D73" i="4"/>
  <c r="D72" i="4"/>
  <c r="D71" i="4"/>
  <c r="D70" i="4"/>
  <c r="D69" i="4"/>
  <c r="D67" i="4"/>
  <c r="D64" i="4"/>
  <c r="D63" i="4"/>
  <c r="D62" i="4"/>
  <c r="D57" i="4"/>
  <c r="D56" i="4"/>
  <c r="D45" i="4"/>
  <c r="D44" i="4"/>
  <c r="D42" i="4"/>
  <c r="D41" i="4"/>
  <c r="D40" i="4"/>
  <c r="D39" i="4"/>
  <c r="D38" i="4"/>
  <c r="D37" i="4"/>
  <c r="D36" i="4"/>
  <c r="D35" i="4"/>
  <c r="D33" i="4"/>
  <c r="F30" i="4"/>
  <c r="G30" i="4"/>
  <c r="H30" i="4"/>
  <c r="D32" i="4"/>
  <c r="D31" i="4"/>
  <c r="D30" i="4"/>
  <c r="E29" i="4"/>
  <c r="E28" i="4"/>
  <c r="E27" i="4"/>
  <c r="E25" i="4"/>
  <c r="E24" i="4"/>
  <c r="E23" i="4"/>
  <c r="E12" i="4"/>
  <c r="D29" i="4"/>
  <c r="D28" i="4"/>
  <c r="D27" i="4"/>
  <c r="D25" i="4"/>
  <c r="D24" i="4"/>
  <c r="D23" i="4"/>
  <c r="D22" i="4"/>
  <c r="D21" i="4"/>
  <c r="D12" i="4"/>
  <c r="D11" i="4"/>
  <c r="D10" i="4"/>
  <c r="G10" i="4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2" i="3"/>
  <c r="F116" i="4" l="1"/>
  <c r="F118" i="4"/>
  <c r="G82" i="4"/>
  <c r="H118" i="4"/>
  <c r="I82" i="4"/>
  <c r="H10" i="4"/>
  <c r="I64" i="4"/>
  <c r="H132" i="4"/>
  <c r="G64" i="4"/>
  <c r="F82" i="4"/>
  <c r="G132" i="4"/>
  <c r="I132" i="4"/>
  <c r="F175" i="4"/>
  <c r="I368" i="4"/>
  <c r="G368" i="4"/>
  <c r="H368" i="4"/>
  <c r="F194" i="4"/>
  <c r="I175" i="4"/>
  <c r="I62" i="4"/>
  <c r="G194" i="4"/>
  <c r="G62" i="4"/>
  <c r="I194" i="4"/>
  <c r="F72" i="4"/>
  <c r="I32" i="4"/>
  <c r="H175" i="4"/>
  <c r="F69" i="4"/>
  <c r="G72" i="4"/>
  <c r="G69" i="4"/>
  <c r="H69" i="4"/>
  <c r="H72" i="4"/>
  <c r="H313" i="4"/>
  <c r="F313" i="4"/>
  <c r="I358" i="4"/>
  <c r="I41" i="4"/>
  <c r="G41" i="4"/>
  <c r="H41" i="4"/>
  <c r="H62" i="4"/>
  <c r="H320" i="4"/>
  <c r="F378" i="4"/>
  <c r="B370" i="4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G366" i="4"/>
  <c r="H379" i="4"/>
  <c r="I187" i="4"/>
  <c r="F117" i="4"/>
  <c r="F187" i="4"/>
  <c r="G187" i="4"/>
  <c r="I366" i="4"/>
  <c r="I379" i="4"/>
  <c r="G320" i="4"/>
  <c r="F379" i="4"/>
  <c r="H354" i="4"/>
  <c r="G322" i="4"/>
  <c r="F322" i="4"/>
  <c r="H366" i="4"/>
  <c r="I202" i="4"/>
  <c r="I313" i="4"/>
  <c r="H202" i="4"/>
  <c r="H336" i="4"/>
  <c r="H32" i="4"/>
  <c r="F181" i="4"/>
  <c r="I320" i="4"/>
  <c r="I354" i="4"/>
  <c r="F336" i="4"/>
  <c r="F319" i="4"/>
  <c r="G309" i="4"/>
  <c r="H317" i="4"/>
  <c r="G354" i="4"/>
  <c r="G202" i="4"/>
  <c r="G32" i="4"/>
  <c r="I322" i="4"/>
  <c r="G304" i="4"/>
  <c r="G353" i="4"/>
  <c r="G369" i="4"/>
  <c r="I117" i="4"/>
  <c r="H117" i="4"/>
  <c r="I359" i="4"/>
  <c r="I381" i="4"/>
  <c r="I352" i="4"/>
  <c r="I360" i="4"/>
  <c r="I375" i="4"/>
  <c r="I310" i="4"/>
  <c r="I340" i="4"/>
  <c r="F352" i="4"/>
  <c r="H361" i="4"/>
  <c r="F309" i="4"/>
  <c r="G22" i="4"/>
  <c r="I317" i="4"/>
  <c r="F350" i="4"/>
  <c r="H352" i="4"/>
  <c r="G367" i="4"/>
  <c r="G317" i="4"/>
  <c r="G360" i="4"/>
  <c r="I309" i="4"/>
  <c r="H345" i="4"/>
  <c r="F360" i="4"/>
  <c r="F375" i="4"/>
  <c r="G21" i="4"/>
  <c r="H21" i="4"/>
  <c r="H359" i="4"/>
  <c r="I21" i="4"/>
  <c r="I325" i="4"/>
  <c r="G374" i="4"/>
  <c r="I341" i="4"/>
  <c r="G356" i="4"/>
  <c r="G316" i="4"/>
  <c r="H363" i="4"/>
  <c r="G331" i="4"/>
  <c r="I107" i="4"/>
  <c r="G181" i="4"/>
  <c r="H22" i="4"/>
  <c r="G107" i="4"/>
  <c r="I181" i="4"/>
  <c r="H127" i="4"/>
  <c r="I22" i="4"/>
  <c r="F107" i="4"/>
  <c r="F304" i="4"/>
  <c r="H358" i="4"/>
  <c r="G361" i="4"/>
  <c r="F367" i="4"/>
  <c r="F345" i="4"/>
  <c r="H351" i="4"/>
  <c r="H381" i="4"/>
  <c r="I304" i="4"/>
  <c r="I351" i="4"/>
  <c r="I367" i="4"/>
  <c r="G139" i="4"/>
  <c r="I378" i="4"/>
  <c r="F346" i="4"/>
  <c r="H319" i="4"/>
  <c r="F340" i="4"/>
  <c r="G358" i="4"/>
  <c r="F361" i="4"/>
  <c r="G351" i="4"/>
  <c r="G378" i="4"/>
  <c r="G381" i="4"/>
  <c r="I319" i="4"/>
  <c r="I345" i="4"/>
  <c r="G307" i="4"/>
  <c r="H326" i="4"/>
  <c r="I311" i="4"/>
  <c r="I326" i="4"/>
  <c r="I350" i="4"/>
  <c r="I357" i="4"/>
  <c r="I374" i="4"/>
  <c r="H310" i="4"/>
  <c r="F316" i="4"/>
  <c r="G363" i="4"/>
  <c r="G326" i="4"/>
  <c r="G347" i="4"/>
  <c r="H364" i="4"/>
  <c r="F374" i="4"/>
  <c r="H380" i="4"/>
  <c r="H311" i="4"/>
  <c r="H370" i="4"/>
  <c r="I363" i="4"/>
  <c r="I380" i="4"/>
  <c r="G310" i="4"/>
  <c r="H350" i="4"/>
  <c r="H347" i="4"/>
  <c r="G364" i="4"/>
  <c r="G380" i="4"/>
  <c r="G311" i="4"/>
  <c r="G325" i="4"/>
  <c r="G332" i="4"/>
  <c r="H357" i="4"/>
  <c r="I331" i="4"/>
  <c r="I347" i="4"/>
  <c r="I364" i="4"/>
  <c r="I370" i="4"/>
  <c r="H331" i="4"/>
  <c r="H356" i="4"/>
  <c r="H382" i="4"/>
  <c r="H325" i="4"/>
  <c r="F332" i="4"/>
  <c r="G357" i="4"/>
  <c r="F370" i="4"/>
  <c r="I356" i="4"/>
  <c r="H340" i="4"/>
  <c r="H375" i="4"/>
  <c r="H332" i="4"/>
  <c r="G365" i="4"/>
  <c r="H335" i="4"/>
  <c r="H315" i="4"/>
  <c r="H314" i="4"/>
  <c r="H330" i="4"/>
  <c r="G315" i="4"/>
  <c r="G341" i="4"/>
  <c r="H341" i="4"/>
  <c r="I314" i="4"/>
  <c r="I330" i="4"/>
  <c r="I172" i="4"/>
  <c r="G314" i="4"/>
  <c r="F330" i="4"/>
  <c r="I159" i="4"/>
  <c r="F315" i="4"/>
  <c r="I335" i="4"/>
  <c r="H342" i="4"/>
  <c r="G335" i="4"/>
  <c r="I342" i="4"/>
  <c r="G342" i="4"/>
  <c r="I316" i="4"/>
  <c r="I328" i="4"/>
  <c r="G334" i="4"/>
  <c r="G338" i="4"/>
  <c r="H172" i="4"/>
  <c r="I307" i="4"/>
  <c r="I338" i="4"/>
  <c r="G306" i="4"/>
  <c r="F312" i="4"/>
  <c r="G359" i="4"/>
  <c r="F369" i="4"/>
  <c r="F376" i="4"/>
  <c r="F307" i="4"/>
  <c r="G321" i="4"/>
  <c r="F338" i="4"/>
  <c r="G343" i="4"/>
  <c r="H362" i="4"/>
  <c r="H112" i="4"/>
  <c r="G328" i="4"/>
  <c r="G337" i="4"/>
  <c r="F343" i="4"/>
  <c r="G362" i="4"/>
  <c r="I362" i="4"/>
  <c r="F328" i="4"/>
  <c r="I349" i="4"/>
  <c r="H349" i="4"/>
  <c r="H318" i="4"/>
  <c r="H323" i="4"/>
  <c r="F334" i="4"/>
  <c r="F365" i="4"/>
  <c r="I382" i="4"/>
  <c r="G382" i="4"/>
  <c r="I318" i="4"/>
  <c r="I346" i="4"/>
  <c r="G308" i="4"/>
  <c r="H312" i="4"/>
  <c r="G346" i="4"/>
  <c r="H376" i="4"/>
  <c r="G349" i="4"/>
  <c r="G318" i="4"/>
  <c r="I312" i="4"/>
  <c r="I334" i="4"/>
  <c r="I343" i="4"/>
  <c r="I365" i="4"/>
  <c r="I376" i="4"/>
  <c r="F139" i="4"/>
  <c r="I306" i="4"/>
  <c r="I321" i="4"/>
  <c r="I337" i="4"/>
  <c r="I353" i="4"/>
  <c r="I369" i="4"/>
  <c r="H306" i="4"/>
  <c r="F339" i="4"/>
  <c r="F353" i="4"/>
  <c r="H337" i="4"/>
  <c r="H321" i="4"/>
  <c r="I139" i="4"/>
  <c r="H174" i="4"/>
  <c r="I308" i="4"/>
  <c r="I323" i="4"/>
  <c r="I339" i="4"/>
  <c r="I355" i="4"/>
  <c r="I371" i="4"/>
  <c r="F355" i="4"/>
  <c r="H31" i="4"/>
  <c r="G127" i="4"/>
  <c r="F154" i="4"/>
  <c r="G121" i="4"/>
  <c r="F176" i="4"/>
  <c r="G112" i="4"/>
  <c r="G159" i="4"/>
  <c r="F172" i="4"/>
  <c r="F198" i="4"/>
  <c r="G126" i="4"/>
  <c r="F112" i="4"/>
  <c r="F127" i="4"/>
  <c r="G11" i="4"/>
  <c r="G140" i="4"/>
  <c r="I125" i="4"/>
  <c r="I176" i="4"/>
  <c r="H176" i="4"/>
  <c r="F308" i="4"/>
  <c r="G371" i="4"/>
  <c r="F121" i="4"/>
  <c r="G323" i="4"/>
  <c r="H339" i="4"/>
  <c r="H355" i="4"/>
  <c r="H371" i="4"/>
  <c r="G131" i="4"/>
  <c r="G125" i="4"/>
  <c r="F159" i="4"/>
  <c r="F167" i="4"/>
  <c r="H198" i="4"/>
  <c r="H167" i="4"/>
  <c r="I167" i="4"/>
  <c r="G158" i="4"/>
  <c r="F131" i="4"/>
  <c r="F125" i="4"/>
  <c r="I198" i="4"/>
  <c r="I131" i="4"/>
  <c r="G31" i="4"/>
  <c r="H147" i="4"/>
  <c r="G122" i="4"/>
  <c r="H199" i="4"/>
  <c r="I154" i="4"/>
  <c r="F199" i="4"/>
  <c r="H154" i="4"/>
  <c r="G199" i="4"/>
  <c r="F147" i="4"/>
  <c r="I153" i="4"/>
  <c r="G193" i="4"/>
  <c r="I193" i="4"/>
  <c r="F193" i="4"/>
  <c r="F140" i="4"/>
  <c r="G147" i="4"/>
  <c r="F31" i="4"/>
  <c r="G153" i="4"/>
  <c r="I140" i="4"/>
  <c r="F153" i="4"/>
  <c r="H121" i="4"/>
  <c r="H193" i="4"/>
  <c r="I126" i="4"/>
  <c r="H126" i="4"/>
  <c r="G196" i="4"/>
  <c r="F196" i="4"/>
  <c r="I196" i="4"/>
  <c r="F141" i="4"/>
  <c r="F110" i="4"/>
  <c r="F11" i="4"/>
  <c r="I11" i="4"/>
  <c r="H122" i="4"/>
  <c r="I122" i="4"/>
  <c r="H158" i="4"/>
  <c r="I158" i="4"/>
  <c r="H196" i="4"/>
  <c r="G174" i="4"/>
  <c r="F174" i="4"/>
  <c r="H141" i="4"/>
  <c r="I141" i="4"/>
  <c r="I110" i="4"/>
  <c r="H110" i="4"/>
  <c r="I217" i="4"/>
  <c r="G217" i="4"/>
  <c r="F217" i="4"/>
  <c r="H217" i="4"/>
  <c r="I220" i="4"/>
  <c r="G220" i="4"/>
  <c r="F220" i="4"/>
  <c r="H220" i="4"/>
  <c r="I285" i="4"/>
  <c r="G285" i="4"/>
  <c r="F285" i="4"/>
  <c r="H285" i="4"/>
  <c r="I209" i="4"/>
  <c r="F209" i="4"/>
  <c r="H209" i="4"/>
  <c r="G209" i="4"/>
  <c r="I219" i="4"/>
  <c r="G219" i="4"/>
  <c r="H219" i="4"/>
  <c r="F219" i="4"/>
  <c r="I281" i="4"/>
  <c r="G281" i="4"/>
  <c r="H281" i="4"/>
  <c r="F281" i="4"/>
  <c r="I300" i="4"/>
  <c r="G300" i="4"/>
  <c r="H300" i="4"/>
  <c r="F300" i="4"/>
  <c r="F96" i="4"/>
  <c r="H96" i="4"/>
  <c r="G96" i="4"/>
  <c r="I96" i="4"/>
  <c r="I206" i="4"/>
  <c r="F206" i="4"/>
  <c r="H206" i="4"/>
  <c r="G206" i="4"/>
  <c r="I279" i="4"/>
  <c r="G279" i="4"/>
  <c r="F279" i="4"/>
  <c r="H279" i="4"/>
  <c r="I282" i="4"/>
  <c r="G282" i="4"/>
  <c r="F282" i="4"/>
  <c r="H282" i="4"/>
  <c r="I297" i="4"/>
  <c r="H297" i="4"/>
  <c r="F297" i="4"/>
  <c r="G297" i="4"/>
  <c r="I261" i="4"/>
  <c r="G261" i="4"/>
  <c r="H261" i="4"/>
  <c r="F261" i="4"/>
  <c r="I207" i="4"/>
  <c r="F207" i="4"/>
  <c r="H207" i="4"/>
  <c r="G207" i="4"/>
  <c r="I216" i="4"/>
  <c r="F216" i="4"/>
  <c r="H216" i="4"/>
  <c r="G216" i="4"/>
  <c r="I243" i="4"/>
  <c r="G243" i="4"/>
  <c r="H243" i="4"/>
  <c r="F243" i="4"/>
  <c r="I280" i="4"/>
  <c r="G280" i="4"/>
  <c r="F280" i="4"/>
  <c r="H280" i="4"/>
  <c r="I218" i="4"/>
  <c r="G218" i="4"/>
  <c r="F218" i="4"/>
  <c r="H218" i="4"/>
  <c r="I284" i="4"/>
  <c r="G284" i="4"/>
  <c r="F284" i="4"/>
  <c r="H284" i="4"/>
  <c r="F77" i="4"/>
  <c r="H77" i="4"/>
  <c r="G77" i="4"/>
  <c r="I77" i="4"/>
  <c r="F89" i="4"/>
  <c r="H89" i="4"/>
  <c r="G89" i="4"/>
  <c r="I89" i="4"/>
  <c r="I259" i="4"/>
  <c r="G259" i="4"/>
  <c r="F259" i="4"/>
  <c r="H259" i="4"/>
  <c r="I291" i="4"/>
  <c r="G291" i="4"/>
  <c r="F291" i="4"/>
  <c r="H291" i="4"/>
  <c r="F94" i="4"/>
  <c r="H94" i="4"/>
  <c r="G94" i="4"/>
  <c r="I94" i="4"/>
  <c r="I215" i="4"/>
  <c r="F215" i="4"/>
  <c r="H215" i="4"/>
  <c r="G215" i="4"/>
  <c r="I229" i="4"/>
  <c r="G229" i="4"/>
  <c r="F229" i="4"/>
  <c r="H229" i="4"/>
  <c r="I294" i="4"/>
  <c r="G294" i="4"/>
  <c r="F294" i="4"/>
  <c r="H294" i="4"/>
  <c r="I254" i="4"/>
  <c r="G254" i="4"/>
  <c r="F254" i="4"/>
  <c r="H254" i="4"/>
  <c r="I292" i="4"/>
  <c r="G292" i="4"/>
  <c r="H292" i="4"/>
  <c r="F292" i="4"/>
  <c r="F92" i="4"/>
  <c r="H92" i="4"/>
  <c r="G92" i="4"/>
  <c r="I92" i="4"/>
  <c r="F87" i="4"/>
  <c r="H87" i="4"/>
  <c r="G87" i="4"/>
  <c r="I87" i="4"/>
  <c r="I204" i="4"/>
  <c r="F204" i="4"/>
  <c r="H204" i="4"/>
  <c r="G204" i="4"/>
  <c r="I213" i="4"/>
  <c r="F213" i="4"/>
  <c r="H213" i="4"/>
  <c r="G213" i="4"/>
  <c r="I225" i="4"/>
  <c r="G225" i="4"/>
  <c r="F225" i="4"/>
  <c r="H225" i="4"/>
  <c r="I267" i="4"/>
  <c r="G267" i="4"/>
  <c r="F267" i="4"/>
  <c r="H267" i="4"/>
  <c r="I290" i="4"/>
  <c r="G290" i="4"/>
  <c r="F290" i="4"/>
  <c r="H290" i="4"/>
  <c r="I228" i="4"/>
  <c r="G228" i="4"/>
  <c r="F228" i="4"/>
  <c r="H228" i="4"/>
  <c r="I278" i="4"/>
  <c r="G278" i="4"/>
  <c r="F278" i="4"/>
  <c r="H278" i="4"/>
  <c r="I293" i="4"/>
  <c r="G293" i="4"/>
  <c r="F293" i="4"/>
  <c r="H293" i="4"/>
  <c r="I205" i="4"/>
  <c r="F205" i="4"/>
  <c r="H205" i="4"/>
  <c r="G205" i="4"/>
  <c r="I214" i="4"/>
  <c r="F214" i="4"/>
  <c r="H214" i="4"/>
  <c r="G214" i="4"/>
  <c r="I227" i="4"/>
  <c r="G227" i="4"/>
  <c r="H227" i="4"/>
  <c r="F227" i="4"/>
  <c r="I296" i="4"/>
  <c r="G296" i="4"/>
  <c r="H296" i="4"/>
  <c r="F296" i="4"/>
  <c r="I264" i="4"/>
  <c r="G264" i="4"/>
  <c r="F264" i="4"/>
  <c r="H264" i="4"/>
  <c r="I276" i="4"/>
  <c r="G276" i="4"/>
  <c r="F276" i="4"/>
  <c r="H276" i="4"/>
  <c r="I208" i="4"/>
  <c r="F208" i="4"/>
  <c r="H208" i="4"/>
  <c r="G208" i="4"/>
  <c r="I283" i="4"/>
  <c r="G283" i="4"/>
  <c r="F283" i="4"/>
  <c r="H283" i="4"/>
  <c r="I262" i="4"/>
  <c r="G262" i="4"/>
  <c r="F262" i="4"/>
  <c r="H262" i="4"/>
  <c r="I265" i="4"/>
  <c r="G265" i="4"/>
  <c r="H265" i="4"/>
  <c r="F265" i="4"/>
  <c r="I222" i="4"/>
  <c r="G222" i="4"/>
  <c r="F222" i="4"/>
  <c r="H222" i="4"/>
  <c r="I287" i="4"/>
  <c r="G287" i="4"/>
  <c r="F287" i="4"/>
  <c r="H287" i="4"/>
  <c r="I226" i="4"/>
  <c r="G226" i="4"/>
  <c r="F226" i="4"/>
  <c r="H226" i="4"/>
  <c r="F105" i="4"/>
  <c r="H105" i="4"/>
  <c r="G105" i="4"/>
  <c r="I105" i="4"/>
  <c r="I210" i="4"/>
  <c r="F210" i="4"/>
  <c r="H210" i="4"/>
  <c r="G210" i="4"/>
  <c r="I221" i="4"/>
  <c r="G221" i="4"/>
  <c r="F221" i="4"/>
  <c r="H221" i="4"/>
  <c r="I263" i="4"/>
  <c r="G263" i="4"/>
  <c r="F263" i="4"/>
  <c r="H263" i="4"/>
  <c r="I286" i="4"/>
  <c r="G286" i="4"/>
  <c r="F286" i="4"/>
  <c r="H286" i="4"/>
  <c r="I224" i="4"/>
  <c r="G224" i="4"/>
  <c r="F224" i="4"/>
  <c r="H224" i="4"/>
  <c r="I266" i="4"/>
  <c r="G266" i="4"/>
  <c r="F266" i="4"/>
  <c r="H266" i="4"/>
  <c r="I289" i="4"/>
  <c r="G289" i="4"/>
  <c r="F289" i="4"/>
  <c r="H289" i="4"/>
  <c r="I298" i="4"/>
  <c r="G298" i="4"/>
  <c r="H298" i="4"/>
  <c r="F298" i="4"/>
  <c r="I277" i="4"/>
  <c r="G277" i="4"/>
  <c r="H277" i="4"/>
  <c r="F277" i="4"/>
  <c r="I301" i="4"/>
  <c r="F301" i="4"/>
  <c r="G301" i="4"/>
  <c r="H301" i="4"/>
  <c r="I211" i="4"/>
  <c r="F211" i="4"/>
  <c r="H211" i="4"/>
  <c r="G211" i="4"/>
  <c r="I223" i="4"/>
  <c r="G223" i="4"/>
  <c r="H223" i="4"/>
  <c r="F223" i="4"/>
  <c r="I288" i="4"/>
  <c r="G288" i="4"/>
  <c r="H288" i="4"/>
  <c r="F288" i="4"/>
  <c r="I230" i="4"/>
  <c r="G230" i="4"/>
  <c r="F230" i="4"/>
  <c r="H230" i="4"/>
  <c r="I295" i="4"/>
  <c r="G295" i="4"/>
  <c r="F295" i="4"/>
  <c r="H295" i="4"/>
  <c r="I260" i="4"/>
  <c r="G260" i="4"/>
  <c r="F260" i="4"/>
  <c r="H260" i="4"/>
  <c r="F24" i="4"/>
  <c r="G24" i="4"/>
  <c r="H24" i="4"/>
  <c r="I24" i="4"/>
  <c r="F28" i="4"/>
  <c r="G28" i="4"/>
  <c r="H28" i="4"/>
  <c r="I28" i="4"/>
  <c r="F29" i="4"/>
  <c r="G29" i="4"/>
  <c r="H29" i="4"/>
  <c r="I29" i="4"/>
  <c r="F12" i="4"/>
  <c r="G12" i="4"/>
  <c r="H12" i="4"/>
  <c r="I12" i="4"/>
  <c r="F25" i="4"/>
  <c r="G25" i="4"/>
  <c r="H25" i="4"/>
  <c r="I25" i="4"/>
  <c r="F23" i="4"/>
  <c r="G23" i="4"/>
  <c r="H23" i="4"/>
  <c r="I23" i="4"/>
  <c r="F27" i="4"/>
  <c r="G27" i="4"/>
  <c r="H27" i="4"/>
  <c r="I27" i="4"/>
  <c r="F57" i="5"/>
  <c r="G614" i="5"/>
  <c r="C2" i="5"/>
  <c r="F2" i="5" s="1"/>
  <c r="C720" i="5"/>
  <c r="F720" i="5" s="1"/>
  <c r="C719" i="5"/>
  <c r="F719" i="5" s="1"/>
  <c r="C718" i="5"/>
  <c r="F718" i="5" s="1"/>
  <c r="C717" i="5"/>
  <c r="F717" i="5" s="1"/>
  <c r="C716" i="5"/>
  <c r="F716" i="5" s="1"/>
  <c r="C715" i="5"/>
  <c r="F715" i="5" s="1"/>
  <c r="C714" i="5"/>
  <c r="E714" i="5" s="1"/>
  <c r="H714" i="5" s="1"/>
  <c r="C713" i="5"/>
  <c r="C712" i="5"/>
  <c r="F712" i="5" s="1"/>
  <c r="C711" i="5"/>
  <c r="C710" i="5"/>
  <c r="C709" i="5"/>
  <c r="E709" i="5" s="1"/>
  <c r="G709" i="5" s="1"/>
  <c r="C708" i="5"/>
  <c r="F708" i="5" s="1"/>
  <c r="C707" i="5"/>
  <c r="F707" i="5" s="1"/>
  <c r="C706" i="5"/>
  <c r="D706" i="5" s="1"/>
  <c r="C705" i="5"/>
  <c r="E705" i="5" s="1"/>
  <c r="G705" i="5" s="1"/>
  <c r="C704" i="5"/>
  <c r="F704" i="5" s="1"/>
  <c r="C703" i="5"/>
  <c r="F703" i="5" s="1"/>
  <c r="C702" i="5"/>
  <c r="E702" i="5" s="1"/>
  <c r="H702" i="5" s="1"/>
  <c r="C701" i="5"/>
  <c r="F701" i="5" s="1"/>
  <c r="C700" i="5"/>
  <c r="D700" i="5" s="1"/>
  <c r="C699" i="5"/>
  <c r="D699" i="5" s="1"/>
  <c r="C698" i="5"/>
  <c r="D698" i="5" s="1"/>
  <c r="C697" i="5"/>
  <c r="F697" i="5" s="1"/>
  <c r="C696" i="5"/>
  <c r="F696" i="5" s="1"/>
  <c r="C695" i="5"/>
  <c r="D695" i="5" s="1"/>
  <c r="C694" i="5"/>
  <c r="C693" i="5"/>
  <c r="F693" i="5" s="1"/>
  <c r="C692" i="5"/>
  <c r="F692" i="5" s="1"/>
  <c r="C691" i="5"/>
  <c r="F691" i="5" s="1"/>
  <c r="C690" i="5"/>
  <c r="E690" i="5" s="1"/>
  <c r="G690" i="5" s="1"/>
  <c r="C689" i="5"/>
  <c r="D689" i="5" s="1"/>
  <c r="C688" i="5"/>
  <c r="F688" i="5" s="1"/>
  <c r="C687" i="5"/>
  <c r="F687" i="5" s="1"/>
  <c r="C686" i="5"/>
  <c r="E686" i="5" s="1"/>
  <c r="G686" i="5" s="1"/>
  <c r="C685" i="5"/>
  <c r="D685" i="5" s="1"/>
  <c r="C684" i="5"/>
  <c r="D684" i="5" s="1"/>
  <c r="C683" i="5"/>
  <c r="F683" i="5" s="1"/>
  <c r="C682" i="5"/>
  <c r="E681" i="5"/>
  <c r="G681" i="5" s="1"/>
  <c r="C681" i="5"/>
  <c r="D681" i="5" s="1"/>
  <c r="C680" i="5"/>
  <c r="F680" i="5" s="1"/>
  <c r="C679" i="5"/>
  <c r="F679" i="5" s="1"/>
  <c r="C678" i="5"/>
  <c r="F678" i="5" s="1"/>
  <c r="C677" i="5"/>
  <c r="D677" i="5" s="1"/>
  <c r="C676" i="5"/>
  <c r="C675" i="5"/>
  <c r="F675" i="5" s="1"/>
  <c r="C674" i="5"/>
  <c r="F674" i="5" s="1"/>
  <c r="C673" i="5"/>
  <c r="F673" i="5" s="1"/>
  <c r="D672" i="5"/>
  <c r="C672" i="5"/>
  <c r="F672" i="5" s="1"/>
  <c r="C671" i="5"/>
  <c r="C670" i="5"/>
  <c r="F670" i="5" s="1"/>
  <c r="C669" i="5"/>
  <c r="F669" i="5" s="1"/>
  <c r="C668" i="5"/>
  <c r="D668" i="5" s="1"/>
  <c r="C667" i="5"/>
  <c r="F667" i="5" s="1"/>
  <c r="C666" i="5"/>
  <c r="F666" i="5" s="1"/>
  <c r="C665" i="5"/>
  <c r="C664" i="5"/>
  <c r="E664" i="5" s="1"/>
  <c r="G664" i="5" s="1"/>
  <c r="C663" i="5"/>
  <c r="C662" i="5"/>
  <c r="F662" i="5" s="1"/>
  <c r="C661" i="5"/>
  <c r="D661" i="5" s="1"/>
  <c r="C660" i="5"/>
  <c r="D660" i="5" s="1"/>
  <c r="C659" i="5"/>
  <c r="F659" i="5" s="1"/>
  <c r="C658" i="5"/>
  <c r="F658" i="5" s="1"/>
  <c r="C657" i="5"/>
  <c r="F657" i="5" s="1"/>
  <c r="C656" i="5"/>
  <c r="C655" i="5"/>
  <c r="D655" i="5" s="1"/>
  <c r="C654" i="5"/>
  <c r="F654" i="5" s="1"/>
  <c r="C653" i="5"/>
  <c r="F653" i="5" s="1"/>
  <c r="C652" i="5"/>
  <c r="C651" i="5"/>
  <c r="C650" i="5"/>
  <c r="E650" i="5" s="1"/>
  <c r="I650" i="5" s="1"/>
  <c r="C649" i="5"/>
  <c r="F649" i="5" s="1"/>
  <c r="C648" i="5"/>
  <c r="C647" i="5"/>
  <c r="C646" i="5"/>
  <c r="C645" i="5"/>
  <c r="D645" i="5" s="1"/>
  <c r="C644" i="5"/>
  <c r="F644" i="5" s="1"/>
  <c r="C643" i="5"/>
  <c r="F643" i="5" s="1"/>
  <c r="C642" i="5"/>
  <c r="C641" i="5"/>
  <c r="C640" i="5"/>
  <c r="C639" i="5"/>
  <c r="F639" i="5" s="1"/>
  <c r="C638" i="5"/>
  <c r="D638" i="5" s="1"/>
  <c r="C637" i="5"/>
  <c r="C636" i="5"/>
  <c r="C635" i="5"/>
  <c r="F635" i="5" s="1"/>
  <c r="C634" i="5"/>
  <c r="D634" i="5" s="1"/>
  <c r="C633" i="5"/>
  <c r="C632" i="5"/>
  <c r="C631" i="5"/>
  <c r="F631" i="5" s="1"/>
  <c r="C630" i="5"/>
  <c r="E630" i="5" s="1"/>
  <c r="C629" i="5"/>
  <c r="C628" i="5"/>
  <c r="C627" i="5"/>
  <c r="F627" i="5" s="1"/>
  <c r="C626" i="5"/>
  <c r="C625" i="5"/>
  <c r="D625" i="5" s="1"/>
  <c r="C624" i="5"/>
  <c r="C623" i="5"/>
  <c r="F623" i="5" s="1"/>
  <c r="C622" i="5"/>
  <c r="C621" i="5"/>
  <c r="D621" i="5" s="1"/>
  <c r="C620" i="5"/>
  <c r="E620" i="5" s="1"/>
  <c r="G620" i="5" s="1"/>
  <c r="C619" i="5"/>
  <c r="F619" i="5" s="1"/>
  <c r="C618" i="5"/>
  <c r="D618" i="5" s="1"/>
  <c r="C617" i="5"/>
  <c r="C616" i="5"/>
  <c r="E616" i="5" s="1"/>
  <c r="G616" i="5" s="1"/>
  <c r="C615" i="5"/>
  <c r="F615" i="5" s="1"/>
  <c r="C614" i="5"/>
  <c r="E614" i="5" s="1"/>
  <c r="C613" i="5"/>
  <c r="C612" i="5"/>
  <c r="C611" i="5"/>
  <c r="F611" i="5" s="1"/>
  <c r="C610" i="5"/>
  <c r="E610" i="5" s="1"/>
  <c r="G610" i="5" s="1"/>
  <c r="C609" i="5"/>
  <c r="C608" i="5"/>
  <c r="C607" i="5"/>
  <c r="F607" i="5" s="1"/>
  <c r="C606" i="5"/>
  <c r="E606" i="5" s="1"/>
  <c r="G606" i="5" s="1"/>
  <c r="C605" i="5"/>
  <c r="C604" i="5"/>
  <c r="E604" i="5" s="1"/>
  <c r="G604" i="5" s="1"/>
  <c r="C603" i="5"/>
  <c r="F603" i="5" s="1"/>
  <c r="D602" i="5"/>
  <c r="C602" i="5"/>
  <c r="F602" i="5" s="1"/>
  <c r="C601" i="5"/>
  <c r="C600" i="5"/>
  <c r="F600" i="5" s="1"/>
  <c r="C599" i="5"/>
  <c r="F599" i="5" s="1"/>
  <c r="C598" i="5"/>
  <c r="C597" i="5"/>
  <c r="C596" i="5"/>
  <c r="F596" i="5" s="1"/>
  <c r="C595" i="5"/>
  <c r="C594" i="5"/>
  <c r="F594" i="5" s="1"/>
  <c r="C593" i="5"/>
  <c r="F593" i="5" s="1"/>
  <c r="C592" i="5"/>
  <c r="E592" i="5" s="1"/>
  <c r="G592" i="5" s="1"/>
  <c r="D591" i="5"/>
  <c r="C591" i="5"/>
  <c r="C590" i="5"/>
  <c r="F590" i="5" s="1"/>
  <c r="C589" i="5"/>
  <c r="F589" i="5" s="1"/>
  <c r="C588" i="5"/>
  <c r="C587" i="5"/>
  <c r="C586" i="5"/>
  <c r="D586" i="5" s="1"/>
  <c r="C585" i="5"/>
  <c r="F585" i="5" s="1"/>
  <c r="C584" i="5"/>
  <c r="C583" i="5"/>
  <c r="E583" i="5" s="1"/>
  <c r="G583" i="5" s="1"/>
  <c r="C582" i="5"/>
  <c r="D582" i="5" s="1"/>
  <c r="C581" i="5"/>
  <c r="F581" i="5" s="1"/>
  <c r="C580" i="5"/>
  <c r="C579" i="5"/>
  <c r="D579" i="5" s="1"/>
  <c r="C578" i="5"/>
  <c r="D578" i="5" s="1"/>
  <c r="E577" i="5"/>
  <c r="G577" i="5" s="1"/>
  <c r="C577" i="5"/>
  <c r="F577" i="5" s="1"/>
  <c r="C576" i="5"/>
  <c r="E576" i="5" s="1"/>
  <c r="G576" i="5" s="1"/>
  <c r="C575" i="5"/>
  <c r="F575" i="5" s="1"/>
  <c r="C574" i="5"/>
  <c r="F574" i="5" s="1"/>
  <c r="C573" i="5"/>
  <c r="E573" i="5" s="1"/>
  <c r="G573" i="5" s="1"/>
  <c r="C572" i="5"/>
  <c r="D572" i="5" s="1"/>
  <c r="C571" i="5"/>
  <c r="F571" i="5" s="1"/>
  <c r="C570" i="5"/>
  <c r="F570" i="5" s="1"/>
  <c r="C569" i="5"/>
  <c r="C568" i="5"/>
  <c r="E568" i="5" s="1"/>
  <c r="G568" i="5" s="1"/>
  <c r="C567" i="5"/>
  <c r="F567" i="5" s="1"/>
  <c r="C566" i="5"/>
  <c r="C565" i="5"/>
  <c r="D565" i="5" s="1"/>
  <c r="C564" i="5"/>
  <c r="E564" i="5" s="1"/>
  <c r="C563" i="5"/>
  <c r="F563" i="5" s="1"/>
  <c r="C562" i="5"/>
  <c r="F562" i="5" s="1"/>
  <c r="C561" i="5"/>
  <c r="C560" i="5"/>
  <c r="C559" i="5"/>
  <c r="F559" i="5" s="1"/>
  <c r="C558" i="5"/>
  <c r="D558" i="5" s="1"/>
  <c r="C557" i="5"/>
  <c r="C556" i="5"/>
  <c r="E556" i="5" s="1"/>
  <c r="G556" i="5" s="1"/>
  <c r="C555" i="5"/>
  <c r="F555" i="5" s="1"/>
  <c r="C554" i="5"/>
  <c r="D554" i="5" s="1"/>
  <c r="C553" i="5"/>
  <c r="E553" i="5" s="1"/>
  <c r="C552" i="5"/>
  <c r="D552" i="5" s="1"/>
  <c r="C551" i="5"/>
  <c r="F551" i="5" s="1"/>
  <c r="C550" i="5"/>
  <c r="F550" i="5" s="1"/>
  <c r="C549" i="5"/>
  <c r="D549" i="5" s="1"/>
  <c r="C548" i="5"/>
  <c r="C547" i="5"/>
  <c r="F547" i="5" s="1"/>
  <c r="C546" i="5"/>
  <c r="D546" i="5" s="1"/>
  <c r="C545" i="5"/>
  <c r="C544" i="5"/>
  <c r="E544" i="5" s="1"/>
  <c r="G544" i="5" s="1"/>
  <c r="C543" i="5"/>
  <c r="F543" i="5" s="1"/>
  <c r="C542" i="5"/>
  <c r="F542" i="5" s="1"/>
  <c r="C541" i="5"/>
  <c r="C540" i="5"/>
  <c r="D540" i="5" s="1"/>
  <c r="C539" i="5"/>
  <c r="F539" i="5" s="1"/>
  <c r="C538" i="5"/>
  <c r="F538" i="5" s="1"/>
  <c r="C537" i="5"/>
  <c r="F537" i="5" s="1"/>
  <c r="C536" i="5"/>
  <c r="C535" i="5"/>
  <c r="F535" i="5" s="1"/>
  <c r="C534" i="5"/>
  <c r="F534" i="5" s="1"/>
  <c r="C533" i="5"/>
  <c r="D533" i="5" s="1"/>
  <c r="C532" i="5"/>
  <c r="C531" i="5"/>
  <c r="F531" i="5" s="1"/>
  <c r="C530" i="5"/>
  <c r="F530" i="5" s="1"/>
  <c r="C529" i="5"/>
  <c r="F529" i="5" s="1"/>
  <c r="C528" i="5"/>
  <c r="C527" i="5"/>
  <c r="E527" i="5" s="1"/>
  <c r="G527" i="5" s="1"/>
  <c r="C526" i="5"/>
  <c r="F526" i="5" s="1"/>
  <c r="C525" i="5"/>
  <c r="F525" i="5" s="1"/>
  <c r="C524" i="5"/>
  <c r="E524" i="5" s="1"/>
  <c r="G524" i="5" s="1"/>
  <c r="C523" i="5"/>
  <c r="C522" i="5"/>
  <c r="F522" i="5" s="1"/>
  <c r="C521" i="5"/>
  <c r="C520" i="5"/>
  <c r="E520" i="5" s="1"/>
  <c r="G520" i="5" s="1"/>
  <c r="C519" i="5"/>
  <c r="C518" i="5"/>
  <c r="F518" i="5" s="1"/>
  <c r="C517" i="5"/>
  <c r="D517" i="5" s="1"/>
  <c r="C516" i="5"/>
  <c r="D516" i="5" s="1"/>
  <c r="C515" i="5"/>
  <c r="C514" i="5"/>
  <c r="E514" i="5" s="1"/>
  <c r="G514" i="5" s="1"/>
  <c r="C513" i="5"/>
  <c r="C512" i="5"/>
  <c r="C511" i="5"/>
  <c r="F511" i="5" s="1"/>
  <c r="C510" i="5"/>
  <c r="C509" i="5"/>
  <c r="C508" i="5"/>
  <c r="F508" i="5" s="1"/>
  <c r="C507" i="5"/>
  <c r="F507" i="5" s="1"/>
  <c r="C506" i="5"/>
  <c r="F506" i="5" s="1"/>
  <c r="C505" i="5"/>
  <c r="F505" i="5" s="1"/>
  <c r="C504" i="5"/>
  <c r="F504" i="5" s="1"/>
  <c r="C503" i="5"/>
  <c r="F503" i="5" s="1"/>
  <c r="C502" i="5"/>
  <c r="C501" i="5"/>
  <c r="C500" i="5"/>
  <c r="F500" i="5" s="1"/>
  <c r="C499" i="5"/>
  <c r="C498" i="5"/>
  <c r="D498" i="5" s="1"/>
  <c r="C497" i="5"/>
  <c r="E497" i="5" s="1"/>
  <c r="I497" i="5" s="1"/>
  <c r="C496" i="5"/>
  <c r="F496" i="5" s="1"/>
  <c r="C495" i="5"/>
  <c r="F495" i="5" s="1"/>
  <c r="C494" i="5"/>
  <c r="E494" i="5" s="1"/>
  <c r="H494" i="5" s="1"/>
  <c r="C493" i="5"/>
  <c r="C492" i="5"/>
  <c r="F492" i="5" s="1"/>
  <c r="C491" i="5"/>
  <c r="C490" i="5"/>
  <c r="D490" i="5" s="1"/>
  <c r="C489" i="5"/>
  <c r="C488" i="5"/>
  <c r="F488" i="5" s="1"/>
  <c r="C487" i="5"/>
  <c r="C486" i="5"/>
  <c r="D486" i="5" s="1"/>
  <c r="C485" i="5"/>
  <c r="C484" i="5"/>
  <c r="F484" i="5" s="1"/>
  <c r="C483" i="5"/>
  <c r="C482" i="5"/>
  <c r="C481" i="5"/>
  <c r="C480" i="5"/>
  <c r="F480" i="5" s="1"/>
  <c r="C479" i="5"/>
  <c r="F479" i="5" s="1"/>
  <c r="C478" i="5"/>
  <c r="F478" i="5" s="1"/>
  <c r="C477" i="5"/>
  <c r="D477" i="5" s="1"/>
  <c r="C476" i="5"/>
  <c r="F476" i="5" s="1"/>
  <c r="C475" i="5"/>
  <c r="C474" i="5"/>
  <c r="D474" i="5" s="1"/>
  <c r="C473" i="5"/>
  <c r="E473" i="5" s="1"/>
  <c r="G473" i="5" s="1"/>
  <c r="C472" i="5"/>
  <c r="C471" i="5"/>
  <c r="C470" i="5"/>
  <c r="F470" i="5" s="1"/>
  <c r="C469" i="5"/>
  <c r="C468" i="5"/>
  <c r="D468" i="5" s="1"/>
  <c r="C467" i="5"/>
  <c r="C466" i="5"/>
  <c r="E466" i="5" s="1"/>
  <c r="G466" i="5" s="1"/>
  <c r="C465" i="5"/>
  <c r="D465" i="5" s="1"/>
  <c r="C464" i="5"/>
  <c r="C463" i="5"/>
  <c r="C462" i="5"/>
  <c r="D462" i="5" s="1"/>
  <c r="C461" i="5"/>
  <c r="E461" i="5" s="1"/>
  <c r="G461" i="5" s="1"/>
  <c r="C460" i="5"/>
  <c r="C459" i="5"/>
  <c r="D458" i="5"/>
  <c r="C458" i="5"/>
  <c r="F458" i="5" s="1"/>
  <c r="C457" i="5"/>
  <c r="F457" i="5" s="1"/>
  <c r="C456" i="5"/>
  <c r="C455" i="5"/>
  <c r="E455" i="5" s="1"/>
  <c r="G455" i="5" s="1"/>
  <c r="C454" i="5"/>
  <c r="C453" i="5"/>
  <c r="E453" i="5" s="1"/>
  <c r="G453" i="5" s="1"/>
  <c r="C452" i="5"/>
  <c r="C451" i="5"/>
  <c r="F451" i="5" s="1"/>
  <c r="C450" i="5"/>
  <c r="D450" i="5" s="1"/>
  <c r="C449" i="5"/>
  <c r="C448" i="5"/>
  <c r="F448" i="5" s="1"/>
  <c r="E447" i="5"/>
  <c r="G447" i="5" s="1"/>
  <c r="C447" i="5"/>
  <c r="F447" i="5" s="1"/>
  <c r="C446" i="5"/>
  <c r="F446" i="5" s="1"/>
  <c r="C445" i="5"/>
  <c r="D445" i="5" s="1"/>
  <c r="C444" i="5"/>
  <c r="C443" i="5"/>
  <c r="E443" i="5" s="1"/>
  <c r="C442" i="5"/>
  <c r="F442" i="5" s="1"/>
  <c r="C441" i="5"/>
  <c r="C440" i="5"/>
  <c r="C439" i="5"/>
  <c r="F439" i="5" s="1"/>
  <c r="C438" i="5"/>
  <c r="F438" i="5" s="1"/>
  <c r="C437" i="5"/>
  <c r="C436" i="5"/>
  <c r="F436" i="5" s="1"/>
  <c r="C435" i="5"/>
  <c r="F435" i="5" s="1"/>
  <c r="C434" i="5"/>
  <c r="F434" i="5" s="1"/>
  <c r="D433" i="5"/>
  <c r="C433" i="5"/>
  <c r="C432" i="5"/>
  <c r="E431" i="5"/>
  <c r="G431" i="5" s="1"/>
  <c r="C431" i="5"/>
  <c r="C430" i="5"/>
  <c r="F430" i="5" s="1"/>
  <c r="C429" i="5"/>
  <c r="C428" i="5"/>
  <c r="F428" i="5" s="1"/>
  <c r="C427" i="5"/>
  <c r="F427" i="5" s="1"/>
  <c r="C426" i="5"/>
  <c r="F426" i="5" s="1"/>
  <c r="D425" i="5"/>
  <c r="C425" i="5"/>
  <c r="C424" i="5"/>
  <c r="F424" i="5" s="1"/>
  <c r="C423" i="5"/>
  <c r="F423" i="5" s="1"/>
  <c r="C422" i="5"/>
  <c r="F422" i="5" s="1"/>
  <c r="C421" i="5"/>
  <c r="C420" i="5"/>
  <c r="C419" i="5"/>
  <c r="C418" i="5"/>
  <c r="F418" i="5" s="1"/>
  <c r="C417" i="5"/>
  <c r="C416" i="5"/>
  <c r="F416" i="5" s="1"/>
  <c r="C415" i="5"/>
  <c r="F415" i="5" s="1"/>
  <c r="C414" i="5"/>
  <c r="F414" i="5" s="1"/>
  <c r="C413" i="5"/>
  <c r="C412" i="5"/>
  <c r="C411" i="5"/>
  <c r="C410" i="5"/>
  <c r="F410" i="5" s="1"/>
  <c r="C409" i="5"/>
  <c r="C408" i="5"/>
  <c r="F408" i="5" s="1"/>
  <c r="C407" i="5"/>
  <c r="C406" i="5"/>
  <c r="F406" i="5" s="1"/>
  <c r="C405" i="5"/>
  <c r="C404" i="5"/>
  <c r="C403" i="5"/>
  <c r="C402" i="5"/>
  <c r="F402" i="5" s="1"/>
  <c r="C401" i="5"/>
  <c r="C400" i="5"/>
  <c r="F400" i="5" s="1"/>
  <c r="C399" i="5"/>
  <c r="C398" i="5"/>
  <c r="E398" i="5" s="1"/>
  <c r="G398" i="5" s="1"/>
  <c r="C397" i="5"/>
  <c r="F397" i="5" s="1"/>
  <c r="D396" i="5"/>
  <c r="C396" i="5"/>
  <c r="F396" i="5" s="1"/>
  <c r="C395" i="5"/>
  <c r="E395" i="5" s="1"/>
  <c r="G395" i="5" s="1"/>
  <c r="C394" i="5"/>
  <c r="D394" i="5" s="1"/>
  <c r="C393" i="5"/>
  <c r="F393" i="5" s="1"/>
  <c r="C392" i="5"/>
  <c r="C391" i="5"/>
  <c r="C390" i="5"/>
  <c r="C389" i="5"/>
  <c r="F389" i="5" s="1"/>
  <c r="C388" i="5"/>
  <c r="F388" i="5" s="1"/>
  <c r="C387" i="5"/>
  <c r="E387" i="5" s="1"/>
  <c r="G387" i="5" s="1"/>
  <c r="C386" i="5"/>
  <c r="E386" i="5" s="1"/>
  <c r="G386" i="5" s="1"/>
  <c r="C385" i="5"/>
  <c r="F385" i="5" s="1"/>
  <c r="C384" i="5"/>
  <c r="F384" i="5" s="1"/>
  <c r="C383" i="5"/>
  <c r="C382" i="5"/>
  <c r="E382" i="5" s="1"/>
  <c r="G382" i="5" s="1"/>
  <c r="C381" i="5"/>
  <c r="F381" i="5" s="1"/>
  <c r="C380" i="5"/>
  <c r="F380" i="5" s="1"/>
  <c r="C379" i="5"/>
  <c r="E379" i="5" s="1"/>
  <c r="G379" i="5" s="1"/>
  <c r="C378" i="5"/>
  <c r="D378" i="5" s="1"/>
  <c r="C377" i="5"/>
  <c r="F377" i="5" s="1"/>
  <c r="C376" i="5"/>
  <c r="C375" i="5"/>
  <c r="C374" i="5"/>
  <c r="C373" i="5"/>
  <c r="F373" i="5" s="1"/>
  <c r="C372" i="5"/>
  <c r="F372" i="5" s="1"/>
  <c r="C371" i="5"/>
  <c r="E371" i="5" s="1"/>
  <c r="G371" i="5" s="1"/>
  <c r="D370" i="5"/>
  <c r="C370" i="5"/>
  <c r="E370" i="5" s="1"/>
  <c r="G370" i="5" s="1"/>
  <c r="C369" i="5"/>
  <c r="F369" i="5" s="1"/>
  <c r="C368" i="5"/>
  <c r="F368" i="5" s="1"/>
  <c r="C367" i="5"/>
  <c r="C366" i="5"/>
  <c r="E366" i="5" s="1"/>
  <c r="G366" i="5" s="1"/>
  <c r="C365" i="5"/>
  <c r="F365" i="5" s="1"/>
  <c r="C364" i="5"/>
  <c r="F364" i="5" s="1"/>
  <c r="C363" i="5"/>
  <c r="E363" i="5" s="1"/>
  <c r="G363" i="5" s="1"/>
  <c r="C362" i="5"/>
  <c r="E362" i="5" s="1"/>
  <c r="G362" i="5" s="1"/>
  <c r="C361" i="5"/>
  <c r="F361" i="5" s="1"/>
  <c r="C360" i="5"/>
  <c r="C359" i="5"/>
  <c r="C358" i="5"/>
  <c r="C357" i="5"/>
  <c r="F357" i="5" s="1"/>
  <c r="C356" i="5"/>
  <c r="F356" i="5" s="1"/>
  <c r="C355" i="5"/>
  <c r="E355" i="5" s="1"/>
  <c r="G355" i="5" s="1"/>
  <c r="C354" i="5"/>
  <c r="E354" i="5" s="1"/>
  <c r="G354" i="5" s="1"/>
  <c r="C353" i="5"/>
  <c r="F353" i="5" s="1"/>
  <c r="C352" i="5"/>
  <c r="F352" i="5" s="1"/>
  <c r="C351" i="5"/>
  <c r="C350" i="5"/>
  <c r="C349" i="5"/>
  <c r="F349" i="5" s="1"/>
  <c r="C348" i="5"/>
  <c r="F348" i="5" s="1"/>
  <c r="C347" i="5"/>
  <c r="E347" i="5" s="1"/>
  <c r="G347" i="5" s="1"/>
  <c r="C346" i="5"/>
  <c r="E346" i="5" s="1"/>
  <c r="G346" i="5" s="1"/>
  <c r="C345" i="5"/>
  <c r="F345" i="5" s="1"/>
  <c r="C344" i="5"/>
  <c r="C343" i="5"/>
  <c r="F343" i="5" s="1"/>
  <c r="C342" i="5"/>
  <c r="D342" i="5" s="1"/>
  <c r="C341" i="5"/>
  <c r="E340" i="5"/>
  <c r="G340" i="5" s="1"/>
  <c r="C340" i="5"/>
  <c r="F340" i="5" s="1"/>
  <c r="C339" i="5"/>
  <c r="F339" i="5" s="1"/>
  <c r="C338" i="5"/>
  <c r="E338" i="5" s="1"/>
  <c r="G338" i="5" s="1"/>
  <c r="E337" i="5"/>
  <c r="G337" i="5" s="1"/>
  <c r="C337" i="5"/>
  <c r="F337" i="5" s="1"/>
  <c r="C336" i="5"/>
  <c r="F336" i="5" s="1"/>
  <c r="C335" i="5"/>
  <c r="C334" i="5"/>
  <c r="C333" i="5"/>
  <c r="F333" i="5" s="1"/>
  <c r="C332" i="5"/>
  <c r="F332" i="5" s="1"/>
  <c r="E331" i="5"/>
  <c r="G331" i="5" s="1"/>
  <c r="C331" i="5"/>
  <c r="F331" i="5" s="1"/>
  <c r="C330" i="5"/>
  <c r="E330" i="5" s="1"/>
  <c r="G330" i="5" s="1"/>
  <c r="C329" i="5"/>
  <c r="F329" i="5" s="1"/>
  <c r="D328" i="5"/>
  <c r="C328" i="5"/>
  <c r="F328" i="5" s="1"/>
  <c r="E327" i="5"/>
  <c r="G327" i="5" s="1"/>
  <c r="C327" i="5"/>
  <c r="F327" i="5" s="1"/>
  <c r="D326" i="5"/>
  <c r="C326" i="5"/>
  <c r="C325" i="5"/>
  <c r="C324" i="5"/>
  <c r="C323" i="5"/>
  <c r="F323" i="5" s="1"/>
  <c r="C322" i="5"/>
  <c r="E322" i="5" s="1"/>
  <c r="G322" i="5" s="1"/>
  <c r="C321" i="5"/>
  <c r="F321" i="5" s="1"/>
  <c r="C320" i="5"/>
  <c r="D320" i="5" s="1"/>
  <c r="C319" i="5"/>
  <c r="E319" i="5" s="1"/>
  <c r="G319" i="5" s="1"/>
  <c r="D318" i="5"/>
  <c r="C318" i="5"/>
  <c r="C317" i="5"/>
  <c r="C316" i="5"/>
  <c r="F316" i="5" s="1"/>
  <c r="C315" i="5"/>
  <c r="C314" i="5"/>
  <c r="E314" i="5" s="1"/>
  <c r="G314" i="5" s="1"/>
  <c r="C313" i="5"/>
  <c r="C312" i="5"/>
  <c r="F312" i="5" s="1"/>
  <c r="C311" i="5"/>
  <c r="E311" i="5" s="1"/>
  <c r="G311" i="5" s="1"/>
  <c r="C310" i="5"/>
  <c r="C309" i="5"/>
  <c r="C308" i="5"/>
  <c r="C307" i="5"/>
  <c r="E307" i="5" s="1"/>
  <c r="G307" i="5" s="1"/>
  <c r="C306" i="5"/>
  <c r="C305" i="5"/>
  <c r="C304" i="5"/>
  <c r="D304" i="5" s="1"/>
  <c r="C303" i="5"/>
  <c r="E303" i="5" s="1"/>
  <c r="G303" i="5" s="1"/>
  <c r="D302" i="5"/>
  <c r="C302" i="5"/>
  <c r="C301" i="5"/>
  <c r="C300" i="5"/>
  <c r="F300" i="5" s="1"/>
  <c r="C299" i="5"/>
  <c r="C298" i="5"/>
  <c r="D298" i="5" s="1"/>
  <c r="C297" i="5"/>
  <c r="C296" i="5"/>
  <c r="F296" i="5" s="1"/>
  <c r="C295" i="5"/>
  <c r="E295" i="5" s="1"/>
  <c r="G295" i="5" s="1"/>
  <c r="C294" i="5"/>
  <c r="C293" i="5"/>
  <c r="C292" i="5"/>
  <c r="C291" i="5"/>
  <c r="E291" i="5" s="1"/>
  <c r="G291" i="5" s="1"/>
  <c r="C290" i="5"/>
  <c r="D290" i="5" s="1"/>
  <c r="C289" i="5"/>
  <c r="F289" i="5" s="1"/>
  <c r="C288" i="5"/>
  <c r="C287" i="5"/>
  <c r="E287" i="5" s="1"/>
  <c r="G287" i="5" s="1"/>
  <c r="C286" i="5"/>
  <c r="D286" i="5" s="1"/>
  <c r="C285" i="5"/>
  <c r="F285" i="5" s="1"/>
  <c r="C284" i="5"/>
  <c r="F284" i="5" s="1"/>
  <c r="C283" i="5"/>
  <c r="C282" i="5"/>
  <c r="E282" i="5" s="1"/>
  <c r="G282" i="5" s="1"/>
  <c r="C281" i="5"/>
  <c r="F281" i="5" s="1"/>
  <c r="C280" i="5"/>
  <c r="F280" i="5" s="1"/>
  <c r="C279" i="5"/>
  <c r="E279" i="5" s="1"/>
  <c r="G279" i="5" s="1"/>
  <c r="C278" i="5"/>
  <c r="C277" i="5"/>
  <c r="F277" i="5" s="1"/>
  <c r="C276" i="5"/>
  <c r="C275" i="5"/>
  <c r="E275" i="5" s="1"/>
  <c r="G275" i="5" s="1"/>
  <c r="C274" i="5"/>
  <c r="C273" i="5"/>
  <c r="F273" i="5" s="1"/>
  <c r="C272" i="5"/>
  <c r="D272" i="5" s="1"/>
  <c r="C271" i="5"/>
  <c r="E271" i="5" s="1"/>
  <c r="G271" i="5" s="1"/>
  <c r="C270" i="5"/>
  <c r="C269" i="5"/>
  <c r="F269" i="5" s="1"/>
  <c r="C268" i="5"/>
  <c r="F268" i="5" s="1"/>
  <c r="C267" i="5"/>
  <c r="E267" i="5" s="1"/>
  <c r="G267" i="5" s="1"/>
  <c r="C266" i="5"/>
  <c r="F266" i="5" s="1"/>
  <c r="C265" i="5"/>
  <c r="F265" i="5" s="1"/>
  <c r="C264" i="5"/>
  <c r="F264" i="5" s="1"/>
  <c r="C263" i="5"/>
  <c r="E263" i="5" s="1"/>
  <c r="G263" i="5" s="1"/>
  <c r="C262" i="5"/>
  <c r="F262" i="5" s="1"/>
  <c r="C261" i="5"/>
  <c r="F261" i="5" s="1"/>
  <c r="E260" i="5"/>
  <c r="G260" i="5" s="1"/>
  <c r="C260" i="5"/>
  <c r="F260" i="5" s="1"/>
  <c r="C259" i="5"/>
  <c r="C258" i="5"/>
  <c r="F258" i="5" s="1"/>
  <c r="C257" i="5"/>
  <c r="F257" i="5" s="1"/>
  <c r="C256" i="5"/>
  <c r="E256" i="5" s="1"/>
  <c r="C255" i="5"/>
  <c r="E255" i="5" s="1"/>
  <c r="G255" i="5" s="1"/>
  <c r="C254" i="5"/>
  <c r="C253" i="5"/>
  <c r="F253" i="5" s="1"/>
  <c r="D252" i="5"/>
  <c r="C252" i="5"/>
  <c r="E251" i="5"/>
  <c r="G251" i="5" s="1"/>
  <c r="C251" i="5"/>
  <c r="F251" i="5" s="1"/>
  <c r="C250" i="5"/>
  <c r="F250" i="5" s="1"/>
  <c r="C249" i="5"/>
  <c r="F249" i="5" s="1"/>
  <c r="C248" i="5"/>
  <c r="C247" i="5"/>
  <c r="E247" i="5" s="1"/>
  <c r="G247" i="5" s="1"/>
  <c r="C246" i="5"/>
  <c r="F246" i="5" s="1"/>
  <c r="C245" i="5"/>
  <c r="F245" i="5" s="1"/>
  <c r="C244" i="5"/>
  <c r="F244" i="5" s="1"/>
  <c r="C243" i="5"/>
  <c r="D243" i="5" s="1"/>
  <c r="C242" i="5"/>
  <c r="F242" i="5" s="1"/>
  <c r="C241" i="5"/>
  <c r="C240" i="5"/>
  <c r="F240" i="5" s="1"/>
  <c r="C239" i="5"/>
  <c r="F239" i="5" s="1"/>
  <c r="C238" i="5"/>
  <c r="F238" i="5" s="1"/>
  <c r="C237" i="5"/>
  <c r="F237" i="5" s="1"/>
  <c r="C236" i="5"/>
  <c r="D236" i="5" s="1"/>
  <c r="C235" i="5"/>
  <c r="F235" i="5" s="1"/>
  <c r="C234" i="5"/>
  <c r="F234" i="5" s="1"/>
  <c r="C233" i="5"/>
  <c r="F233" i="5" s="1"/>
  <c r="C232" i="5"/>
  <c r="F232" i="5" s="1"/>
  <c r="C231" i="5"/>
  <c r="D231" i="5" s="1"/>
  <c r="C230" i="5"/>
  <c r="E230" i="5" s="1"/>
  <c r="G230" i="5" s="1"/>
  <c r="C229" i="5"/>
  <c r="D229" i="5" s="1"/>
  <c r="C228" i="5"/>
  <c r="F228" i="5" s="1"/>
  <c r="D227" i="5"/>
  <c r="C227" i="5"/>
  <c r="F227" i="5" s="1"/>
  <c r="C226" i="5"/>
  <c r="C225" i="5"/>
  <c r="F225" i="5" s="1"/>
  <c r="C224" i="5"/>
  <c r="F224" i="5" s="1"/>
  <c r="C223" i="5"/>
  <c r="F223" i="5" s="1"/>
  <c r="C222" i="5"/>
  <c r="F222" i="5" s="1"/>
  <c r="C221" i="5"/>
  <c r="D221" i="5" s="1"/>
  <c r="C220" i="5"/>
  <c r="D220" i="5" s="1"/>
  <c r="C219" i="5"/>
  <c r="F219" i="5" s="1"/>
  <c r="C218" i="5"/>
  <c r="D217" i="5"/>
  <c r="C217" i="5"/>
  <c r="F217" i="5" s="1"/>
  <c r="C216" i="5"/>
  <c r="F216" i="5" s="1"/>
  <c r="C215" i="5"/>
  <c r="F215" i="5" s="1"/>
  <c r="D214" i="5"/>
  <c r="C214" i="5"/>
  <c r="F214" i="5" s="1"/>
  <c r="C213" i="5"/>
  <c r="C212" i="5"/>
  <c r="D212" i="5" s="1"/>
  <c r="C211" i="5"/>
  <c r="F211" i="5" s="1"/>
  <c r="C210" i="5"/>
  <c r="C209" i="5"/>
  <c r="C208" i="5"/>
  <c r="E208" i="5" s="1"/>
  <c r="C207" i="5"/>
  <c r="F207" i="5" s="1"/>
  <c r="C206" i="5"/>
  <c r="F206" i="5" s="1"/>
  <c r="C205" i="5"/>
  <c r="F205" i="5" s="1"/>
  <c r="C204" i="5"/>
  <c r="F204" i="5" s="1"/>
  <c r="C203" i="5"/>
  <c r="F203" i="5" s="1"/>
  <c r="C202" i="5"/>
  <c r="F202" i="5" s="1"/>
  <c r="C201" i="5"/>
  <c r="D201" i="5" s="1"/>
  <c r="C200" i="5"/>
  <c r="D200" i="5" s="1"/>
  <c r="C199" i="5"/>
  <c r="F199" i="5" s="1"/>
  <c r="C198" i="5"/>
  <c r="C197" i="5"/>
  <c r="F197" i="5" s="1"/>
  <c r="C196" i="5"/>
  <c r="F196" i="5" s="1"/>
  <c r="C195" i="5"/>
  <c r="F195" i="5" s="1"/>
  <c r="C194" i="5"/>
  <c r="F194" i="5" s="1"/>
  <c r="C193" i="5"/>
  <c r="F193" i="5" s="1"/>
  <c r="C192" i="5"/>
  <c r="F192" i="5" s="1"/>
  <c r="C191" i="5"/>
  <c r="F191" i="5" s="1"/>
  <c r="C190" i="5"/>
  <c r="F190" i="5" s="1"/>
  <c r="C189" i="5"/>
  <c r="D189" i="5" s="1"/>
  <c r="C188" i="5"/>
  <c r="D188" i="5" s="1"/>
  <c r="C187" i="5"/>
  <c r="F187" i="5" s="1"/>
  <c r="C186" i="5"/>
  <c r="D185" i="5"/>
  <c r="C185" i="5"/>
  <c r="F185" i="5" s="1"/>
  <c r="C184" i="5"/>
  <c r="F184" i="5" s="1"/>
  <c r="C183" i="5"/>
  <c r="F183" i="5" s="1"/>
  <c r="C182" i="5"/>
  <c r="F182" i="5" s="1"/>
  <c r="C181" i="5"/>
  <c r="D181" i="5" s="1"/>
  <c r="C180" i="5"/>
  <c r="D180" i="5" s="1"/>
  <c r="C179" i="5"/>
  <c r="F179" i="5" s="1"/>
  <c r="C178" i="5"/>
  <c r="C177" i="5"/>
  <c r="E177" i="5" s="1"/>
  <c r="G177" i="5" s="1"/>
  <c r="C176" i="5"/>
  <c r="E176" i="5" s="1"/>
  <c r="C175" i="5"/>
  <c r="F175" i="5" s="1"/>
  <c r="C174" i="5"/>
  <c r="F174" i="5" s="1"/>
  <c r="C173" i="5"/>
  <c r="F173" i="5" s="1"/>
  <c r="C172" i="5"/>
  <c r="F172" i="5" s="1"/>
  <c r="C171" i="5"/>
  <c r="F171" i="5" s="1"/>
  <c r="C170" i="5"/>
  <c r="F170" i="5" s="1"/>
  <c r="C169" i="5"/>
  <c r="D169" i="5" s="1"/>
  <c r="C168" i="5"/>
  <c r="F168" i="5" s="1"/>
  <c r="C167" i="5"/>
  <c r="F167" i="5" s="1"/>
  <c r="C166" i="5"/>
  <c r="F166" i="5" s="1"/>
  <c r="C165" i="5"/>
  <c r="F165" i="5" s="1"/>
  <c r="C164" i="5"/>
  <c r="F164" i="5" s="1"/>
  <c r="C163" i="5"/>
  <c r="F163" i="5" s="1"/>
  <c r="C162" i="5"/>
  <c r="F162" i="5" s="1"/>
  <c r="C161" i="5"/>
  <c r="F161" i="5" s="1"/>
  <c r="C160" i="5"/>
  <c r="F160" i="5" s="1"/>
  <c r="C159" i="5"/>
  <c r="F159" i="5" s="1"/>
  <c r="C158" i="5"/>
  <c r="F158" i="5" s="1"/>
  <c r="C157" i="5"/>
  <c r="F157" i="5" s="1"/>
  <c r="C156" i="5"/>
  <c r="F156" i="5" s="1"/>
  <c r="C155" i="5"/>
  <c r="F155" i="5" s="1"/>
  <c r="C154" i="5"/>
  <c r="F154" i="5" s="1"/>
  <c r="C153" i="5"/>
  <c r="F153" i="5" s="1"/>
  <c r="C152" i="5"/>
  <c r="F152" i="5" s="1"/>
  <c r="C151" i="5"/>
  <c r="F151" i="5" s="1"/>
  <c r="C150" i="5"/>
  <c r="F150" i="5" s="1"/>
  <c r="C149" i="5"/>
  <c r="F149" i="5" s="1"/>
  <c r="C148" i="5"/>
  <c r="F148" i="5" s="1"/>
  <c r="C147" i="5"/>
  <c r="F147" i="5" s="1"/>
  <c r="C146" i="5"/>
  <c r="F146" i="5" s="1"/>
  <c r="C145" i="5"/>
  <c r="F145" i="5" s="1"/>
  <c r="D144" i="5"/>
  <c r="C144" i="5"/>
  <c r="F144" i="5" s="1"/>
  <c r="C143" i="5"/>
  <c r="F143" i="5" s="1"/>
  <c r="C142" i="5"/>
  <c r="F142" i="5" s="1"/>
  <c r="C141" i="5"/>
  <c r="F141" i="5" s="1"/>
  <c r="C140" i="5"/>
  <c r="F140" i="5" s="1"/>
  <c r="C139" i="5"/>
  <c r="F139" i="5" s="1"/>
  <c r="C138" i="5"/>
  <c r="F138" i="5" s="1"/>
  <c r="C137" i="5"/>
  <c r="F137" i="5" s="1"/>
  <c r="C136" i="5"/>
  <c r="F136" i="5" s="1"/>
  <c r="C135" i="5"/>
  <c r="F135" i="5" s="1"/>
  <c r="C134" i="5"/>
  <c r="F134" i="5" s="1"/>
  <c r="C133" i="5"/>
  <c r="F133" i="5" s="1"/>
  <c r="C132" i="5"/>
  <c r="F132" i="5" s="1"/>
  <c r="C131" i="5"/>
  <c r="F131" i="5" s="1"/>
  <c r="C130" i="5"/>
  <c r="D130" i="5" s="1"/>
  <c r="C129" i="5"/>
  <c r="F129" i="5" s="1"/>
  <c r="C128" i="5"/>
  <c r="F128" i="5" s="1"/>
  <c r="C127" i="5"/>
  <c r="F127" i="5" s="1"/>
  <c r="C126" i="5"/>
  <c r="F126" i="5" s="1"/>
  <c r="C125" i="5"/>
  <c r="F125" i="5" s="1"/>
  <c r="C124" i="5"/>
  <c r="F124" i="5" s="1"/>
  <c r="C123" i="5"/>
  <c r="F123" i="5" s="1"/>
  <c r="C122" i="5"/>
  <c r="F122" i="5" s="1"/>
  <c r="C121" i="5"/>
  <c r="F121" i="5" s="1"/>
  <c r="C120" i="5"/>
  <c r="F120" i="5" s="1"/>
  <c r="C119" i="5"/>
  <c r="F119" i="5" s="1"/>
  <c r="C118" i="5"/>
  <c r="F118" i="5" s="1"/>
  <c r="C117" i="5"/>
  <c r="F117" i="5" s="1"/>
  <c r="C116" i="5"/>
  <c r="F116" i="5" s="1"/>
  <c r="C115" i="5"/>
  <c r="F115" i="5" s="1"/>
  <c r="C114" i="5"/>
  <c r="F114" i="5" s="1"/>
  <c r="C113" i="5"/>
  <c r="F113" i="5" s="1"/>
  <c r="C112" i="5"/>
  <c r="F112" i="5" s="1"/>
  <c r="C111" i="5"/>
  <c r="F111" i="5" s="1"/>
  <c r="C110" i="5"/>
  <c r="F110" i="5" s="1"/>
  <c r="C109" i="5"/>
  <c r="F109" i="5" s="1"/>
  <c r="C108" i="5"/>
  <c r="F108" i="5" s="1"/>
  <c r="C107" i="5"/>
  <c r="F107" i="5" s="1"/>
  <c r="C106" i="5"/>
  <c r="F106" i="5" s="1"/>
  <c r="C105" i="5"/>
  <c r="F105" i="5" s="1"/>
  <c r="C104" i="5"/>
  <c r="F104" i="5" s="1"/>
  <c r="C103" i="5"/>
  <c r="F103" i="5" s="1"/>
  <c r="C102" i="5"/>
  <c r="F102" i="5" s="1"/>
  <c r="C101" i="5"/>
  <c r="F101" i="5" s="1"/>
  <c r="C100" i="5"/>
  <c r="F100" i="5" s="1"/>
  <c r="C99" i="5"/>
  <c r="F99" i="5" s="1"/>
  <c r="C98" i="5"/>
  <c r="F98" i="5" s="1"/>
  <c r="C97" i="5"/>
  <c r="F97" i="5" s="1"/>
  <c r="C96" i="5"/>
  <c r="F96" i="5" s="1"/>
  <c r="C95" i="5"/>
  <c r="F95" i="5" s="1"/>
  <c r="C94" i="5"/>
  <c r="F94" i="5" s="1"/>
  <c r="C93" i="5"/>
  <c r="D93" i="5" s="1"/>
  <c r="C92" i="5"/>
  <c r="F92" i="5" s="1"/>
  <c r="C91" i="5"/>
  <c r="F91" i="5" s="1"/>
  <c r="C90" i="5"/>
  <c r="F90" i="5" s="1"/>
  <c r="C89" i="5"/>
  <c r="F89" i="5" s="1"/>
  <c r="C88" i="5"/>
  <c r="F88" i="5" s="1"/>
  <c r="C87" i="5"/>
  <c r="C86" i="5"/>
  <c r="B86" i="5" s="1"/>
  <c r="C85" i="5"/>
  <c r="F85" i="5" s="1"/>
  <c r="E84" i="5"/>
  <c r="G84" i="5" s="1"/>
  <c r="C84" i="5"/>
  <c r="F84" i="5" s="1"/>
  <c r="C83" i="5"/>
  <c r="C82" i="5"/>
  <c r="C81" i="5"/>
  <c r="F81" i="5" s="1"/>
  <c r="C80" i="5"/>
  <c r="F80" i="5" s="1"/>
  <c r="C79" i="5"/>
  <c r="C78" i="5"/>
  <c r="C77" i="5"/>
  <c r="C76" i="5"/>
  <c r="F76" i="5" s="1"/>
  <c r="C75" i="5"/>
  <c r="F75" i="5" s="1"/>
  <c r="C74" i="5"/>
  <c r="C73" i="5"/>
  <c r="C72" i="5"/>
  <c r="C71" i="5"/>
  <c r="F71" i="5" s="1"/>
  <c r="C70" i="5"/>
  <c r="E70" i="5" s="1"/>
  <c r="G70" i="5" s="1"/>
  <c r="C69" i="5"/>
  <c r="C68" i="5"/>
  <c r="F68" i="5" s="1"/>
  <c r="C67" i="5"/>
  <c r="F67" i="5" s="1"/>
  <c r="C66" i="5"/>
  <c r="D66" i="5" s="1"/>
  <c r="C65" i="5"/>
  <c r="B65" i="5" s="1"/>
  <c r="C64" i="5"/>
  <c r="F64" i="5" s="1"/>
  <c r="C63" i="5"/>
  <c r="F63" i="5" s="1"/>
  <c r="C62" i="5"/>
  <c r="E62" i="5" s="1"/>
  <c r="G62" i="5" s="1"/>
  <c r="C61" i="5"/>
  <c r="C60" i="5"/>
  <c r="F60" i="5" s="1"/>
  <c r="C59" i="5"/>
  <c r="F59" i="5" s="1"/>
  <c r="C58" i="5"/>
  <c r="C56" i="5"/>
  <c r="F56" i="5" s="1"/>
  <c r="C55" i="5"/>
  <c r="F55" i="5" s="1"/>
  <c r="C54" i="5"/>
  <c r="E54" i="5" s="1"/>
  <c r="G54" i="5" s="1"/>
  <c r="C53" i="5"/>
  <c r="C52" i="5"/>
  <c r="C51" i="5"/>
  <c r="F51" i="5" s="1"/>
  <c r="C50" i="5"/>
  <c r="C49" i="5"/>
  <c r="C48" i="5"/>
  <c r="F48" i="5" s="1"/>
  <c r="C47" i="5"/>
  <c r="F47" i="5" s="1"/>
  <c r="C46" i="5"/>
  <c r="E46" i="5" s="1"/>
  <c r="G46" i="5" s="1"/>
  <c r="C45" i="5"/>
  <c r="C44" i="5"/>
  <c r="C43" i="5"/>
  <c r="F43" i="5" s="1"/>
  <c r="C42" i="5"/>
  <c r="C41" i="5"/>
  <c r="C40" i="5"/>
  <c r="F40" i="5" s="1"/>
  <c r="C39" i="5"/>
  <c r="F39" i="5" s="1"/>
  <c r="C38" i="5"/>
  <c r="C37" i="5"/>
  <c r="C36" i="5"/>
  <c r="F36" i="5" s="1"/>
  <c r="C35" i="5"/>
  <c r="F35" i="5" s="1"/>
  <c r="C34" i="5"/>
  <c r="C33" i="5"/>
  <c r="C32" i="5"/>
  <c r="F32" i="5" s="1"/>
  <c r="C31" i="5"/>
  <c r="F31" i="5" s="1"/>
  <c r="C30" i="5"/>
  <c r="E30" i="5" s="1"/>
  <c r="G30" i="5" s="1"/>
  <c r="C29" i="5"/>
  <c r="B29" i="5" s="1"/>
  <c r="B30" i="5" s="1"/>
  <c r="B31" i="5" s="1"/>
  <c r="C28" i="5"/>
  <c r="F28" i="5" s="1"/>
  <c r="C27" i="5"/>
  <c r="F27" i="5" s="1"/>
  <c r="C26" i="5"/>
  <c r="E26" i="5" s="1"/>
  <c r="G26" i="5" s="1"/>
  <c r="C25" i="5"/>
  <c r="C24" i="5"/>
  <c r="C23" i="5"/>
  <c r="F23" i="5" s="1"/>
  <c r="C22" i="5"/>
  <c r="B22" i="5" s="1"/>
  <c r="C21" i="5"/>
  <c r="C20" i="5"/>
  <c r="F20" i="5" s="1"/>
  <c r="C19" i="5"/>
  <c r="F19" i="5" s="1"/>
  <c r="C18" i="5"/>
  <c r="E18" i="5" s="1"/>
  <c r="G18" i="5" s="1"/>
  <c r="C17" i="5"/>
  <c r="C16" i="5"/>
  <c r="C15" i="5"/>
  <c r="F15" i="5" s="1"/>
  <c r="C14" i="5"/>
  <c r="E14" i="5" s="1"/>
  <c r="G14" i="5" s="1"/>
  <c r="C13" i="5"/>
  <c r="C12" i="5"/>
  <c r="F12" i="5" s="1"/>
  <c r="D11" i="5"/>
  <c r="C11" i="5"/>
  <c r="F11" i="5" s="1"/>
  <c r="C10" i="5"/>
  <c r="E10" i="5" s="1"/>
  <c r="G10" i="5" s="1"/>
  <c r="C9" i="5"/>
  <c r="B9" i="5" s="1"/>
  <c r="C8" i="5"/>
  <c r="F8" i="5" s="1"/>
  <c r="C7" i="5"/>
  <c r="F7" i="5" s="1"/>
  <c r="C6" i="5"/>
  <c r="C5" i="5"/>
  <c r="C4" i="5"/>
  <c r="F4" i="5" s="1"/>
  <c r="C3" i="5"/>
  <c r="F3" i="5" s="1"/>
  <c r="E2" i="5"/>
  <c r="G2" i="5" s="1"/>
  <c r="D15" i="5" l="1"/>
  <c r="D80" i="5"/>
  <c r="E93" i="5"/>
  <c r="G93" i="5" s="1"/>
  <c r="D100" i="5"/>
  <c r="E157" i="5"/>
  <c r="G157" i="5" s="1"/>
  <c r="D168" i="5"/>
  <c r="D190" i="5"/>
  <c r="E197" i="5"/>
  <c r="G197" i="5" s="1"/>
  <c r="E217" i="5"/>
  <c r="G217" i="5" s="1"/>
  <c r="I282" i="5"/>
  <c r="D300" i="5"/>
  <c r="D316" i="5"/>
  <c r="E333" i="5"/>
  <c r="G333" i="5" s="1"/>
  <c r="D336" i="5"/>
  <c r="E368" i="5"/>
  <c r="G368" i="5" s="1"/>
  <c r="D380" i="5"/>
  <c r="E396" i="5"/>
  <c r="G396" i="5" s="1"/>
  <c r="E415" i="5"/>
  <c r="G415" i="5" s="1"/>
  <c r="D507" i="5"/>
  <c r="D514" i="5"/>
  <c r="E540" i="5"/>
  <c r="D542" i="5"/>
  <c r="H577" i="5"/>
  <c r="D696" i="5"/>
  <c r="E706" i="5"/>
  <c r="G706" i="5" s="1"/>
  <c r="B2" i="5"/>
  <c r="D126" i="5"/>
  <c r="D129" i="5"/>
  <c r="E168" i="5"/>
  <c r="G168" i="5" s="1"/>
  <c r="E336" i="5"/>
  <c r="G336" i="5" s="1"/>
  <c r="D439" i="5"/>
  <c r="D453" i="5"/>
  <c r="E498" i="5"/>
  <c r="G498" i="5" s="1"/>
  <c r="D505" i="5"/>
  <c r="I527" i="5"/>
  <c r="D538" i="5"/>
  <c r="D550" i="5"/>
  <c r="D610" i="5"/>
  <c r="E15" i="5"/>
  <c r="G15" i="5" s="1"/>
  <c r="D2" i="5"/>
  <c r="B10" i="5"/>
  <c r="B11" i="5" s="1"/>
  <c r="E11" i="5"/>
  <c r="G11" i="5" s="1"/>
  <c r="B15" i="5"/>
  <c r="D88" i="5"/>
  <c r="E113" i="5"/>
  <c r="G113" i="5" s="1"/>
  <c r="D124" i="5"/>
  <c r="E144" i="5"/>
  <c r="G144" i="5" s="1"/>
  <c r="E240" i="5"/>
  <c r="G240" i="5" s="1"/>
  <c r="D260" i="5"/>
  <c r="E352" i="5"/>
  <c r="G352" i="5" s="1"/>
  <c r="D427" i="5"/>
  <c r="E525" i="5"/>
  <c r="G525" i="5" s="1"/>
  <c r="I604" i="5"/>
  <c r="D614" i="5"/>
  <c r="D47" i="5"/>
  <c r="D75" i="5"/>
  <c r="E80" i="5"/>
  <c r="G80" i="5" s="1"/>
  <c r="E88" i="5"/>
  <c r="G88" i="5" s="1"/>
  <c r="E101" i="5"/>
  <c r="G101" i="5" s="1"/>
  <c r="E124" i="5"/>
  <c r="G124" i="5" s="1"/>
  <c r="D133" i="5"/>
  <c r="D196" i="5"/>
  <c r="D204" i="5"/>
  <c r="D206" i="5"/>
  <c r="E216" i="5"/>
  <c r="G216" i="5" s="1"/>
  <c r="D225" i="5"/>
  <c r="D233" i="5"/>
  <c r="D239" i="5"/>
  <c r="D264" i="5"/>
  <c r="E280" i="5"/>
  <c r="G280" i="5" s="1"/>
  <c r="D296" i="5"/>
  <c r="E300" i="5"/>
  <c r="G300" i="5" s="1"/>
  <c r="D314" i="5"/>
  <c r="D330" i="5"/>
  <c r="D332" i="5"/>
  <c r="I336" i="5"/>
  <c r="D338" i="5"/>
  <c r="E343" i="5"/>
  <c r="G343" i="5" s="1"/>
  <c r="D346" i="5"/>
  <c r="D348" i="5"/>
  <c r="D354" i="5"/>
  <c r="D356" i="5"/>
  <c r="D372" i="5"/>
  <c r="E380" i="5"/>
  <c r="H380" i="5" s="1"/>
  <c r="D386" i="5"/>
  <c r="D388" i="5"/>
  <c r="E423" i="5"/>
  <c r="G423" i="5" s="1"/>
  <c r="E427" i="5"/>
  <c r="H427" i="5" s="1"/>
  <c r="E435" i="5"/>
  <c r="G435" i="5" s="1"/>
  <c r="D455" i="5"/>
  <c r="D457" i="5"/>
  <c r="E458" i="5"/>
  <c r="G458" i="5" s="1"/>
  <c r="E490" i="5"/>
  <c r="G490" i="5" s="1"/>
  <c r="E505" i="5"/>
  <c r="G505" i="5" s="1"/>
  <c r="E572" i="5"/>
  <c r="D574" i="5"/>
  <c r="I576" i="5"/>
  <c r="E602" i="5"/>
  <c r="G602" i="5" s="1"/>
  <c r="E638" i="5"/>
  <c r="E660" i="5"/>
  <c r="G660" i="5" s="1"/>
  <c r="D667" i="5"/>
  <c r="E672" i="5"/>
  <c r="G672" i="5" s="1"/>
  <c r="I686" i="5"/>
  <c r="E689" i="5"/>
  <c r="H689" i="5" s="1"/>
  <c r="E698" i="5"/>
  <c r="G698" i="5" s="1"/>
  <c r="E707" i="5"/>
  <c r="G707" i="5" s="1"/>
  <c r="F714" i="5"/>
  <c r="F618" i="5"/>
  <c r="F634" i="5"/>
  <c r="E47" i="5"/>
  <c r="G47" i="5" s="1"/>
  <c r="B66" i="5"/>
  <c r="B67" i="5" s="1"/>
  <c r="E75" i="5"/>
  <c r="G75" i="5" s="1"/>
  <c r="D84" i="5"/>
  <c r="D112" i="5"/>
  <c r="E133" i="5"/>
  <c r="G133" i="5" s="1"/>
  <c r="E140" i="5"/>
  <c r="G140" i="5" s="1"/>
  <c r="E149" i="5"/>
  <c r="G149" i="5" s="1"/>
  <c r="D156" i="5"/>
  <c r="D158" i="5"/>
  <c r="D161" i="5"/>
  <c r="E204" i="5"/>
  <c r="G204" i="5" s="1"/>
  <c r="E296" i="5"/>
  <c r="G296" i="5" s="1"/>
  <c r="D312" i="5"/>
  <c r="E426" i="5"/>
  <c r="G426" i="5" s="1"/>
  <c r="I455" i="5"/>
  <c r="E457" i="5"/>
  <c r="H457" i="5" s="1"/>
  <c r="D525" i="5"/>
  <c r="D527" i="5"/>
  <c r="D529" i="5"/>
  <c r="D570" i="5"/>
  <c r="E586" i="5"/>
  <c r="G586" i="5" s="1"/>
  <c r="E667" i="5"/>
  <c r="G667" i="5" s="1"/>
  <c r="F706" i="5"/>
  <c r="F614" i="5"/>
  <c r="B107" i="5"/>
  <c r="F686" i="5"/>
  <c r="F638" i="5"/>
  <c r="F586" i="5"/>
  <c r="G650" i="5"/>
  <c r="H630" i="5"/>
  <c r="G630" i="5"/>
  <c r="G256" i="5"/>
  <c r="I256" i="5"/>
  <c r="G443" i="5"/>
  <c r="I443" i="5"/>
  <c r="G208" i="5"/>
  <c r="I208" i="5"/>
  <c r="I176" i="5"/>
  <c r="G176" i="5"/>
  <c r="E85" i="5"/>
  <c r="G85" i="5" s="1"/>
  <c r="D89" i="5"/>
  <c r="E100" i="5"/>
  <c r="G100" i="5" s="1"/>
  <c r="D108" i="5"/>
  <c r="D110" i="5"/>
  <c r="E112" i="5"/>
  <c r="G112" i="5" s="1"/>
  <c r="D117" i="5"/>
  <c r="D128" i="5"/>
  <c r="E129" i="5"/>
  <c r="G129" i="5" s="1"/>
  <c r="D145" i="5"/>
  <c r="E156" i="5"/>
  <c r="G156" i="5" s="1"/>
  <c r="D160" i="5"/>
  <c r="E161" i="5"/>
  <c r="G161" i="5" s="1"/>
  <c r="D172" i="5"/>
  <c r="D173" i="5"/>
  <c r="D174" i="5"/>
  <c r="D184" i="5"/>
  <c r="E185" i="5"/>
  <c r="G185" i="5" s="1"/>
  <c r="D194" i="5"/>
  <c r="E196" i="5"/>
  <c r="H196" i="5" s="1"/>
  <c r="D205" i="5"/>
  <c r="D224" i="5"/>
  <c r="E225" i="5"/>
  <c r="G225" i="5" s="1"/>
  <c r="E227" i="5"/>
  <c r="G227" i="5" s="1"/>
  <c r="D235" i="5"/>
  <c r="E239" i="5"/>
  <c r="G239" i="5" s="1"/>
  <c r="D244" i="5"/>
  <c r="E264" i="5"/>
  <c r="G264" i="5" s="1"/>
  <c r="E298" i="5"/>
  <c r="F298" i="5"/>
  <c r="E312" i="5"/>
  <c r="G312" i="5" s="1"/>
  <c r="I314" i="5"/>
  <c r="E316" i="5"/>
  <c r="G316" i="5" s="1"/>
  <c r="E328" i="5"/>
  <c r="G328" i="5" s="1"/>
  <c r="E348" i="5"/>
  <c r="D362" i="5"/>
  <c r="D364" i="5"/>
  <c r="E378" i="5"/>
  <c r="G378" i="5" s="1"/>
  <c r="F378" i="5"/>
  <c r="E384" i="5"/>
  <c r="G384" i="5" s="1"/>
  <c r="I396" i="5"/>
  <c r="I431" i="5"/>
  <c r="F440" i="5"/>
  <c r="E440" i="5"/>
  <c r="G440" i="5" s="1"/>
  <c r="D451" i="5"/>
  <c r="F454" i="5"/>
  <c r="E454" i="5"/>
  <c r="G454" i="5" s="1"/>
  <c r="D470" i="5"/>
  <c r="F473" i="5"/>
  <c r="D473" i="5"/>
  <c r="D478" i="5"/>
  <c r="F489" i="5"/>
  <c r="D489" i="5"/>
  <c r="I544" i="5"/>
  <c r="H553" i="5"/>
  <c r="G553" i="5"/>
  <c r="F565" i="5"/>
  <c r="E565" i="5"/>
  <c r="G565" i="5" s="1"/>
  <c r="E582" i="5"/>
  <c r="G582" i="5" s="1"/>
  <c r="D652" i="5"/>
  <c r="E652" i="5"/>
  <c r="E656" i="5"/>
  <c r="G656" i="5" s="1"/>
  <c r="D656" i="5"/>
  <c r="E682" i="5"/>
  <c r="G682" i="5" s="1"/>
  <c r="F682" i="5"/>
  <c r="E685" i="5"/>
  <c r="G685" i="5" s="1"/>
  <c r="E694" i="5"/>
  <c r="G694" i="5" s="1"/>
  <c r="D694" i="5"/>
  <c r="F699" i="5"/>
  <c r="E699" i="5"/>
  <c r="G699" i="5" s="1"/>
  <c r="F498" i="5"/>
  <c r="F362" i="5"/>
  <c r="G702" i="5"/>
  <c r="D39" i="5"/>
  <c r="B23" i="5"/>
  <c r="B24" i="5" s="1"/>
  <c r="B25" i="5" s="1"/>
  <c r="B26" i="5" s="1"/>
  <c r="B27" i="5" s="1"/>
  <c r="B28" i="5" s="1"/>
  <c r="D43" i="5"/>
  <c r="D51" i="5"/>
  <c r="D59" i="5"/>
  <c r="E81" i="5"/>
  <c r="G81" i="5" s="1"/>
  <c r="E89" i="5"/>
  <c r="G89" i="5" s="1"/>
  <c r="B108" i="5"/>
  <c r="B109" i="5" s="1"/>
  <c r="B110" i="5" s="1"/>
  <c r="B111" i="5" s="1"/>
  <c r="B112" i="5" s="1"/>
  <c r="B113" i="5" s="1"/>
  <c r="E108" i="5"/>
  <c r="G108" i="5" s="1"/>
  <c r="E117" i="5"/>
  <c r="G117" i="5" s="1"/>
  <c r="E128" i="5"/>
  <c r="G128" i="5" s="1"/>
  <c r="E145" i="5"/>
  <c r="G145" i="5" s="1"/>
  <c r="E160" i="5"/>
  <c r="G160" i="5" s="1"/>
  <c r="E172" i="5"/>
  <c r="H172" i="5" s="1"/>
  <c r="E173" i="5"/>
  <c r="E184" i="5"/>
  <c r="G184" i="5" s="1"/>
  <c r="E205" i="5"/>
  <c r="G205" i="5" s="1"/>
  <c r="E224" i="5"/>
  <c r="G224" i="5" s="1"/>
  <c r="E235" i="5"/>
  <c r="E244" i="5"/>
  <c r="G244" i="5" s="1"/>
  <c r="E364" i="5"/>
  <c r="E394" i="5"/>
  <c r="G394" i="5" s="1"/>
  <c r="F394" i="5"/>
  <c r="F432" i="5"/>
  <c r="E432" i="5"/>
  <c r="G432" i="5" s="1"/>
  <c r="F452" i="5"/>
  <c r="E452" i="5"/>
  <c r="G452" i="5" s="1"/>
  <c r="E471" i="5"/>
  <c r="H471" i="5" s="1"/>
  <c r="D471" i="5"/>
  <c r="E478" i="5"/>
  <c r="G478" i="5" s="1"/>
  <c r="D482" i="5"/>
  <c r="E482" i="5"/>
  <c r="G482" i="5" s="1"/>
  <c r="F497" i="5"/>
  <c r="D497" i="5"/>
  <c r="F545" i="5"/>
  <c r="E545" i="5"/>
  <c r="I545" i="5" s="1"/>
  <c r="D545" i="5"/>
  <c r="D676" i="5"/>
  <c r="E676" i="5"/>
  <c r="G676" i="5" s="1"/>
  <c r="F695" i="5"/>
  <c r="E695" i="5"/>
  <c r="G695" i="5" s="1"/>
  <c r="D713" i="5"/>
  <c r="F713" i="5"/>
  <c r="F702" i="5"/>
  <c r="F685" i="5"/>
  <c r="F490" i="5"/>
  <c r="F330" i="5"/>
  <c r="G494" i="5"/>
  <c r="F407" i="5"/>
  <c r="E407" i="5"/>
  <c r="G407" i="5" s="1"/>
  <c r="F443" i="5"/>
  <c r="D443" i="5"/>
  <c r="F491" i="5"/>
  <c r="D491" i="5"/>
  <c r="F533" i="5"/>
  <c r="E533" i="5"/>
  <c r="G533" i="5" s="1"/>
  <c r="I564" i="5"/>
  <c r="G564" i="5"/>
  <c r="D630" i="5"/>
  <c r="F630" i="5"/>
  <c r="D690" i="5"/>
  <c r="F690" i="5"/>
  <c r="F711" i="5"/>
  <c r="D711" i="5"/>
  <c r="F546" i="5"/>
  <c r="B3" i="5"/>
  <c r="B4" i="5" s="1"/>
  <c r="B5" i="5" s="1"/>
  <c r="B6" i="5" s="1"/>
  <c r="B7" i="5" s="1"/>
  <c r="B8" i="5" s="1"/>
  <c r="D3" i="5"/>
  <c r="E23" i="5"/>
  <c r="G23" i="5" s="1"/>
  <c r="E66" i="5"/>
  <c r="G66" i="5" s="1"/>
  <c r="D7" i="5"/>
  <c r="E7" i="5"/>
  <c r="G7" i="5" s="1"/>
  <c r="E19" i="5"/>
  <c r="G19" i="5" s="1"/>
  <c r="E22" i="5"/>
  <c r="G22" i="5" s="1"/>
  <c r="E43" i="5"/>
  <c r="G43" i="5" s="1"/>
  <c r="E51" i="5"/>
  <c r="G51" i="5" s="1"/>
  <c r="E59" i="5"/>
  <c r="G59" i="5" s="1"/>
  <c r="D101" i="5"/>
  <c r="D113" i="5"/>
  <c r="D140" i="5"/>
  <c r="D142" i="5"/>
  <c r="D149" i="5"/>
  <c r="D157" i="5"/>
  <c r="D162" i="5"/>
  <c r="H177" i="5"/>
  <c r="D197" i="5"/>
  <c r="D216" i="5"/>
  <c r="D240" i="5"/>
  <c r="D251" i="5"/>
  <c r="D258" i="5"/>
  <c r="D280" i="5"/>
  <c r="D282" i="5"/>
  <c r="D322" i="5"/>
  <c r="F431" i="5"/>
  <c r="D431" i="5"/>
  <c r="F444" i="5"/>
  <c r="E444" i="5"/>
  <c r="G444" i="5" s="1"/>
  <c r="E474" i="5"/>
  <c r="G474" i="5" s="1"/>
  <c r="F474" i="5"/>
  <c r="H497" i="5"/>
  <c r="G497" i="5"/>
  <c r="F587" i="5"/>
  <c r="E587" i="5"/>
  <c r="G587" i="5" s="1"/>
  <c r="D587" i="5"/>
  <c r="F591" i="5"/>
  <c r="E591" i="5"/>
  <c r="G591" i="5" s="1"/>
  <c r="F598" i="5"/>
  <c r="E598" i="5"/>
  <c r="G598" i="5" s="1"/>
  <c r="D598" i="5"/>
  <c r="E642" i="5"/>
  <c r="G642" i="5" s="1"/>
  <c r="F642" i="5"/>
  <c r="D642" i="5"/>
  <c r="E654" i="5"/>
  <c r="D654" i="5"/>
  <c r="F694" i="5"/>
  <c r="F656" i="5"/>
  <c r="F558" i="5"/>
  <c r="F130" i="5"/>
  <c r="G714" i="5"/>
  <c r="F698" i="5"/>
  <c r="F650" i="5"/>
  <c r="F578" i="5"/>
  <c r="E516" i="5"/>
  <c r="G516" i="5" s="1"/>
  <c r="D537" i="5"/>
  <c r="E552" i="5"/>
  <c r="D562" i="5"/>
  <c r="D577" i="5"/>
  <c r="D590" i="5"/>
  <c r="D606" i="5"/>
  <c r="E618" i="5"/>
  <c r="G618" i="5" s="1"/>
  <c r="E621" i="5"/>
  <c r="G621" i="5" s="1"/>
  <c r="E634" i="5"/>
  <c r="G634" i="5" s="1"/>
  <c r="E668" i="5"/>
  <c r="G668" i="5" s="1"/>
  <c r="F709" i="5"/>
  <c r="F689" i="5"/>
  <c r="F681" i="5"/>
  <c r="F621" i="5"/>
  <c r="I263" i="5"/>
  <c r="I255" i="5"/>
  <c r="D6" i="5"/>
  <c r="F6" i="5"/>
  <c r="F24" i="5"/>
  <c r="E37" i="5"/>
  <c r="G37" i="5" s="1"/>
  <c r="F37" i="5"/>
  <c r="D42" i="5"/>
  <c r="F42" i="5"/>
  <c r="D50" i="5"/>
  <c r="F50" i="5"/>
  <c r="D58" i="5"/>
  <c r="F58" i="5"/>
  <c r="E78" i="5"/>
  <c r="G78" i="5" s="1"/>
  <c r="F78" i="5"/>
  <c r="H216" i="5"/>
  <c r="D259" i="5"/>
  <c r="F259" i="5"/>
  <c r="E278" i="5"/>
  <c r="G278" i="5" s="1"/>
  <c r="F278" i="5"/>
  <c r="D278" i="5"/>
  <c r="H327" i="5"/>
  <c r="D367" i="5"/>
  <c r="F367" i="5"/>
  <c r="E367" i="5"/>
  <c r="G367" i="5" s="1"/>
  <c r="E401" i="5"/>
  <c r="G401" i="5" s="1"/>
  <c r="F401" i="5"/>
  <c r="D401" i="5"/>
  <c r="E417" i="5"/>
  <c r="G417" i="5" s="1"/>
  <c r="F417" i="5"/>
  <c r="D417" i="5"/>
  <c r="I435" i="5"/>
  <c r="E463" i="5"/>
  <c r="G463" i="5" s="1"/>
  <c r="F463" i="5"/>
  <c r="D463" i="5"/>
  <c r="H473" i="5"/>
  <c r="D521" i="5"/>
  <c r="F521" i="5"/>
  <c r="E521" i="5"/>
  <c r="G521" i="5" s="1"/>
  <c r="H586" i="5"/>
  <c r="I682" i="5"/>
  <c r="E3" i="5"/>
  <c r="G3" i="5" s="1"/>
  <c r="E6" i="5"/>
  <c r="G6" i="5" s="1"/>
  <c r="B16" i="5"/>
  <c r="B17" i="5" s="1"/>
  <c r="B18" i="5" s="1"/>
  <c r="B19" i="5" s="1"/>
  <c r="B20" i="5" s="1"/>
  <c r="B21" i="5" s="1"/>
  <c r="F16" i="5"/>
  <c r="E25" i="5"/>
  <c r="G25" i="5" s="1"/>
  <c r="F25" i="5"/>
  <c r="D27" i="5"/>
  <c r="D34" i="5"/>
  <c r="F34" i="5"/>
  <c r="D35" i="5"/>
  <c r="D38" i="5"/>
  <c r="F38" i="5"/>
  <c r="E39" i="5"/>
  <c r="G39" i="5" s="1"/>
  <c r="E42" i="5"/>
  <c r="G42" i="5" s="1"/>
  <c r="E69" i="5"/>
  <c r="G69" i="5" s="1"/>
  <c r="F69" i="5"/>
  <c r="D71" i="5"/>
  <c r="E86" i="5"/>
  <c r="G86" i="5" s="1"/>
  <c r="F86" i="5"/>
  <c r="D96" i="5"/>
  <c r="H101" i="5"/>
  <c r="D104" i="5"/>
  <c r="D105" i="5"/>
  <c r="D109" i="5"/>
  <c r="D116" i="5"/>
  <c r="D125" i="5"/>
  <c r="H128" i="5"/>
  <c r="D132" i="5"/>
  <c r="D141" i="5"/>
  <c r="H144" i="5"/>
  <c r="D148" i="5"/>
  <c r="D166" i="5"/>
  <c r="H168" i="5"/>
  <c r="F178" i="5"/>
  <c r="D178" i="5"/>
  <c r="D182" i="5"/>
  <c r="D193" i="5"/>
  <c r="F198" i="5"/>
  <c r="D198" i="5"/>
  <c r="D202" i="5"/>
  <c r="H204" i="5"/>
  <c r="F209" i="5"/>
  <c r="D209" i="5"/>
  <c r="F213" i="5"/>
  <c r="E213" i="5"/>
  <c r="G213" i="5" s="1"/>
  <c r="F218" i="5"/>
  <c r="D218" i="5"/>
  <c r="D222" i="5"/>
  <c r="H225" i="5"/>
  <c r="D237" i="5"/>
  <c r="I239" i="5"/>
  <c r="F248" i="5"/>
  <c r="E248" i="5"/>
  <c r="G248" i="5" s="1"/>
  <c r="D249" i="5"/>
  <c r="H251" i="5"/>
  <c r="E259" i="5"/>
  <c r="G259" i="5" s="1"/>
  <c r="I260" i="5"/>
  <c r="E270" i="5"/>
  <c r="G270" i="5" s="1"/>
  <c r="F270" i="5"/>
  <c r="E274" i="5"/>
  <c r="G274" i="5" s="1"/>
  <c r="F274" i="5"/>
  <c r="F276" i="5"/>
  <c r="D276" i="5"/>
  <c r="D284" i="5"/>
  <c r="F288" i="5"/>
  <c r="E288" i="5"/>
  <c r="G288" i="5" s="1"/>
  <c r="E293" i="5"/>
  <c r="G293" i="5" s="1"/>
  <c r="F293" i="5"/>
  <c r="E306" i="5"/>
  <c r="G306" i="5" s="1"/>
  <c r="F306" i="5"/>
  <c r="F308" i="5"/>
  <c r="E308" i="5"/>
  <c r="G308" i="5" s="1"/>
  <c r="D308" i="5"/>
  <c r="E313" i="5"/>
  <c r="G313" i="5" s="1"/>
  <c r="F313" i="5"/>
  <c r="D315" i="5"/>
  <c r="F315" i="5"/>
  <c r="E315" i="5"/>
  <c r="G315" i="5" s="1"/>
  <c r="I340" i="5"/>
  <c r="I352" i="5"/>
  <c r="F376" i="5"/>
  <c r="E376" i="5"/>
  <c r="G376" i="5" s="1"/>
  <c r="D376" i="5"/>
  <c r="D383" i="5"/>
  <c r="F383" i="5"/>
  <c r="E383" i="5"/>
  <c r="G383" i="5" s="1"/>
  <c r="F412" i="5"/>
  <c r="E412" i="5"/>
  <c r="G412" i="5" s="1"/>
  <c r="E467" i="5"/>
  <c r="G467" i="5" s="1"/>
  <c r="F467" i="5"/>
  <c r="D467" i="5"/>
  <c r="F483" i="5"/>
  <c r="D483" i="5"/>
  <c r="E501" i="5"/>
  <c r="G501" i="5" s="1"/>
  <c r="F501" i="5"/>
  <c r="D501" i="5"/>
  <c r="E510" i="5"/>
  <c r="G510" i="5" s="1"/>
  <c r="F510" i="5"/>
  <c r="D510" i="5"/>
  <c r="E519" i="5"/>
  <c r="G519" i="5" s="1"/>
  <c r="F519" i="5"/>
  <c r="D519" i="5"/>
  <c r="D541" i="5"/>
  <c r="F541" i="5"/>
  <c r="E541" i="5"/>
  <c r="G541" i="5" s="1"/>
  <c r="E561" i="5"/>
  <c r="G561" i="5" s="1"/>
  <c r="F561" i="5"/>
  <c r="D561" i="5"/>
  <c r="H582" i="5"/>
  <c r="E622" i="5"/>
  <c r="G622" i="5" s="1"/>
  <c r="D622" i="5"/>
  <c r="F622" i="5"/>
  <c r="E626" i="5"/>
  <c r="G626" i="5" s="1"/>
  <c r="D626" i="5"/>
  <c r="F671" i="5"/>
  <c r="E671" i="5"/>
  <c r="G671" i="5" s="1"/>
  <c r="D671" i="5"/>
  <c r="F554" i="5"/>
  <c r="F66" i="5"/>
  <c r="E33" i="5"/>
  <c r="G33" i="5" s="1"/>
  <c r="F33" i="5"/>
  <c r="E82" i="5"/>
  <c r="G82" i="5" s="1"/>
  <c r="F82" i="5"/>
  <c r="H176" i="5"/>
  <c r="F210" i="5"/>
  <c r="D210" i="5"/>
  <c r="H235" i="5"/>
  <c r="F243" i="5"/>
  <c r="E243" i="5"/>
  <c r="G243" i="5" s="1"/>
  <c r="I264" i="5"/>
  <c r="E290" i="5"/>
  <c r="G290" i="5" s="1"/>
  <c r="F290" i="5"/>
  <c r="D299" i="5"/>
  <c r="F299" i="5"/>
  <c r="E299" i="5"/>
  <c r="G299" i="5" s="1"/>
  <c r="E325" i="5"/>
  <c r="G325" i="5" s="1"/>
  <c r="F325" i="5"/>
  <c r="F411" i="5"/>
  <c r="E411" i="5"/>
  <c r="G411" i="5" s="1"/>
  <c r="D411" i="5"/>
  <c r="I423" i="5"/>
  <c r="E506" i="5"/>
  <c r="G506" i="5" s="1"/>
  <c r="D506" i="5"/>
  <c r="F557" i="5"/>
  <c r="E557" i="5"/>
  <c r="G557" i="5" s="1"/>
  <c r="D557" i="5"/>
  <c r="E584" i="5"/>
  <c r="G584" i="5" s="1"/>
  <c r="F584" i="5"/>
  <c r="E21" i="5"/>
  <c r="G21" i="5" s="1"/>
  <c r="F21" i="5"/>
  <c r="E29" i="5"/>
  <c r="G29" i="5" s="1"/>
  <c r="F29" i="5"/>
  <c r="D31" i="5"/>
  <c r="E50" i="5"/>
  <c r="G50" i="5" s="1"/>
  <c r="F52" i="5"/>
  <c r="E58" i="5"/>
  <c r="G58" i="5" s="1"/>
  <c r="D74" i="5"/>
  <c r="F74" i="5"/>
  <c r="D79" i="5"/>
  <c r="F79" i="5"/>
  <c r="H80" i="5"/>
  <c r="D83" i="5"/>
  <c r="F83" i="5"/>
  <c r="H84" i="5"/>
  <c r="H112" i="5"/>
  <c r="E13" i="5"/>
  <c r="G13" i="5" s="1"/>
  <c r="F13" i="5"/>
  <c r="E17" i="5"/>
  <c r="G17" i="5" s="1"/>
  <c r="F17" i="5"/>
  <c r="D19" i="5"/>
  <c r="D23" i="5"/>
  <c r="D26" i="5"/>
  <c r="F26" i="5"/>
  <c r="E27" i="5"/>
  <c r="G27" i="5" s="1"/>
  <c r="D30" i="5"/>
  <c r="F30" i="5"/>
  <c r="E31" i="5"/>
  <c r="G31" i="5" s="1"/>
  <c r="E34" i="5"/>
  <c r="G34" i="5" s="1"/>
  <c r="E35" i="5"/>
  <c r="G35" i="5" s="1"/>
  <c r="E38" i="5"/>
  <c r="G38" i="5" s="1"/>
  <c r="B43" i="5"/>
  <c r="B44" i="5" s="1"/>
  <c r="B45" i="5" s="1"/>
  <c r="B46" i="5" s="1"/>
  <c r="B47" i="5" s="1"/>
  <c r="B48" i="5" s="1"/>
  <c r="B49" i="5" s="1"/>
  <c r="F44" i="5"/>
  <c r="E49" i="5"/>
  <c r="G49" i="5" s="1"/>
  <c r="F49" i="5"/>
  <c r="E53" i="5"/>
  <c r="G53" i="5" s="1"/>
  <c r="F53" i="5"/>
  <c r="D55" i="5"/>
  <c r="E57" i="5"/>
  <c r="G57" i="5" s="1"/>
  <c r="E61" i="5"/>
  <c r="G61" i="5" s="1"/>
  <c r="F61" i="5"/>
  <c r="D63" i="5"/>
  <c r="E65" i="5"/>
  <c r="G65" i="5" s="1"/>
  <c r="F65" i="5"/>
  <c r="D67" i="5"/>
  <c r="D70" i="5"/>
  <c r="F70" i="5"/>
  <c r="E71" i="5"/>
  <c r="G71" i="5" s="1"/>
  <c r="E74" i="5"/>
  <c r="G74" i="5" s="1"/>
  <c r="D87" i="5"/>
  <c r="F87" i="5"/>
  <c r="I88" i="5"/>
  <c r="D92" i="5"/>
  <c r="B93" i="5"/>
  <c r="B94" i="5" s="1"/>
  <c r="B95" i="5" s="1"/>
  <c r="B96" i="5" s="1"/>
  <c r="B97" i="5" s="1"/>
  <c r="B98" i="5" s="1"/>
  <c r="B99" i="5" s="1"/>
  <c r="F93" i="5"/>
  <c r="D94" i="5"/>
  <c r="E96" i="5"/>
  <c r="G96" i="5" s="1"/>
  <c r="D97" i="5"/>
  <c r="B100" i="5"/>
  <c r="B101" i="5" s="1"/>
  <c r="B102" i="5" s="1"/>
  <c r="B103" i="5" s="1"/>
  <c r="B104" i="5" s="1"/>
  <c r="B105" i="5" s="1"/>
  <c r="B106" i="5" s="1"/>
  <c r="E104" i="5"/>
  <c r="G104" i="5" s="1"/>
  <c r="E105" i="5"/>
  <c r="G105" i="5" s="1"/>
  <c r="E109" i="5"/>
  <c r="G109" i="5" s="1"/>
  <c r="E116" i="5"/>
  <c r="G116" i="5" s="1"/>
  <c r="H117" i="5"/>
  <c r="D120" i="5"/>
  <c r="D121" i="5"/>
  <c r="E125" i="5"/>
  <c r="G125" i="5" s="1"/>
  <c r="E132" i="5"/>
  <c r="G132" i="5" s="1"/>
  <c r="H133" i="5"/>
  <c r="D136" i="5"/>
  <c r="D137" i="5"/>
  <c r="E141" i="5"/>
  <c r="G141" i="5" s="1"/>
  <c r="I144" i="5"/>
  <c r="E148" i="5"/>
  <c r="G148" i="5" s="1"/>
  <c r="H149" i="5"/>
  <c r="D152" i="5"/>
  <c r="D153" i="5"/>
  <c r="I156" i="5"/>
  <c r="H157" i="5"/>
  <c r="I160" i="5"/>
  <c r="D164" i="5"/>
  <c r="D165" i="5"/>
  <c r="I168" i="5"/>
  <c r="D170" i="5"/>
  <c r="F177" i="5"/>
  <c r="D177" i="5"/>
  <c r="F181" i="5"/>
  <c r="E181" i="5"/>
  <c r="G181" i="5" s="1"/>
  <c r="F186" i="5"/>
  <c r="D186" i="5"/>
  <c r="D192" i="5"/>
  <c r="E193" i="5"/>
  <c r="G193" i="5" s="1"/>
  <c r="F201" i="5"/>
  <c r="E201" i="5"/>
  <c r="G201" i="5" s="1"/>
  <c r="F208" i="5"/>
  <c r="D208" i="5"/>
  <c r="E209" i="5"/>
  <c r="G209" i="5" s="1"/>
  <c r="F212" i="5"/>
  <c r="E212" i="5"/>
  <c r="G212" i="5" s="1"/>
  <c r="D213" i="5"/>
  <c r="F221" i="5"/>
  <c r="E221" i="5"/>
  <c r="G221" i="5" s="1"/>
  <c r="D226" i="5"/>
  <c r="F226" i="5"/>
  <c r="E226" i="5"/>
  <c r="G226" i="5" s="1"/>
  <c r="F236" i="5"/>
  <c r="E236" i="5"/>
  <c r="G236" i="5" s="1"/>
  <c r="F241" i="5"/>
  <c r="D241" i="5"/>
  <c r="D248" i="5"/>
  <c r="I251" i="5"/>
  <c r="D253" i="5"/>
  <c r="F256" i="5"/>
  <c r="D256" i="5"/>
  <c r="D268" i="5"/>
  <c r="D270" i="5"/>
  <c r="F272" i="5"/>
  <c r="E272" i="5"/>
  <c r="G272" i="5" s="1"/>
  <c r="D274" i="5"/>
  <c r="E276" i="5"/>
  <c r="G276" i="5" s="1"/>
  <c r="D279" i="5"/>
  <c r="F279" i="5"/>
  <c r="E284" i="5"/>
  <c r="G284" i="5" s="1"/>
  <c r="D288" i="5"/>
  <c r="E294" i="5"/>
  <c r="G294" i="5" s="1"/>
  <c r="F294" i="5"/>
  <c r="D294" i="5"/>
  <c r="F304" i="5"/>
  <c r="E304" i="5"/>
  <c r="G304" i="5" s="1"/>
  <c r="D306" i="5"/>
  <c r="E309" i="5"/>
  <c r="G309" i="5" s="1"/>
  <c r="F309" i="5"/>
  <c r="E321" i="5"/>
  <c r="G321" i="5" s="1"/>
  <c r="F324" i="5"/>
  <c r="E324" i="5"/>
  <c r="G324" i="5" s="1"/>
  <c r="D324" i="5"/>
  <c r="E335" i="5"/>
  <c r="G335" i="5" s="1"/>
  <c r="F335" i="5"/>
  <c r="E358" i="5"/>
  <c r="F358" i="5"/>
  <c r="D358" i="5"/>
  <c r="I368" i="5"/>
  <c r="F392" i="5"/>
  <c r="E392" i="5"/>
  <c r="G392" i="5" s="1"/>
  <c r="D392" i="5"/>
  <c r="D399" i="5"/>
  <c r="F399" i="5"/>
  <c r="E399" i="5"/>
  <c r="G399" i="5" s="1"/>
  <c r="F403" i="5"/>
  <c r="E403" i="5"/>
  <c r="G403" i="5" s="1"/>
  <c r="D403" i="5"/>
  <c r="E409" i="5"/>
  <c r="G409" i="5" s="1"/>
  <c r="F409" i="5"/>
  <c r="D409" i="5"/>
  <c r="H415" i="5"/>
  <c r="F419" i="5"/>
  <c r="E419" i="5"/>
  <c r="G419" i="5" s="1"/>
  <c r="D419" i="5"/>
  <c r="E437" i="5"/>
  <c r="G437" i="5" s="1"/>
  <c r="F437" i="5"/>
  <c r="D437" i="5"/>
  <c r="E449" i="5"/>
  <c r="G449" i="5" s="1"/>
  <c r="F449" i="5"/>
  <c r="D449" i="5"/>
  <c r="H461" i="5"/>
  <c r="F487" i="5"/>
  <c r="D487" i="5"/>
  <c r="D502" i="5"/>
  <c r="F502" i="5"/>
  <c r="E502" i="5"/>
  <c r="G502" i="5" s="1"/>
  <c r="D532" i="5"/>
  <c r="E532" i="5"/>
  <c r="G532" i="5" s="1"/>
  <c r="F532" i="5"/>
  <c r="D605" i="5"/>
  <c r="E605" i="5"/>
  <c r="G605" i="5" s="1"/>
  <c r="F605" i="5"/>
  <c r="E608" i="5"/>
  <c r="G608" i="5" s="1"/>
  <c r="F608" i="5"/>
  <c r="D617" i="5"/>
  <c r="F617" i="5"/>
  <c r="E617" i="5"/>
  <c r="G617" i="5" s="1"/>
  <c r="F663" i="5"/>
  <c r="E663" i="5"/>
  <c r="G663" i="5" s="1"/>
  <c r="D663" i="5"/>
  <c r="H706" i="5"/>
  <c r="F626" i="5"/>
  <c r="D10" i="5"/>
  <c r="F10" i="5"/>
  <c r="D46" i="5"/>
  <c r="F46" i="5"/>
  <c r="E73" i="5"/>
  <c r="G73" i="5" s="1"/>
  <c r="F73" i="5"/>
  <c r="F188" i="5"/>
  <c r="E188" i="5"/>
  <c r="G188" i="5" s="1"/>
  <c r="F231" i="5"/>
  <c r="E231" i="5"/>
  <c r="G231" i="5" s="1"/>
  <c r="D255" i="5"/>
  <c r="F255" i="5"/>
  <c r="D263" i="5"/>
  <c r="F263" i="5"/>
  <c r="I267" i="5"/>
  <c r="E286" i="5"/>
  <c r="G286" i="5" s="1"/>
  <c r="F286" i="5"/>
  <c r="F292" i="5"/>
  <c r="E292" i="5"/>
  <c r="G292" i="5" s="1"/>
  <c r="D292" i="5"/>
  <c r="E297" i="5"/>
  <c r="G297" i="5" s="1"/>
  <c r="F297" i="5"/>
  <c r="D311" i="5"/>
  <c r="F311" i="5"/>
  <c r="H333" i="5"/>
  <c r="F360" i="5"/>
  <c r="E360" i="5"/>
  <c r="G360" i="5" s="1"/>
  <c r="D360" i="5"/>
  <c r="E390" i="5"/>
  <c r="G390" i="5" s="1"/>
  <c r="F390" i="5"/>
  <c r="D390" i="5"/>
  <c r="I447" i="5"/>
  <c r="D513" i="5"/>
  <c r="F513" i="5"/>
  <c r="E513" i="5"/>
  <c r="G513" i="5" s="1"/>
  <c r="D629" i="5"/>
  <c r="F629" i="5"/>
  <c r="E5" i="5"/>
  <c r="G5" i="5" s="1"/>
  <c r="F5" i="5"/>
  <c r="E9" i="5"/>
  <c r="G9" i="5" s="1"/>
  <c r="F9" i="5"/>
  <c r="D14" i="5"/>
  <c r="F14" i="5"/>
  <c r="D18" i="5"/>
  <c r="F18" i="5"/>
  <c r="D22" i="5"/>
  <c r="F22" i="5"/>
  <c r="B35" i="5"/>
  <c r="B36" i="5" s="1"/>
  <c r="B37" i="5" s="1"/>
  <c r="B38" i="5" s="1"/>
  <c r="B39" i="5" s="1"/>
  <c r="B40" i="5" s="1"/>
  <c r="B41" i="5" s="1"/>
  <c r="B42" i="5" s="1"/>
  <c r="E41" i="5"/>
  <c r="G41" i="5" s="1"/>
  <c r="F41" i="5"/>
  <c r="E45" i="5"/>
  <c r="G45" i="5" s="1"/>
  <c r="F45" i="5"/>
  <c r="B50" i="5"/>
  <c r="B51" i="5" s="1"/>
  <c r="B52" i="5" s="1"/>
  <c r="B53" i="5" s="1"/>
  <c r="B54" i="5" s="1"/>
  <c r="B55" i="5" s="1"/>
  <c r="B56" i="5" s="1"/>
  <c r="B57" i="5" s="1"/>
  <c r="D54" i="5"/>
  <c r="F54" i="5"/>
  <c r="E55" i="5"/>
  <c r="G55" i="5" s="1"/>
  <c r="B58" i="5"/>
  <c r="B59" i="5" s="1"/>
  <c r="B60" i="5" s="1"/>
  <c r="B61" i="5" s="1"/>
  <c r="B62" i="5" s="1"/>
  <c r="B63" i="5" s="1"/>
  <c r="B64" i="5" s="1"/>
  <c r="D62" i="5"/>
  <c r="F62" i="5"/>
  <c r="E63" i="5"/>
  <c r="G63" i="5" s="1"/>
  <c r="E67" i="5"/>
  <c r="G67" i="5" s="1"/>
  <c r="B72" i="5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F72" i="5"/>
  <c r="E77" i="5"/>
  <c r="G77" i="5" s="1"/>
  <c r="F77" i="5"/>
  <c r="E92" i="5"/>
  <c r="G92" i="5" s="1"/>
  <c r="E97" i="5"/>
  <c r="G97" i="5" s="1"/>
  <c r="I108" i="5"/>
  <c r="E120" i="5"/>
  <c r="G120" i="5" s="1"/>
  <c r="E121" i="5"/>
  <c r="G121" i="5" s="1"/>
  <c r="E136" i="5"/>
  <c r="G136" i="5" s="1"/>
  <c r="E137" i="5"/>
  <c r="G137" i="5" s="1"/>
  <c r="E152" i="5"/>
  <c r="G152" i="5" s="1"/>
  <c r="E153" i="5"/>
  <c r="G153" i="5" s="1"/>
  <c r="E164" i="5"/>
  <c r="G164" i="5" s="1"/>
  <c r="E165" i="5"/>
  <c r="G165" i="5" s="1"/>
  <c r="F169" i="5"/>
  <c r="E169" i="5"/>
  <c r="G169" i="5" s="1"/>
  <c r="F176" i="5"/>
  <c r="D176" i="5"/>
  <c r="F180" i="5"/>
  <c r="E180" i="5"/>
  <c r="G180" i="5" s="1"/>
  <c r="F189" i="5"/>
  <c r="E189" i="5"/>
  <c r="G189" i="5" s="1"/>
  <c r="E192" i="5"/>
  <c r="G192" i="5" s="1"/>
  <c r="F200" i="5"/>
  <c r="E200" i="5"/>
  <c r="G200" i="5" s="1"/>
  <c r="H208" i="5"/>
  <c r="F220" i="5"/>
  <c r="E220" i="5"/>
  <c r="G220" i="5" s="1"/>
  <c r="E229" i="5"/>
  <c r="G229" i="5" s="1"/>
  <c r="F229" i="5"/>
  <c r="F247" i="5"/>
  <c r="D247" i="5"/>
  <c r="F252" i="5"/>
  <c r="E252" i="5"/>
  <c r="G252" i="5" s="1"/>
  <c r="F254" i="5"/>
  <c r="D254" i="5"/>
  <c r="D267" i="5"/>
  <c r="F267" i="5"/>
  <c r="E268" i="5"/>
  <c r="G268" i="5" s="1"/>
  <c r="D275" i="5"/>
  <c r="F275" i="5"/>
  <c r="D283" i="5"/>
  <c r="F283" i="5"/>
  <c r="E283" i="5"/>
  <c r="G283" i="5" s="1"/>
  <c r="D295" i="5"/>
  <c r="F295" i="5"/>
  <c r="E310" i="5"/>
  <c r="G310" i="5" s="1"/>
  <c r="F310" i="5"/>
  <c r="D310" i="5"/>
  <c r="F320" i="5"/>
  <c r="E320" i="5"/>
  <c r="G320" i="5" s="1"/>
  <c r="I328" i="5"/>
  <c r="F344" i="5"/>
  <c r="E344" i="5"/>
  <c r="G344" i="5" s="1"/>
  <c r="D344" i="5"/>
  <c r="D351" i="5"/>
  <c r="F351" i="5"/>
  <c r="E351" i="5"/>
  <c r="G351" i="5" s="1"/>
  <c r="E374" i="5"/>
  <c r="G374" i="5" s="1"/>
  <c r="F374" i="5"/>
  <c r="D374" i="5"/>
  <c r="I384" i="5"/>
  <c r="F404" i="5"/>
  <c r="E404" i="5"/>
  <c r="G404" i="5" s="1"/>
  <c r="F420" i="5"/>
  <c r="E420" i="5"/>
  <c r="G420" i="5" s="1"/>
  <c r="D456" i="5"/>
  <c r="F456" i="5"/>
  <c r="E459" i="5"/>
  <c r="G459" i="5" s="1"/>
  <c r="F459" i="5"/>
  <c r="D459" i="5"/>
  <c r="F469" i="5"/>
  <c r="E469" i="5"/>
  <c r="G469" i="5" s="1"/>
  <c r="D469" i="5"/>
  <c r="H474" i="5"/>
  <c r="D493" i="5"/>
  <c r="F493" i="5"/>
  <c r="E493" i="5"/>
  <c r="G493" i="5" s="1"/>
  <c r="E515" i="5"/>
  <c r="G515" i="5" s="1"/>
  <c r="F515" i="5"/>
  <c r="D515" i="5"/>
  <c r="D566" i="5"/>
  <c r="F566" i="5"/>
  <c r="F569" i="5"/>
  <c r="E569" i="5"/>
  <c r="G569" i="5" s="1"/>
  <c r="D569" i="5"/>
  <c r="D637" i="5"/>
  <c r="F637" i="5"/>
  <c r="D651" i="5"/>
  <c r="F651" i="5"/>
  <c r="D230" i="5"/>
  <c r="F230" i="5"/>
  <c r="D271" i="5"/>
  <c r="F271" i="5"/>
  <c r="H282" i="5"/>
  <c r="D287" i="5"/>
  <c r="F287" i="5"/>
  <c r="H298" i="5"/>
  <c r="E301" i="5"/>
  <c r="G301" i="5" s="1"/>
  <c r="F301" i="5"/>
  <c r="D303" i="5"/>
  <c r="F303" i="5"/>
  <c r="H314" i="5"/>
  <c r="E317" i="5"/>
  <c r="G317" i="5" s="1"/>
  <c r="F317" i="5"/>
  <c r="D319" i="5"/>
  <c r="F319" i="5"/>
  <c r="E326" i="5"/>
  <c r="G326" i="5" s="1"/>
  <c r="F326" i="5"/>
  <c r="E332" i="5"/>
  <c r="G332" i="5" s="1"/>
  <c r="I346" i="5"/>
  <c r="D355" i="5"/>
  <c r="F355" i="5"/>
  <c r="E356" i="5"/>
  <c r="G356" i="5" s="1"/>
  <c r="I362" i="5"/>
  <c r="D371" i="5"/>
  <c r="F371" i="5"/>
  <c r="E372" i="5"/>
  <c r="G372" i="5" s="1"/>
  <c r="D387" i="5"/>
  <c r="F387" i="5"/>
  <c r="E388" i="5"/>
  <c r="G388" i="5" s="1"/>
  <c r="E425" i="5"/>
  <c r="G425" i="5" s="1"/>
  <c r="F425" i="5"/>
  <c r="E439" i="5"/>
  <c r="G439" i="5" s="1"/>
  <c r="E451" i="5"/>
  <c r="G451" i="5" s="1"/>
  <c r="E470" i="5"/>
  <c r="G470" i="5" s="1"/>
  <c r="D472" i="5"/>
  <c r="F472" i="5"/>
  <c r="F475" i="5"/>
  <c r="D475" i="5"/>
  <c r="E489" i="5"/>
  <c r="G489" i="5" s="1"/>
  <c r="E517" i="5"/>
  <c r="G517" i="5" s="1"/>
  <c r="F517" i="5"/>
  <c r="D524" i="5"/>
  <c r="F524" i="5"/>
  <c r="E529" i="5"/>
  <c r="G529" i="5" s="1"/>
  <c r="E537" i="5"/>
  <c r="G537" i="5" s="1"/>
  <c r="D544" i="5"/>
  <c r="F544" i="5"/>
  <c r="E549" i="5"/>
  <c r="G549" i="5" s="1"/>
  <c r="F549" i="5"/>
  <c r="D553" i="5"/>
  <c r="F553" i="5"/>
  <c r="D573" i="5"/>
  <c r="F573" i="5"/>
  <c r="E580" i="5"/>
  <c r="G580" i="5" s="1"/>
  <c r="F580" i="5"/>
  <c r="E588" i="5"/>
  <c r="G588" i="5" s="1"/>
  <c r="F588" i="5"/>
  <c r="E590" i="5"/>
  <c r="G590" i="5" s="1"/>
  <c r="F595" i="5"/>
  <c r="E595" i="5"/>
  <c r="G595" i="5" s="1"/>
  <c r="D595" i="5"/>
  <c r="D601" i="5"/>
  <c r="E601" i="5"/>
  <c r="G601" i="5" s="1"/>
  <c r="F601" i="5"/>
  <c r="D609" i="5"/>
  <c r="E609" i="5"/>
  <c r="G609" i="5" s="1"/>
  <c r="F609" i="5"/>
  <c r="E612" i="5"/>
  <c r="G612" i="5" s="1"/>
  <c r="F612" i="5"/>
  <c r="E632" i="5"/>
  <c r="G632" i="5" s="1"/>
  <c r="F632" i="5"/>
  <c r="E640" i="5"/>
  <c r="G640" i="5" s="1"/>
  <c r="F640" i="5"/>
  <c r="E646" i="5"/>
  <c r="G646" i="5" s="1"/>
  <c r="D646" i="5"/>
  <c r="H668" i="5"/>
  <c r="E710" i="5"/>
  <c r="G710" i="5" s="1"/>
  <c r="D710" i="5"/>
  <c r="F710" i="5"/>
  <c r="F610" i="5"/>
  <c r="F582" i="5"/>
  <c r="F486" i="5"/>
  <c r="F354" i="5"/>
  <c r="F322" i="5"/>
  <c r="D291" i="5"/>
  <c r="F291" i="5"/>
  <c r="E302" i="5"/>
  <c r="G302" i="5" s="1"/>
  <c r="F302" i="5"/>
  <c r="E305" i="5"/>
  <c r="G305" i="5" s="1"/>
  <c r="F305" i="5"/>
  <c r="D307" i="5"/>
  <c r="F307" i="5"/>
  <c r="E318" i="5"/>
  <c r="G318" i="5" s="1"/>
  <c r="F318" i="5"/>
  <c r="H331" i="5"/>
  <c r="E334" i="5"/>
  <c r="G334" i="5" s="1"/>
  <c r="F334" i="5"/>
  <c r="H337" i="5"/>
  <c r="E341" i="5"/>
  <c r="G341" i="5" s="1"/>
  <c r="F341" i="5"/>
  <c r="E350" i="5"/>
  <c r="G350" i="5" s="1"/>
  <c r="F350" i="5"/>
  <c r="D359" i="5"/>
  <c r="F359" i="5"/>
  <c r="I366" i="5"/>
  <c r="D375" i="5"/>
  <c r="F375" i="5"/>
  <c r="I382" i="5"/>
  <c r="D391" i="5"/>
  <c r="F391" i="5"/>
  <c r="I398" i="5"/>
  <c r="E405" i="5"/>
  <c r="G405" i="5" s="1"/>
  <c r="F405" i="5"/>
  <c r="E413" i="5"/>
  <c r="G413" i="5" s="1"/>
  <c r="F413" i="5"/>
  <c r="E421" i="5"/>
  <c r="G421" i="5" s="1"/>
  <c r="F421" i="5"/>
  <c r="E429" i="5"/>
  <c r="G429" i="5" s="1"/>
  <c r="F429" i="5"/>
  <c r="E441" i="5"/>
  <c r="G441" i="5" s="1"/>
  <c r="F441" i="5"/>
  <c r="D460" i="5"/>
  <c r="F460" i="5"/>
  <c r="D464" i="5"/>
  <c r="F464" i="5"/>
  <c r="H466" i="5"/>
  <c r="D481" i="5"/>
  <c r="F481" i="5"/>
  <c r="E485" i="5"/>
  <c r="G485" i="5" s="1"/>
  <c r="F485" i="5"/>
  <c r="F499" i="5"/>
  <c r="D499" i="5"/>
  <c r="D509" i="5"/>
  <c r="F509" i="5"/>
  <c r="I514" i="5"/>
  <c r="D520" i="5"/>
  <c r="F520" i="5"/>
  <c r="D528" i="5"/>
  <c r="E528" i="5"/>
  <c r="G528" i="5" s="1"/>
  <c r="F528" i="5"/>
  <c r="D536" i="5"/>
  <c r="E536" i="5"/>
  <c r="G536" i="5" s="1"/>
  <c r="F536" i="5"/>
  <c r="H540" i="5"/>
  <c r="H544" i="5"/>
  <c r="D556" i="5"/>
  <c r="F556" i="5"/>
  <c r="D560" i="5"/>
  <c r="E560" i="5"/>
  <c r="G560" i="5" s="1"/>
  <c r="F560" i="5"/>
  <c r="D564" i="5"/>
  <c r="F564" i="5"/>
  <c r="D568" i="5"/>
  <c r="F568" i="5"/>
  <c r="D576" i="5"/>
  <c r="F576" i="5"/>
  <c r="F583" i="5"/>
  <c r="D583" i="5"/>
  <c r="D613" i="5"/>
  <c r="E613" i="5"/>
  <c r="G613" i="5" s="1"/>
  <c r="F613" i="5"/>
  <c r="E624" i="5"/>
  <c r="G624" i="5" s="1"/>
  <c r="F624" i="5"/>
  <c r="D633" i="5"/>
  <c r="F633" i="5"/>
  <c r="D641" i="5"/>
  <c r="E641" i="5"/>
  <c r="G641" i="5" s="1"/>
  <c r="F641" i="5"/>
  <c r="D647" i="5"/>
  <c r="F647" i="5"/>
  <c r="I702" i="5"/>
  <c r="F606" i="5"/>
  <c r="F514" i="5"/>
  <c r="F482" i="5"/>
  <c r="F466" i="5"/>
  <c r="F450" i="5"/>
  <c r="F386" i="5"/>
  <c r="F370" i="5"/>
  <c r="F346" i="5"/>
  <c r="F314" i="5"/>
  <c r="F282" i="5"/>
  <c r="D334" i="5"/>
  <c r="D340" i="5"/>
  <c r="E342" i="5"/>
  <c r="G342" i="5" s="1"/>
  <c r="F342" i="5"/>
  <c r="D347" i="5"/>
  <c r="F347" i="5"/>
  <c r="D350" i="5"/>
  <c r="D352" i="5"/>
  <c r="I354" i="5"/>
  <c r="E359" i="5"/>
  <c r="G359" i="5" s="1"/>
  <c r="D363" i="5"/>
  <c r="F363" i="5"/>
  <c r="D366" i="5"/>
  <c r="D368" i="5"/>
  <c r="I370" i="5"/>
  <c r="E375" i="5"/>
  <c r="G375" i="5" s="1"/>
  <c r="D379" i="5"/>
  <c r="F379" i="5"/>
  <c r="D382" i="5"/>
  <c r="D384" i="5"/>
  <c r="I386" i="5"/>
  <c r="E391" i="5"/>
  <c r="G391" i="5" s="1"/>
  <c r="D395" i="5"/>
  <c r="F395" i="5"/>
  <c r="D398" i="5"/>
  <c r="E400" i="5"/>
  <c r="G400" i="5" s="1"/>
  <c r="D405" i="5"/>
  <c r="D407" i="5"/>
  <c r="E408" i="5"/>
  <c r="G408" i="5" s="1"/>
  <c r="D413" i="5"/>
  <c r="D415" i="5"/>
  <c r="E416" i="5"/>
  <c r="G416" i="5" s="1"/>
  <c r="D421" i="5"/>
  <c r="D423" i="5"/>
  <c r="E424" i="5"/>
  <c r="G424" i="5" s="1"/>
  <c r="D429" i="5"/>
  <c r="E433" i="5"/>
  <c r="G433" i="5" s="1"/>
  <c r="F433" i="5"/>
  <c r="D435" i="5"/>
  <c r="E436" i="5"/>
  <c r="G436" i="5" s="1"/>
  <c r="D441" i="5"/>
  <c r="E445" i="5"/>
  <c r="G445" i="5" s="1"/>
  <c r="F445" i="5"/>
  <c r="D447" i="5"/>
  <c r="E448" i="5"/>
  <c r="G448" i="5" s="1"/>
  <c r="H458" i="5"/>
  <c r="D461" i="5"/>
  <c r="F461" i="5"/>
  <c r="E462" i="5"/>
  <c r="G462" i="5" s="1"/>
  <c r="E465" i="5"/>
  <c r="G465" i="5" s="1"/>
  <c r="F465" i="5"/>
  <c r="D466" i="5"/>
  <c r="E477" i="5"/>
  <c r="F477" i="5"/>
  <c r="E481" i="5"/>
  <c r="G481" i="5" s="1"/>
  <c r="D485" i="5"/>
  <c r="E486" i="5"/>
  <c r="G486" i="5" s="1"/>
  <c r="D494" i="5"/>
  <c r="D503" i="5"/>
  <c r="E509" i="5"/>
  <c r="G509" i="5" s="1"/>
  <c r="E512" i="5"/>
  <c r="G512" i="5" s="1"/>
  <c r="F512" i="5"/>
  <c r="E523" i="5"/>
  <c r="G523" i="5" s="1"/>
  <c r="F523" i="5"/>
  <c r="D523" i="5"/>
  <c r="H533" i="5"/>
  <c r="D548" i="5"/>
  <c r="E548" i="5"/>
  <c r="G548" i="5" s="1"/>
  <c r="F548" i="5"/>
  <c r="H552" i="5"/>
  <c r="H556" i="5"/>
  <c r="I556" i="5"/>
  <c r="H564" i="5"/>
  <c r="H568" i="5"/>
  <c r="I568" i="5"/>
  <c r="H572" i="5"/>
  <c r="H576" i="5"/>
  <c r="F579" i="5"/>
  <c r="E579" i="5"/>
  <c r="G579" i="5" s="1"/>
  <c r="E594" i="5"/>
  <c r="G594" i="5" s="1"/>
  <c r="D594" i="5"/>
  <c r="D597" i="5"/>
  <c r="E597" i="5"/>
  <c r="G597" i="5" s="1"/>
  <c r="F597" i="5"/>
  <c r="E628" i="5"/>
  <c r="G628" i="5" s="1"/>
  <c r="F628" i="5"/>
  <c r="E636" i="5"/>
  <c r="F636" i="5"/>
  <c r="E648" i="5"/>
  <c r="G648" i="5" s="1"/>
  <c r="F648" i="5"/>
  <c r="D648" i="5"/>
  <c r="F665" i="5"/>
  <c r="D665" i="5"/>
  <c r="F646" i="5"/>
  <c r="F494" i="5"/>
  <c r="F462" i="5"/>
  <c r="F398" i="5"/>
  <c r="F382" i="5"/>
  <c r="F366" i="5"/>
  <c r="F338" i="5"/>
  <c r="F705" i="5"/>
  <c r="F677" i="5"/>
  <c r="F661" i="5"/>
  <c r="F645" i="5"/>
  <c r="F625" i="5"/>
  <c r="F453" i="5"/>
  <c r="H650" i="5"/>
  <c r="D659" i="5"/>
  <c r="D664" i="5"/>
  <c r="H672" i="5"/>
  <c r="D675" i="5"/>
  <c r="D680" i="5"/>
  <c r="D682" i="5"/>
  <c r="D686" i="5"/>
  <c r="D691" i="5"/>
  <c r="H695" i="5"/>
  <c r="D702" i="5"/>
  <c r="D703" i="5"/>
  <c r="D714" i="5"/>
  <c r="D715" i="5"/>
  <c r="F700" i="5"/>
  <c r="F684" i="5"/>
  <c r="F676" i="5"/>
  <c r="F668" i="5"/>
  <c r="F664" i="5"/>
  <c r="F660" i="5"/>
  <c r="F652" i="5"/>
  <c r="F620" i="5"/>
  <c r="F616" i="5"/>
  <c r="F604" i="5"/>
  <c r="F592" i="5"/>
  <c r="F572" i="5"/>
  <c r="F552" i="5"/>
  <c r="F540" i="5"/>
  <c r="F516" i="5"/>
  <c r="F468" i="5"/>
  <c r="H455" i="5"/>
  <c r="H527" i="5"/>
  <c r="H592" i="5"/>
  <c r="E625" i="5"/>
  <c r="G625" i="5" s="1"/>
  <c r="E631" i="5"/>
  <c r="G631" i="5" s="1"/>
  <c r="E635" i="5"/>
  <c r="G635" i="5" s="1"/>
  <c r="E639" i="5"/>
  <c r="G639" i="5" s="1"/>
  <c r="E645" i="5"/>
  <c r="G645" i="5" s="1"/>
  <c r="D650" i="5"/>
  <c r="H654" i="5"/>
  <c r="E659" i="5"/>
  <c r="G659" i="5" s="1"/>
  <c r="E675" i="5"/>
  <c r="G675" i="5" s="1"/>
  <c r="E691" i="5"/>
  <c r="G691" i="5" s="1"/>
  <c r="E703" i="5"/>
  <c r="G703" i="5" s="1"/>
  <c r="D707" i="5"/>
  <c r="I709" i="5"/>
  <c r="E713" i="5"/>
  <c r="G713" i="5" s="1"/>
  <c r="F655" i="5"/>
  <c r="F527" i="5"/>
  <c r="F471" i="5"/>
  <c r="F455" i="5"/>
  <c r="I13" i="5"/>
  <c r="H25" i="5"/>
  <c r="B32" i="5"/>
  <c r="B33" i="5" s="1"/>
  <c r="B34" i="5" s="1"/>
  <c r="I5" i="5"/>
  <c r="B12" i="5"/>
  <c r="B13" i="5" s="1"/>
  <c r="B14" i="5" s="1"/>
  <c r="H29" i="5"/>
  <c r="I29" i="5"/>
  <c r="H37" i="5"/>
  <c r="B68" i="5"/>
  <c r="B69" i="5" s="1"/>
  <c r="B70" i="5" s="1"/>
  <c r="B71" i="5" s="1"/>
  <c r="H17" i="5"/>
  <c r="I17" i="5"/>
  <c r="H45" i="5"/>
  <c r="H49" i="5"/>
  <c r="I49" i="5"/>
  <c r="I65" i="5"/>
  <c r="H69" i="5"/>
  <c r="H73" i="5"/>
  <c r="I73" i="5"/>
  <c r="H26" i="5"/>
  <c r="H74" i="5"/>
  <c r="I93" i="5"/>
  <c r="B114" i="5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E114" i="5"/>
  <c r="G114" i="5" s="1"/>
  <c r="E146" i="5"/>
  <c r="G146" i="5" s="1"/>
  <c r="I157" i="5"/>
  <c r="E159" i="5"/>
  <c r="G159" i="5" s="1"/>
  <c r="D159" i="5"/>
  <c r="E162" i="5"/>
  <c r="G162" i="5" s="1"/>
  <c r="I173" i="5"/>
  <c r="E179" i="5"/>
  <c r="G179" i="5" s="1"/>
  <c r="D179" i="5"/>
  <c r="E195" i="5"/>
  <c r="G195" i="5" s="1"/>
  <c r="D195" i="5"/>
  <c r="H46" i="5"/>
  <c r="H66" i="5"/>
  <c r="H70" i="5"/>
  <c r="E95" i="5"/>
  <c r="G95" i="5" s="1"/>
  <c r="D95" i="5"/>
  <c r="E98" i="5"/>
  <c r="G98" i="5" s="1"/>
  <c r="E111" i="5"/>
  <c r="G111" i="5" s="1"/>
  <c r="D111" i="5"/>
  <c r="I2" i="5"/>
  <c r="I10" i="5"/>
  <c r="H11" i="5"/>
  <c r="D12" i="5"/>
  <c r="H15" i="5"/>
  <c r="D16" i="5"/>
  <c r="I18" i="5"/>
  <c r="H19" i="5"/>
  <c r="D20" i="5"/>
  <c r="I22" i="5"/>
  <c r="H23" i="5"/>
  <c r="D24" i="5"/>
  <c r="I26" i="5"/>
  <c r="D28" i="5"/>
  <c r="I30" i="5"/>
  <c r="D32" i="5"/>
  <c r="I34" i="5"/>
  <c r="D36" i="5"/>
  <c r="I38" i="5"/>
  <c r="H39" i="5"/>
  <c r="D40" i="5"/>
  <c r="D44" i="5"/>
  <c r="I46" i="5"/>
  <c r="H47" i="5"/>
  <c r="D48" i="5"/>
  <c r="H51" i="5"/>
  <c r="D52" i="5"/>
  <c r="I54" i="5"/>
  <c r="H55" i="5"/>
  <c r="D56" i="5"/>
  <c r="I58" i="5"/>
  <c r="H59" i="5"/>
  <c r="D60" i="5"/>
  <c r="I62" i="5"/>
  <c r="D64" i="5"/>
  <c r="I66" i="5"/>
  <c r="D68" i="5"/>
  <c r="I70" i="5"/>
  <c r="H71" i="5"/>
  <c r="D72" i="5"/>
  <c r="I74" i="5"/>
  <c r="D76" i="5"/>
  <c r="E79" i="5"/>
  <c r="G79" i="5" s="1"/>
  <c r="I80" i="5"/>
  <c r="E83" i="5"/>
  <c r="G83" i="5" s="1"/>
  <c r="I84" i="5"/>
  <c r="E87" i="5"/>
  <c r="G87" i="5" s="1"/>
  <c r="D98" i="5"/>
  <c r="E99" i="5"/>
  <c r="G99" i="5" s="1"/>
  <c r="D99" i="5"/>
  <c r="E102" i="5"/>
  <c r="G102" i="5" s="1"/>
  <c r="I113" i="5"/>
  <c r="D114" i="5"/>
  <c r="E115" i="5"/>
  <c r="G115" i="5" s="1"/>
  <c r="D115" i="5"/>
  <c r="E118" i="5"/>
  <c r="G118" i="5" s="1"/>
  <c r="I129" i="5"/>
  <c r="E131" i="5"/>
  <c r="G131" i="5" s="1"/>
  <c r="D131" i="5"/>
  <c r="E134" i="5"/>
  <c r="G134" i="5" s="1"/>
  <c r="I145" i="5"/>
  <c r="D146" i="5"/>
  <c r="E147" i="5"/>
  <c r="G147" i="5" s="1"/>
  <c r="D147" i="5"/>
  <c r="E150" i="5"/>
  <c r="G150" i="5" s="1"/>
  <c r="I161" i="5"/>
  <c r="E163" i="5"/>
  <c r="G163" i="5" s="1"/>
  <c r="D163" i="5"/>
  <c r="E175" i="5"/>
  <c r="G175" i="5" s="1"/>
  <c r="D175" i="5"/>
  <c r="E191" i="5"/>
  <c r="G191" i="5" s="1"/>
  <c r="D191" i="5"/>
  <c r="I201" i="5"/>
  <c r="E207" i="5"/>
  <c r="G207" i="5" s="1"/>
  <c r="D207" i="5"/>
  <c r="H2" i="5"/>
  <c r="H6" i="5"/>
  <c r="H14" i="5"/>
  <c r="H30" i="5"/>
  <c r="H38" i="5"/>
  <c r="H54" i="5"/>
  <c r="I85" i="5"/>
  <c r="I125" i="5"/>
  <c r="I6" i="5"/>
  <c r="H7" i="5"/>
  <c r="D8" i="5"/>
  <c r="I14" i="5"/>
  <c r="I3" i="5"/>
  <c r="E4" i="5"/>
  <c r="G4" i="5" s="1"/>
  <c r="D5" i="5"/>
  <c r="E8" i="5"/>
  <c r="G8" i="5" s="1"/>
  <c r="D9" i="5"/>
  <c r="I11" i="5"/>
  <c r="E12" i="5"/>
  <c r="G12" i="5" s="1"/>
  <c r="D13" i="5"/>
  <c r="I15" i="5"/>
  <c r="E16" i="5"/>
  <c r="G16" i="5" s="1"/>
  <c r="D17" i="5"/>
  <c r="I19" i="5"/>
  <c r="E20" i="5"/>
  <c r="G20" i="5" s="1"/>
  <c r="D21" i="5"/>
  <c r="I23" i="5"/>
  <c r="E24" i="5"/>
  <c r="G24" i="5" s="1"/>
  <c r="D25" i="5"/>
  <c r="I27" i="5"/>
  <c r="E28" i="5"/>
  <c r="G28" i="5" s="1"/>
  <c r="D29" i="5"/>
  <c r="E32" i="5"/>
  <c r="G32" i="5" s="1"/>
  <c r="D33" i="5"/>
  <c r="I35" i="5"/>
  <c r="E36" i="5"/>
  <c r="G36" i="5" s="1"/>
  <c r="D37" i="5"/>
  <c r="E40" i="5"/>
  <c r="G40" i="5" s="1"/>
  <c r="D41" i="5"/>
  <c r="E44" i="5"/>
  <c r="G44" i="5" s="1"/>
  <c r="D45" i="5"/>
  <c r="E48" i="5"/>
  <c r="G48" i="5" s="1"/>
  <c r="D49" i="5"/>
  <c r="I51" i="5"/>
  <c r="E52" i="5"/>
  <c r="G52" i="5" s="1"/>
  <c r="D53" i="5"/>
  <c r="E56" i="5"/>
  <c r="G56" i="5" s="1"/>
  <c r="D57" i="5"/>
  <c r="I59" i="5"/>
  <c r="E60" i="5"/>
  <c r="G60" i="5" s="1"/>
  <c r="D61" i="5"/>
  <c r="I63" i="5"/>
  <c r="E64" i="5"/>
  <c r="G64" i="5" s="1"/>
  <c r="D65" i="5"/>
  <c r="I67" i="5"/>
  <c r="E68" i="5"/>
  <c r="G68" i="5" s="1"/>
  <c r="D69" i="5"/>
  <c r="E72" i="5"/>
  <c r="G72" i="5" s="1"/>
  <c r="D73" i="5"/>
  <c r="E76" i="5"/>
  <c r="G76" i="5" s="1"/>
  <c r="D77" i="5"/>
  <c r="D78" i="5"/>
  <c r="I78" i="5"/>
  <c r="D82" i="5"/>
  <c r="I82" i="5"/>
  <c r="D86" i="5"/>
  <c r="E90" i="5"/>
  <c r="G90" i="5" s="1"/>
  <c r="H93" i="5"/>
  <c r="I101" i="5"/>
  <c r="D102" i="5"/>
  <c r="E103" i="5"/>
  <c r="G103" i="5" s="1"/>
  <c r="D103" i="5"/>
  <c r="E106" i="5"/>
  <c r="G106" i="5" s="1"/>
  <c r="H109" i="5"/>
  <c r="D118" i="5"/>
  <c r="E119" i="5"/>
  <c r="G119" i="5" s="1"/>
  <c r="D119" i="5"/>
  <c r="E122" i="5"/>
  <c r="G122" i="5" s="1"/>
  <c r="H132" i="5"/>
  <c r="I133" i="5"/>
  <c r="D134" i="5"/>
  <c r="E135" i="5"/>
  <c r="G135" i="5" s="1"/>
  <c r="D135" i="5"/>
  <c r="E138" i="5"/>
  <c r="G138" i="5" s="1"/>
  <c r="D150" i="5"/>
  <c r="E151" i="5"/>
  <c r="G151" i="5" s="1"/>
  <c r="D151" i="5"/>
  <c r="E154" i="5"/>
  <c r="G154" i="5" s="1"/>
  <c r="H169" i="5"/>
  <c r="E171" i="5"/>
  <c r="G171" i="5" s="1"/>
  <c r="D171" i="5"/>
  <c r="I181" i="5"/>
  <c r="H185" i="5"/>
  <c r="E187" i="5"/>
  <c r="G187" i="5" s="1"/>
  <c r="D187" i="5"/>
  <c r="I197" i="5"/>
  <c r="H201" i="5"/>
  <c r="E203" i="5"/>
  <c r="G203" i="5" s="1"/>
  <c r="D203" i="5"/>
  <c r="H10" i="5"/>
  <c r="H18" i="5"/>
  <c r="H22" i="5"/>
  <c r="H58" i="5"/>
  <c r="H62" i="5"/>
  <c r="E127" i="5"/>
  <c r="G127" i="5" s="1"/>
  <c r="D127" i="5"/>
  <c r="E130" i="5"/>
  <c r="G130" i="5" s="1"/>
  <c r="E143" i="5"/>
  <c r="G143" i="5" s="1"/>
  <c r="D143" i="5"/>
  <c r="D4" i="5"/>
  <c r="D81" i="5"/>
  <c r="H81" i="5"/>
  <c r="D85" i="5"/>
  <c r="B87" i="5"/>
  <c r="B88" i="5" s="1"/>
  <c r="B89" i="5" s="1"/>
  <c r="B90" i="5" s="1"/>
  <c r="B91" i="5" s="1"/>
  <c r="B92" i="5" s="1"/>
  <c r="H88" i="5"/>
  <c r="D90" i="5"/>
  <c r="E91" i="5"/>
  <c r="G91" i="5" s="1"/>
  <c r="D91" i="5"/>
  <c r="E94" i="5"/>
  <c r="G94" i="5" s="1"/>
  <c r="I100" i="5"/>
  <c r="I105" i="5"/>
  <c r="D106" i="5"/>
  <c r="E107" i="5"/>
  <c r="G107" i="5" s="1"/>
  <c r="D107" i="5"/>
  <c r="E110" i="5"/>
  <c r="G110" i="5" s="1"/>
  <c r="H113" i="5"/>
  <c r="H120" i="5"/>
  <c r="I121" i="5"/>
  <c r="D122" i="5"/>
  <c r="E123" i="5"/>
  <c r="G123" i="5" s="1"/>
  <c r="D123" i="5"/>
  <c r="E126" i="5"/>
  <c r="G126" i="5" s="1"/>
  <c r="I132" i="5"/>
  <c r="I137" i="5"/>
  <c r="D138" i="5"/>
  <c r="E139" i="5"/>
  <c r="G139" i="5" s="1"/>
  <c r="D139" i="5"/>
  <c r="E142" i="5"/>
  <c r="G142" i="5" s="1"/>
  <c r="H145" i="5"/>
  <c r="D154" i="5"/>
  <c r="E155" i="5"/>
  <c r="G155" i="5" s="1"/>
  <c r="D155" i="5"/>
  <c r="E158" i="5"/>
  <c r="G158" i="5" s="1"/>
  <c r="H165" i="5"/>
  <c r="E167" i="5"/>
  <c r="G167" i="5" s="1"/>
  <c r="D167" i="5"/>
  <c r="I177" i="5"/>
  <c r="E183" i="5"/>
  <c r="G183" i="5" s="1"/>
  <c r="D183" i="5"/>
  <c r="I193" i="5"/>
  <c r="E199" i="5"/>
  <c r="G199" i="5" s="1"/>
  <c r="D199" i="5"/>
  <c r="H217" i="5"/>
  <c r="H221" i="5"/>
  <c r="I225" i="5"/>
  <c r="I240" i="5"/>
  <c r="E242" i="5"/>
  <c r="G242" i="5" s="1"/>
  <c r="D242" i="5"/>
  <c r="E245" i="5"/>
  <c r="G245" i="5" s="1"/>
  <c r="E257" i="5"/>
  <c r="G257" i="5" s="1"/>
  <c r="D257" i="5"/>
  <c r="H259" i="5"/>
  <c r="E262" i="5"/>
  <c r="G262" i="5" s="1"/>
  <c r="H268" i="5"/>
  <c r="E285" i="5"/>
  <c r="G285" i="5" s="1"/>
  <c r="D285" i="5"/>
  <c r="H297" i="5"/>
  <c r="I313" i="5"/>
  <c r="H313" i="5"/>
  <c r="I325" i="5"/>
  <c r="H325" i="5"/>
  <c r="I341" i="5"/>
  <c r="E166" i="5"/>
  <c r="G166" i="5" s="1"/>
  <c r="E170" i="5"/>
  <c r="G170" i="5" s="1"/>
  <c r="E174" i="5"/>
  <c r="G174" i="5" s="1"/>
  <c r="E178" i="5"/>
  <c r="G178" i="5" s="1"/>
  <c r="E182" i="5"/>
  <c r="G182" i="5" s="1"/>
  <c r="E186" i="5"/>
  <c r="G186" i="5" s="1"/>
  <c r="E190" i="5"/>
  <c r="G190" i="5" s="1"/>
  <c r="E194" i="5"/>
  <c r="G194" i="5" s="1"/>
  <c r="E198" i="5"/>
  <c r="G198" i="5" s="1"/>
  <c r="E202" i="5"/>
  <c r="G202" i="5" s="1"/>
  <c r="E206" i="5"/>
  <c r="G206" i="5" s="1"/>
  <c r="E210" i="5"/>
  <c r="G210" i="5" s="1"/>
  <c r="D211" i="5"/>
  <c r="E214" i="5"/>
  <c r="G214" i="5" s="1"/>
  <c r="D215" i="5"/>
  <c r="I217" i="5"/>
  <c r="E218" i="5"/>
  <c r="G218" i="5" s="1"/>
  <c r="D219" i="5"/>
  <c r="I221" i="5"/>
  <c r="E222" i="5"/>
  <c r="G222" i="5" s="1"/>
  <c r="D223" i="5"/>
  <c r="D228" i="5"/>
  <c r="D232" i="5"/>
  <c r="E233" i="5"/>
  <c r="G233" i="5" s="1"/>
  <c r="I244" i="5"/>
  <c r="D245" i="5"/>
  <c r="E246" i="5"/>
  <c r="G246" i="5" s="1"/>
  <c r="D246" i="5"/>
  <c r="E249" i="5"/>
  <c r="G249" i="5" s="1"/>
  <c r="H256" i="5"/>
  <c r="E261" i="5"/>
  <c r="G261" i="5" s="1"/>
  <c r="D261" i="5"/>
  <c r="D262" i="5"/>
  <c r="H263" i="5"/>
  <c r="E266" i="5"/>
  <c r="G266" i="5" s="1"/>
  <c r="E273" i="5"/>
  <c r="G273" i="5" s="1"/>
  <c r="D273" i="5"/>
  <c r="E289" i="5"/>
  <c r="G289" i="5" s="1"/>
  <c r="D289" i="5"/>
  <c r="E211" i="5"/>
  <c r="G211" i="5" s="1"/>
  <c r="E215" i="5"/>
  <c r="G215" i="5" s="1"/>
  <c r="E219" i="5"/>
  <c r="G219" i="5" s="1"/>
  <c r="E223" i="5"/>
  <c r="G223" i="5" s="1"/>
  <c r="H226" i="5"/>
  <c r="H227" i="5"/>
  <c r="E228" i="5"/>
  <c r="G228" i="5" s="1"/>
  <c r="H230" i="5"/>
  <c r="E232" i="5"/>
  <c r="G232" i="5" s="1"/>
  <c r="E234" i="5"/>
  <c r="G234" i="5" s="1"/>
  <c r="D234" i="5"/>
  <c r="E237" i="5"/>
  <c r="G237" i="5" s="1"/>
  <c r="H247" i="5"/>
  <c r="I248" i="5"/>
  <c r="E250" i="5"/>
  <c r="G250" i="5" s="1"/>
  <c r="D250" i="5"/>
  <c r="E253" i="5"/>
  <c r="G253" i="5" s="1"/>
  <c r="E254" i="5"/>
  <c r="G254" i="5" s="1"/>
  <c r="I259" i="5"/>
  <c r="H260" i="5"/>
  <c r="E265" i="5"/>
  <c r="G265" i="5" s="1"/>
  <c r="D265" i="5"/>
  <c r="D266" i="5"/>
  <c r="H267" i="5"/>
  <c r="I268" i="5"/>
  <c r="H270" i="5"/>
  <c r="E277" i="5"/>
  <c r="G277" i="5" s="1"/>
  <c r="D277" i="5"/>
  <c r="I335" i="5"/>
  <c r="H335" i="5"/>
  <c r="I226" i="5"/>
  <c r="I230" i="5"/>
  <c r="I231" i="5"/>
  <c r="I236" i="5"/>
  <c r="E238" i="5"/>
  <c r="G238" i="5" s="1"/>
  <c r="D238" i="5"/>
  <c r="E241" i="5"/>
  <c r="G241" i="5" s="1"/>
  <c r="I247" i="5"/>
  <c r="H255" i="5"/>
  <c r="E258" i="5"/>
  <c r="G258" i="5" s="1"/>
  <c r="H264" i="5"/>
  <c r="E269" i="5"/>
  <c r="G269" i="5" s="1"/>
  <c r="D269" i="5"/>
  <c r="E281" i="5"/>
  <c r="G281" i="5" s="1"/>
  <c r="D281" i="5"/>
  <c r="I301" i="5"/>
  <c r="H301" i="5"/>
  <c r="D293" i="5"/>
  <c r="D297" i="5"/>
  <c r="D301" i="5"/>
  <c r="D305" i="5"/>
  <c r="D309" i="5"/>
  <c r="D313" i="5"/>
  <c r="D317" i="5"/>
  <c r="D323" i="5"/>
  <c r="D329" i="5"/>
  <c r="D339" i="5"/>
  <c r="H342" i="5"/>
  <c r="E345" i="5"/>
  <c r="G345" i="5" s="1"/>
  <c r="D345" i="5"/>
  <c r="I347" i="5"/>
  <c r="E349" i="5"/>
  <c r="G349" i="5" s="1"/>
  <c r="D349" i="5"/>
  <c r="I351" i="5"/>
  <c r="E353" i="5"/>
  <c r="G353" i="5" s="1"/>
  <c r="D353" i="5"/>
  <c r="I355" i="5"/>
  <c r="E357" i="5"/>
  <c r="G357" i="5" s="1"/>
  <c r="D357" i="5"/>
  <c r="E361" i="5"/>
  <c r="G361" i="5" s="1"/>
  <c r="D361" i="5"/>
  <c r="I363" i="5"/>
  <c r="E365" i="5"/>
  <c r="G365" i="5" s="1"/>
  <c r="D365" i="5"/>
  <c r="E369" i="5"/>
  <c r="G369" i="5" s="1"/>
  <c r="D369" i="5"/>
  <c r="I371" i="5"/>
  <c r="E373" i="5"/>
  <c r="G373" i="5" s="1"/>
  <c r="D373" i="5"/>
  <c r="I375" i="5"/>
  <c r="E377" i="5"/>
  <c r="G377" i="5" s="1"/>
  <c r="D377" i="5"/>
  <c r="I379" i="5"/>
  <c r="E381" i="5"/>
  <c r="G381" i="5" s="1"/>
  <c r="D381" i="5"/>
  <c r="I383" i="5"/>
  <c r="E385" i="5"/>
  <c r="G385" i="5" s="1"/>
  <c r="D385" i="5"/>
  <c r="I387" i="5"/>
  <c r="E389" i="5"/>
  <c r="G389" i="5" s="1"/>
  <c r="D389" i="5"/>
  <c r="E393" i="5"/>
  <c r="G393" i="5" s="1"/>
  <c r="D393" i="5"/>
  <c r="I395" i="5"/>
  <c r="E397" i="5"/>
  <c r="G397" i="5" s="1"/>
  <c r="D397" i="5"/>
  <c r="H271" i="5"/>
  <c r="H272" i="5"/>
  <c r="H275" i="5"/>
  <c r="H279" i="5"/>
  <c r="H280" i="5"/>
  <c r="H287" i="5"/>
  <c r="H288" i="5"/>
  <c r="H291" i="5"/>
  <c r="H295" i="5"/>
  <c r="H303" i="5"/>
  <c r="H304" i="5"/>
  <c r="H307" i="5"/>
  <c r="H308" i="5"/>
  <c r="H311" i="5"/>
  <c r="H312" i="5"/>
  <c r="H319" i="5"/>
  <c r="E323" i="5"/>
  <c r="G323" i="5" s="1"/>
  <c r="D327" i="5"/>
  <c r="E329" i="5"/>
  <c r="G329" i="5" s="1"/>
  <c r="H330" i="5"/>
  <c r="I330" i="5"/>
  <c r="D333" i="5"/>
  <c r="E339" i="5"/>
  <c r="G339" i="5" s="1"/>
  <c r="D343" i="5"/>
  <c r="H347" i="5"/>
  <c r="H355" i="5"/>
  <c r="H359" i="5"/>
  <c r="H363" i="5"/>
  <c r="H371" i="5"/>
  <c r="H375" i="5"/>
  <c r="H379" i="5"/>
  <c r="H387" i="5"/>
  <c r="H395" i="5"/>
  <c r="D402" i="5"/>
  <c r="E402" i="5"/>
  <c r="G402" i="5" s="1"/>
  <c r="D410" i="5"/>
  <c r="E410" i="5"/>
  <c r="G410" i="5" s="1"/>
  <c r="I412" i="5"/>
  <c r="H412" i="5"/>
  <c r="D418" i="5"/>
  <c r="E418" i="5"/>
  <c r="G418" i="5" s="1"/>
  <c r="D422" i="5"/>
  <c r="E422" i="5"/>
  <c r="G422" i="5" s="1"/>
  <c r="I271" i="5"/>
  <c r="I275" i="5"/>
  <c r="I279" i="5"/>
  <c r="I280" i="5"/>
  <c r="I283" i="5"/>
  <c r="I287" i="5"/>
  <c r="I288" i="5"/>
  <c r="I291" i="5"/>
  <c r="I295" i="5"/>
  <c r="I303" i="5"/>
  <c r="I304" i="5"/>
  <c r="I307" i="5"/>
  <c r="I308" i="5"/>
  <c r="I311" i="5"/>
  <c r="I312" i="5"/>
  <c r="I315" i="5"/>
  <c r="I316" i="5"/>
  <c r="I319" i="5"/>
  <c r="D321" i="5"/>
  <c r="I327" i="5"/>
  <c r="D331" i="5"/>
  <c r="I333" i="5"/>
  <c r="D337" i="5"/>
  <c r="I343" i="5"/>
  <c r="I420" i="5"/>
  <c r="I321" i="5"/>
  <c r="H322" i="5"/>
  <c r="I322" i="5"/>
  <c r="D325" i="5"/>
  <c r="I331" i="5"/>
  <c r="D335" i="5"/>
  <c r="I337" i="5"/>
  <c r="H338" i="5"/>
  <c r="I338" i="5"/>
  <c r="D341" i="5"/>
  <c r="H346" i="5"/>
  <c r="H354" i="5"/>
  <c r="H362" i="5"/>
  <c r="H366" i="5"/>
  <c r="H370" i="5"/>
  <c r="H374" i="5"/>
  <c r="H382" i="5"/>
  <c r="H386" i="5"/>
  <c r="H390" i="5"/>
  <c r="H398" i="5"/>
  <c r="D406" i="5"/>
  <c r="E406" i="5"/>
  <c r="G406" i="5" s="1"/>
  <c r="I408" i="5"/>
  <c r="H408" i="5"/>
  <c r="D414" i="5"/>
  <c r="E414" i="5"/>
  <c r="G414" i="5" s="1"/>
  <c r="I416" i="5"/>
  <c r="H416" i="5"/>
  <c r="I426" i="5"/>
  <c r="D430" i="5"/>
  <c r="I436" i="5"/>
  <c r="D442" i="5"/>
  <c r="E442" i="5"/>
  <c r="G442" i="5" s="1"/>
  <c r="H320" i="5"/>
  <c r="H336" i="5"/>
  <c r="H340" i="5"/>
  <c r="H348" i="5"/>
  <c r="H352" i="5"/>
  <c r="H356" i="5"/>
  <c r="H364" i="5"/>
  <c r="H368" i="5"/>
  <c r="H376" i="5"/>
  <c r="H384" i="5"/>
  <c r="H388" i="5"/>
  <c r="H396" i="5"/>
  <c r="I403" i="5"/>
  <c r="I407" i="5"/>
  <c r="I415" i="5"/>
  <c r="I419" i="5"/>
  <c r="D424" i="5"/>
  <c r="E430" i="5"/>
  <c r="G430" i="5" s="1"/>
  <c r="H436" i="5"/>
  <c r="D438" i="5"/>
  <c r="E438" i="5"/>
  <c r="G438" i="5" s="1"/>
  <c r="I453" i="5"/>
  <c r="H453" i="5"/>
  <c r="I425" i="5"/>
  <c r="H426" i="5"/>
  <c r="D428" i="5"/>
  <c r="D434" i="5"/>
  <c r="E434" i="5"/>
  <c r="G434" i="5" s="1"/>
  <c r="H437" i="5"/>
  <c r="I437" i="5"/>
  <c r="I444" i="5"/>
  <c r="H449" i="5"/>
  <c r="D400" i="5"/>
  <c r="D404" i="5"/>
  <c r="D408" i="5"/>
  <c r="D412" i="5"/>
  <c r="D416" i="5"/>
  <c r="D420" i="5"/>
  <c r="D426" i="5"/>
  <c r="E428" i="5"/>
  <c r="G428" i="5" s="1"/>
  <c r="I429" i="5"/>
  <c r="D432" i="5"/>
  <c r="H433" i="5"/>
  <c r="I433" i="5"/>
  <c r="I440" i="5"/>
  <c r="H444" i="5"/>
  <c r="D446" i="5"/>
  <c r="E446" i="5"/>
  <c r="G446" i="5" s="1"/>
  <c r="E450" i="5"/>
  <c r="G450" i="5" s="1"/>
  <c r="I482" i="5"/>
  <c r="E484" i="5"/>
  <c r="G484" i="5" s="1"/>
  <c r="D484" i="5"/>
  <c r="E487" i="5"/>
  <c r="G487" i="5" s="1"/>
  <c r="I498" i="5"/>
  <c r="E500" i="5"/>
  <c r="G500" i="5" s="1"/>
  <c r="D500" i="5"/>
  <c r="E503" i="5"/>
  <c r="G503" i="5" s="1"/>
  <c r="H423" i="5"/>
  <c r="H431" i="5"/>
  <c r="H435" i="5"/>
  <c r="D436" i="5"/>
  <c r="H439" i="5"/>
  <c r="D440" i="5"/>
  <c r="H443" i="5"/>
  <c r="D444" i="5"/>
  <c r="H447" i="5"/>
  <c r="D448" i="5"/>
  <c r="D452" i="5"/>
  <c r="D454" i="5"/>
  <c r="E475" i="5"/>
  <c r="G475" i="5" s="1"/>
  <c r="E488" i="5"/>
  <c r="G488" i="5" s="1"/>
  <c r="D488" i="5"/>
  <c r="E491" i="5"/>
  <c r="G491" i="5" s="1"/>
  <c r="I502" i="5"/>
  <c r="E504" i="5"/>
  <c r="G504" i="5" s="1"/>
  <c r="D504" i="5"/>
  <c r="E507" i="5"/>
  <c r="G507" i="5" s="1"/>
  <c r="H448" i="5"/>
  <c r="H452" i="5"/>
  <c r="I454" i="5"/>
  <c r="I466" i="5"/>
  <c r="I474" i="5"/>
  <c r="E476" i="5"/>
  <c r="G476" i="5" s="1"/>
  <c r="D476" i="5"/>
  <c r="E479" i="5"/>
  <c r="G479" i="5" s="1"/>
  <c r="I490" i="5"/>
  <c r="E492" i="5"/>
  <c r="G492" i="5" s="1"/>
  <c r="D492" i="5"/>
  <c r="E495" i="5"/>
  <c r="G495" i="5" s="1"/>
  <c r="H498" i="5"/>
  <c r="E508" i="5"/>
  <c r="G508" i="5" s="1"/>
  <c r="D508" i="5"/>
  <c r="E511" i="5"/>
  <c r="G511" i="5" s="1"/>
  <c r="D511" i="5"/>
  <c r="I513" i="5"/>
  <c r="E456" i="5"/>
  <c r="G456" i="5" s="1"/>
  <c r="I457" i="5"/>
  <c r="E460" i="5"/>
  <c r="G460" i="5" s="1"/>
  <c r="I461" i="5"/>
  <c r="E464" i="5"/>
  <c r="G464" i="5" s="1"/>
  <c r="E468" i="5"/>
  <c r="G468" i="5" s="1"/>
  <c r="E472" i="5"/>
  <c r="G472" i="5" s="1"/>
  <c r="I473" i="5"/>
  <c r="D479" i="5"/>
  <c r="E480" i="5"/>
  <c r="G480" i="5" s="1"/>
  <c r="D480" i="5"/>
  <c r="E483" i="5"/>
  <c r="G483" i="5" s="1"/>
  <c r="I489" i="5"/>
  <c r="I494" i="5"/>
  <c r="D495" i="5"/>
  <c r="E496" i="5"/>
  <c r="G496" i="5" s="1"/>
  <c r="D496" i="5"/>
  <c r="E499" i="5"/>
  <c r="G499" i="5" s="1"/>
  <c r="I505" i="5"/>
  <c r="H513" i="5"/>
  <c r="I549" i="5"/>
  <c r="I565" i="5"/>
  <c r="I573" i="5"/>
  <c r="H587" i="5"/>
  <c r="I595" i="5"/>
  <c r="E607" i="5"/>
  <c r="G607" i="5" s="1"/>
  <c r="D607" i="5"/>
  <c r="H510" i="5"/>
  <c r="H514" i="5"/>
  <c r="D518" i="5"/>
  <c r="D522" i="5"/>
  <c r="D526" i="5"/>
  <c r="E530" i="5"/>
  <c r="G530" i="5" s="1"/>
  <c r="E534" i="5"/>
  <c r="G534" i="5" s="1"/>
  <c r="E543" i="5"/>
  <c r="G543" i="5" s="1"/>
  <c r="D543" i="5"/>
  <c r="E551" i="5"/>
  <c r="G551" i="5" s="1"/>
  <c r="D551" i="5"/>
  <c r="H557" i="5"/>
  <c r="E559" i="5"/>
  <c r="G559" i="5" s="1"/>
  <c r="D559" i="5"/>
  <c r="H565" i="5"/>
  <c r="E567" i="5"/>
  <c r="G567" i="5" s="1"/>
  <c r="D567" i="5"/>
  <c r="H573" i="5"/>
  <c r="E575" i="5"/>
  <c r="G575" i="5" s="1"/>
  <c r="D575" i="5"/>
  <c r="H579" i="5"/>
  <c r="D581" i="5"/>
  <c r="E581" i="5"/>
  <c r="G581" i="5" s="1"/>
  <c r="D589" i="5"/>
  <c r="E589" i="5"/>
  <c r="G589" i="5" s="1"/>
  <c r="I613" i="5"/>
  <c r="H613" i="5"/>
  <c r="D512" i="5"/>
  <c r="H517" i="5"/>
  <c r="E518" i="5"/>
  <c r="G518" i="5" s="1"/>
  <c r="H520" i="5"/>
  <c r="H521" i="5"/>
  <c r="E522" i="5"/>
  <c r="G522" i="5" s="1"/>
  <c r="H524" i="5"/>
  <c r="E526" i="5"/>
  <c r="G526" i="5" s="1"/>
  <c r="H528" i="5"/>
  <c r="I529" i="5"/>
  <c r="D530" i="5"/>
  <c r="E531" i="5"/>
  <c r="G531" i="5" s="1"/>
  <c r="D531" i="5"/>
  <c r="I533" i="5"/>
  <c r="D534" i="5"/>
  <c r="E535" i="5"/>
  <c r="G535" i="5" s="1"/>
  <c r="D535" i="5"/>
  <c r="I537" i="5"/>
  <c r="I553" i="5"/>
  <c r="I561" i="5"/>
  <c r="I569" i="5"/>
  <c r="I577" i="5"/>
  <c r="I583" i="5"/>
  <c r="H583" i="5"/>
  <c r="I591" i="5"/>
  <c r="I517" i="5"/>
  <c r="I520" i="5"/>
  <c r="I521" i="5"/>
  <c r="I524" i="5"/>
  <c r="E539" i="5"/>
  <c r="G539" i="5" s="1"/>
  <c r="D539" i="5"/>
  <c r="E547" i="5"/>
  <c r="G547" i="5" s="1"/>
  <c r="D547" i="5"/>
  <c r="E555" i="5"/>
  <c r="G555" i="5" s="1"/>
  <c r="D555" i="5"/>
  <c r="E563" i="5"/>
  <c r="G563" i="5" s="1"/>
  <c r="D563" i="5"/>
  <c r="E571" i="5"/>
  <c r="G571" i="5" s="1"/>
  <c r="D571" i="5"/>
  <c r="D585" i="5"/>
  <c r="E585" i="5"/>
  <c r="G585" i="5" s="1"/>
  <c r="D593" i="5"/>
  <c r="E593" i="5"/>
  <c r="G593" i="5" s="1"/>
  <c r="E599" i="5"/>
  <c r="G599" i="5" s="1"/>
  <c r="D599" i="5"/>
  <c r="I612" i="5"/>
  <c r="E538" i="5"/>
  <c r="G538" i="5" s="1"/>
  <c r="E542" i="5"/>
  <c r="G542" i="5" s="1"/>
  <c r="E546" i="5"/>
  <c r="G546" i="5" s="1"/>
  <c r="E550" i="5"/>
  <c r="G550" i="5" s="1"/>
  <c r="E554" i="5"/>
  <c r="G554" i="5" s="1"/>
  <c r="E558" i="5"/>
  <c r="G558" i="5" s="1"/>
  <c r="E562" i="5"/>
  <c r="G562" i="5" s="1"/>
  <c r="E566" i="5"/>
  <c r="G566" i="5" s="1"/>
  <c r="E570" i="5"/>
  <c r="G570" i="5" s="1"/>
  <c r="E574" i="5"/>
  <c r="G574" i="5" s="1"/>
  <c r="E578" i="5"/>
  <c r="G578" i="5" s="1"/>
  <c r="I582" i="5"/>
  <c r="I586" i="5"/>
  <c r="I594" i="5"/>
  <c r="E596" i="5"/>
  <c r="G596" i="5" s="1"/>
  <c r="D596" i="5"/>
  <c r="H597" i="5"/>
  <c r="I598" i="5"/>
  <c r="E600" i="5"/>
  <c r="G600" i="5" s="1"/>
  <c r="D600" i="5"/>
  <c r="I601" i="5"/>
  <c r="E611" i="5"/>
  <c r="G611" i="5" s="1"/>
  <c r="D611" i="5"/>
  <c r="H616" i="5"/>
  <c r="I617" i="5"/>
  <c r="D580" i="5"/>
  <c r="D584" i="5"/>
  <c r="I584" i="5"/>
  <c r="D588" i="5"/>
  <c r="I588" i="5"/>
  <c r="D592" i="5"/>
  <c r="I592" i="5"/>
  <c r="H601" i="5"/>
  <c r="H604" i="5"/>
  <c r="E615" i="5"/>
  <c r="G615" i="5" s="1"/>
  <c r="D615" i="5"/>
  <c r="H617" i="5"/>
  <c r="E603" i="5"/>
  <c r="G603" i="5" s="1"/>
  <c r="D603" i="5"/>
  <c r="H608" i="5"/>
  <c r="I616" i="5"/>
  <c r="I620" i="5"/>
  <c r="H620" i="5"/>
  <c r="I624" i="5"/>
  <c r="H602" i="5"/>
  <c r="H606" i="5"/>
  <c r="H610" i="5"/>
  <c r="H614" i="5"/>
  <c r="H618" i="5"/>
  <c r="D619" i="5"/>
  <c r="H622" i="5"/>
  <c r="D623" i="5"/>
  <c r="H626" i="5"/>
  <c r="D627" i="5"/>
  <c r="E629" i="5"/>
  <c r="G629" i="5" s="1"/>
  <c r="I630" i="5"/>
  <c r="E633" i="5"/>
  <c r="G633" i="5" s="1"/>
  <c r="I634" i="5"/>
  <c r="E637" i="5"/>
  <c r="G637" i="5" s="1"/>
  <c r="I638" i="5"/>
  <c r="E649" i="5"/>
  <c r="G649" i="5" s="1"/>
  <c r="E653" i="5"/>
  <c r="G653" i="5" s="1"/>
  <c r="H660" i="5"/>
  <c r="I664" i="5"/>
  <c r="H664" i="5"/>
  <c r="E666" i="5"/>
  <c r="G666" i="5" s="1"/>
  <c r="D666" i="5"/>
  <c r="E678" i="5"/>
  <c r="G678" i="5" s="1"/>
  <c r="D678" i="5"/>
  <c r="H681" i="5"/>
  <c r="I681" i="5"/>
  <c r="D604" i="5"/>
  <c r="I606" i="5"/>
  <c r="D608" i="5"/>
  <c r="I610" i="5"/>
  <c r="D612" i="5"/>
  <c r="I614" i="5"/>
  <c r="D616" i="5"/>
  <c r="I618" i="5"/>
  <c r="E619" i="5"/>
  <c r="G619" i="5" s="1"/>
  <c r="D620" i="5"/>
  <c r="E623" i="5"/>
  <c r="G623" i="5" s="1"/>
  <c r="D624" i="5"/>
  <c r="I626" i="5"/>
  <c r="E627" i="5"/>
  <c r="G627" i="5" s="1"/>
  <c r="D628" i="5"/>
  <c r="I628" i="5"/>
  <c r="D632" i="5"/>
  <c r="D636" i="5"/>
  <c r="D640" i="5"/>
  <c r="I640" i="5"/>
  <c r="E643" i="5"/>
  <c r="G643" i="5" s="1"/>
  <c r="D649" i="5"/>
  <c r="D653" i="5"/>
  <c r="E662" i="5"/>
  <c r="G662" i="5" s="1"/>
  <c r="D662" i="5"/>
  <c r="E665" i="5"/>
  <c r="G665" i="5" s="1"/>
  <c r="H667" i="5"/>
  <c r="H705" i="5"/>
  <c r="I705" i="5"/>
  <c r="D631" i="5"/>
  <c r="D635" i="5"/>
  <c r="D639" i="5"/>
  <c r="I642" i="5"/>
  <c r="D643" i="5"/>
  <c r="E644" i="5"/>
  <c r="G644" i="5" s="1"/>
  <c r="D644" i="5"/>
  <c r="E679" i="5"/>
  <c r="G679" i="5" s="1"/>
  <c r="D679" i="5"/>
  <c r="E683" i="5"/>
  <c r="G683" i="5" s="1"/>
  <c r="D683" i="5"/>
  <c r="I685" i="5"/>
  <c r="I699" i="5"/>
  <c r="H699" i="5"/>
  <c r="I631" i="5"/>
  <c r="I635" i="5"/>
  <c r="I639" i="5"/>
  <c r="E669" i="5"/>
  <c r="G669" i="5" s="1"/>
  <c r="D669" i="5"/>
  <c r="I676" i="5"/>
  <c r="H676" i="5"/>
  <c r="E684" i="5"/>
  <c r="G684" i="5" s="1"/>
  <c r="E688" i="5"/>
  <c r="G688" i="5" s="1"/>
  <c r="D688" i="5"/>
  <c r="I690" i="5"/>
  <c r="H690" i="5"/>
  <c r="I703" i="5"/>
  <c r="H703" i="5"/>
  <c r="E704" i="5"/>
  <c r="G704" i="5" s="1"/>
  <c r="E708" i="5"/>
  <c r="G708" i="5" s="1"/>
  <c r="D708" i="5"/>
  <c r="E712" i="5"/>
  <c r="G712" i="5" s="1"/>
  <c r="D712" i="5"/>
  <c r="E719" i="5"/>
  <c r="G719" i="5" s="1"/>
  <c r="D719" i="5"/>
  <c r="E657" i="5"/>
  <c r="G657" i="5" s="1"/>
  <c r="I668" i="5"/>
  <c r="E670" i="5"/>
  <c r="G670" i="5" s="1"/>
  <c r="D670" i="5"/>
  <c r="E673" i="5"/>
  <c r="G673" i="5" s="1"/>
  <c r="H682" i="5"/>
  <c r="E687" i="5"/>
  <c r="G687" i="5" s="1"/>
  <c r="D687" i="5"/>
  <c r="E701" i="5"/>
  <c r="G701" i="5" s="1"/>
  <c r="D701" i="5"/>
  <c r="D704" i="5"/>
  <c r="E717" i="5"/>
  <c r="G717" i="5" s="1"/>
  <c r="D717" i="5"/>
  <c r="E647" i="5"/>
  <c r="G647" i="5" s="1"/>
  <c r="E651" i="5"/>
  <c r="G651" i="5" s="1"/>
  <c r="I652" i="5"/>
  <c r="E655" i="5"/>
  <c r="G655" i="5" s="1"/>
  <c r="I656" i="5"/>
  <c r="D657" i="5"/>
  <c r="E658" i="5"/>
  <c r="G658" i="5" s="1"/>
  <c r="D658" i="5"/>
  <c r="E661" i="5"/>
  <c r="G661" i="5" s="1"/>
  <c r="D673" i="5"/>
  <c r="E674" i="5"/>
  <c r="G674" i="5" s="1"/>
  <c r="D674" i="5"/>
  <c r="E677" i="5"/>
  <c r="G677" i="5" s="1"/>
  <c r="E680" i="5"/>
  <c r="G680" i="5" s="1"/>
  <c r="H686" i="5"/>
  <c r="E692" i="5"/>
  <c r="G692" i="5" s="1"/>
  <c r="D692" i="5"/>
  <c r="I691" i="5"/>
  <c r="E693" i="5"/>
  <c r="G693" i="5" s="1"/>
  <c r="D693" i="5"/>
  <c r="E696" i="5"/>
  <c r="G696" i="5" s="1"/>
  <c r="I706" i="5"/>
  <c r="I714" i="5"/>
  <c r="I695" i="5"/>
  <c r="E697" i="5"/>
  <c r="G697" i="5" s="1"/>
  <c r="D697" i="5"/>
  <c r="E700" i="5"/>
  <c r="G700" i="5" s="1"/>
  <c r="H709" i="5"/>
  <c r="E716" i="5"/>
  <c r="G716" i="5" s="1"/>
  <c r="D716" i="5"/>
  <c r="E718" i="5"/>
  <c r="G718" i="5" s="1"/>
  <c r="D718" i="5"/>
  <c r="E720" i="5"/>
  <c r="G720" i="5" s="1"/>
  <c r="D720" i="5"/>
  <c r="E711" i="5"/>
  <c r="G711" i="5" s="1"/>
  <c r="E715" i="5"/>
  <c r="G715" i="5" s="1"/>
  <c r="D705" i="5"/>
  <c r="D709" i="5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I667" i="5" l="1"/>
  <c r="I660" i="5"/>
  <c r="I528" i="5"/>
  <c r="H525" i="5"/>
  <c r="I512" i="5"/>
  <c r="I478" i="5"/>
  <c r="I465" i="5"/>
  <c r="H394" i="5"/>
  <c r="I300" i="5"/>
  <c r="H240" i="5"/>
  <c r="H197" i="5"/>
  <c r="I164" i="5"/>
  <c r="H125" i="5"/>
  <c r="H75" i="5"/>
  <c r="I81" i="5"/>
  <c r="I694" i="5"/>
  <c r="H124" i="5"/>
  <c r="H224" i="5"/>
  <c r="H694" i="5"/>
  <c r="H641" i="5"/>
  <c r="I525" i="5"/>
  <c r="I557" i="5"/>
  <c r="I458" i="5"/>
  <c r="H512" i="5"/>
  <c r="H392" i="5"/>
  <c r="H391" i="5"/>
  <c r="H300" i="5"/>
  <c r="I367" i="5"/>
  <c r="H231" i="5"/>
  <c r="H243" i="5"/>
  <c r="I148" i="5"/>
  <c r="H104" i="5"/>
  <c r="I117" i="5"/>
  <c r="I75" i="5"/>
  <c r="I31" i="5"/>
  <c r="H43" i="5"/>
  <c r="I394" i="5"/>
  <c r="H454" i="5"/>
  <c r="I124" i="5"/>
  <c r="H407" i="5"/>
  <c r="I224" i="5"/>
  <c r="H53" i="5"/>
  <c r="H478" i="5"/>
  <c r="I140" i="5"/>
  <c r="H140" i="5"/>
  <c r="H156" i="5"/>
  <c r="H100" i="5"/>
  <c r="G540" i="5"/>
  <c r="I540" i="5"/>
  <c r="I672" i="5"/>
  <c r="H645" i="5"/>
  <c r="I602" i="5"/>
  <c r="I621" i="5"/>
  <c r="I516" i="5"/>
  <c r="H516" i="5"/>
  <c r="I587" i="5"/>
  <c r="I486" i="5"/>
  <c r="H451" i="5"/>
  <c r="H332" i="5"/>
  <c r="I296" i="5"/>
  <c r="I276" i="5"/>
  <c r="H316" i="5"/>
  <c r="H276" i="5"/>
  <c r="I399" i="5"/>
  <c r="I209" i="5"/>
  <c r="H161" i="5"/>
  <c r="H85" i="5"/>
  <c r="I165" i="5"/>
  <c r="I43" i="5"/>
  <c r="H27" i="5"/>
  <c r="I189" i="5"/>
  <c r="H5" i="5"/>
  <c r="H13" i="5"/>
  <c r="H505" i="5"/>
  <c r="H244" i="5"/>
  <c r="H184" i="5"/>
  <c r="I707" i="5"/>
  <c r="H707" i="5"/>
  <c r="I622" i="5"/>
  <c r="I710" i="5"/>
  <c r="I605" i="5"/>
  <c r="H612" i="5"/>
  <c r="H591" i="5"/>
  <c r="I579" i="5"/>
  <c r="H549" i="5"/>
  <c r="H595" i="5"/>
  <c r="H493" i="5"/>
  <c r="H360" i="5"/>
  <c r="H344" i="5"/>
  <c r="H350" i="5"/>
  <c r="H420" i="5"/>
  <c r="H334" i="5"/>
  <c r="H399" i="5"/>
  <c r="H383" i="5"/>
  <c r="H367" i="5"/>
  <c r="H351" i="5"/>
  <c r="H315" i="5"/>
  <c r="H296" i="5"/>
  <c r="I359" i="5"/>
  <c r="I342" i="5"/>
  <c r="I227" i="5"/>
  <c r="H309" i="5"/>
  <c r="H129" i="5"/>
  <c r="I89" i="5"/>
  <c r="H50" i="5"/>
  <c r="I149" i="5"/>
  <c r="I47" i="5"/>
  <c r="H67" i="5"/>
  <c r="I50" i="5"/>
  <c r="H31" i="5"/>
  <c r="H65" i="5"/>
  <c r="H642" i="5"/>
  <c r="H482" i="5"/>
  <c r="I452" i="5"/>
  <c r="H698" i="5"/>
  <c r="I184" i="5"/>
  <c r="I128" i="5"/>
  <c r="G457" i="5"/>
  <c r="I689" i="5"/>
  <c r="G689" i="5"/>
  <c r="G427" i="5"/>
  <c r="I427" i="5"/>
  <c r="G380" i="5"/>
  <c r="I380" i="5"/>
  <c r="H34" i="5"/>
  <c r="I69" i="5"/>
  <c r="I61" i="5"/>
  <c r="I53" i="5"/>
  <c r="H621" i="5"/>
  <c r="H343" i="5"/>
  <c r="H490" i="5"/>
  <c r="H440" i="5"/>
  <c r="I698" i="5"/>
  <c r="I204" i="5"/>
  <c r="H89" i="5"/>
  <c r="I216" i="5"/>
  <c r="G638" i="5"/>
  <c r="H638" i="5"/>
  <c r="G572" i="5"/>
  <c r="I572" i="5"/>
  <c r="G364" i="5"/>
  <c r="I364" i="5"/>
  <c r="H502" i="5"/>
  <c r="H486" i="5"/>
  <c r="I469" i="5"/>
  <c r="H429" i="5"/>
  <c r="H432" i="5"/>
  <c r="I424" i="5"/>
  <c r="H328" i="5"/>
  <c r="I272" i="5"/>
  <c r="I297" i="5"/>
  <c r="I153" i="5"/>
  <c r="H136" i="5"/>
  <c r="H3" i="5"/>
  <c r="I55" i="5"/>
  <c r="I39" i="5"/>
  <c r="I7" i="5"/>
  <c r="I169" i="5"/>
  <c r="I141" i="5"/>
  <c r="H77" i="5"/>
  <c r="I21" i="5"/>
  <c r="I41" i="5"/>
  <c r="I378" i="5"/>
  <c r="I112" i="5"/>
  <c r="H634" i="5"/>
  <c r="G545" i="5"/>
  <c r="H545" i="5"/>
  <c r="G471" i="5"/>
  <c r="I471" i="5"/>
  <c r="H652" i="5"/>
  <c r="G652" i="5"/>
  <c r="G298" i="5"/>
  <c r="I298" i="5"/>
  <c r="I636" i="5"/>
  <c r="G636" i="5"/>
  <c r="H685" i="5"/>
  <c r="I609" i="5"/>
  <c r="I580" i="5"/>
  <c r="I449" i="5"/>
  <c r="I432" i="5"/>
  <c r="H378" i="5"/>
  <c r="H283" i="5"/>
  <c r="H326" i="5"/>
  <c r="H293" i="5"/>
  <c r="I116" i="5"/>
  <c r="H141" i="5"/>
  <c r="I185" i="5"/>
  <c r="H63" i="5"/>
  <c r="I205" i="5"/>
  <c r="I77" i="5"/>
  <c r="H21" i="5"/>
  <c r="H41" i="5"/>
  <c r="I57" i="5"/>
  <c r="I9" i="5"/>
  <c r="H656" i="5"/>
  <c r="H477" i="5"/>
  <c r="G477" i="5"/>
  <c r="H205" i="5"/>
  <c r="I235" i="5"/>
  <c r="G235" i="5"/>
  <c r="G173" i="5"/>
  <c r="H173" i="5"/>
  <c r="I196" i="5"/>
  <c r="G196" i="5"/>
  <c r="I37" i="5"/>
  <c r="H57" i="5"/>
  <c r="H9" i="5"/>
  <c r="I25" i="5"/>
  <c r="H598" i="5"/>
  <c r="H358" i="5"/>
  <c r="G358" i="5"/>
  <c r="H239" i="5"/>
  <c r="H108" i="5"/>
  <c r="H160" i="5"/>
  <c r="G552" i="5"/>
  <c r="I552" i="5"/>
  <c r="I654" i="5"/>
  <c r="G654" i="5"/>
  <c r="G172" i="5"/>
  <c r="I172" i="5"/>
  <c r="G348" i="5"/>
  <c r="I348" i="5"/>
  <c r="I659" i="5"/>
  <c r="H659" i="5"/>
  <c r="H625" i="5"/>
  <c r="H648" i="5"/>
  <c r="H481" i="5"/>
  <c r="I481" i="5"/>
  <c r="H462" i="5"/>
  <c r="H405" i="5"/>
  <c r="I405" i="5"/>
  <c r="H632" i="5"/>
  <c r="H580" i="5"/>
  <c r="H470" i="5"/>
  <c r="H515" i="5"/>
  <c r="I515" i="5"/>
  <c r="H192" i="5"/>
  <c r="I192" i="5"/>
  <c r="H419" i="5"/>
  <c r="H403" i="5"/>
  <c r="I324" i="5"/>
  <c r="H209" i="5"/>
  <c r="H506" i="5"/>
  <c r="H411" i="5"/>
  <c r="H290" i="5"/>
  <c r="I290" i="5"/>
  <c r="I671" i="5"/>
  <c r="H467" i="5"/>
  <c r="I467" i="5"/>
  <c r="H86" i="5"/>
  <c r="I625" i="5"/>
  <c r="H536" i="5"/>
  <c r="H541" i="5"/>
  <c r="I506" i="5"/>
  <c r="I462" i="5"/>
  <c r="H425" i="5"/>
  <c r="I441" i="5"/>
  <c r="I445" i="5"/>
  <c r="H400" i="5"/>
  <c r="H292" i="5"/>
  <c r="H284" i="5"/>
  <c r="I309" i="5"/>
  <c r="I293" i="5"/>
  <c r="I213" i="5"/>
  <c r="H305" i="5"/>
  <c r="H97" i="5"/>
  <c r="H42" i="5"/>
  <c r="I71" i="5"/>
  <c r="H61" i="5"/>
  <c r="H639" i="5"/>
  <c r="H594" i="5"/>
  <c r="H523" i="5"/>
  <c r="I523" i="5"/>
  <c r="I448" i="5"/>
  <c r="H537" i="5"/>
  <c r="I451" i="5"/>
  <c r="I356" i="5"/>
  <c r="I493" i="5"/>
  <c r="H469" i="5"/>
  <c r="H459" i="5"/>
  <c r="I459" i="5"/>
  <c r="H229" i="5"/>
  <c r="I229" i="5"/>
  <c r="H189" i="5"/>
  <c r="H121" i="5"/>
  <c r="I92" i="5"/>
  <c r="H92" i="5"/>
  <c r="I390" i="5"/>
  <c r="H663" i="5"/>
  <c r="I663" i="5"/>
  <c r="H605" i="5"/>
  <c r="H236" i="5"/>
  <c r="I243" i="5"/>
  <c r="H519" i="5"/>
  <c r="I519" i="5"/>
  <c r="I270" i="5"/>
  <c r="H463" i="5"/>
  <c r="I463" i="5"/>
  <c r="H401" i="5"/>
  <c r="I401" i="5"/>
  <c r="H278" i="5"/>
  <c r="I278" i="5"/>
  <c r="I645" i="5"/>
  <c r="H636" i="5"/>
  <c r="I477" i="5"/>
  <c r="H421" i="5"/>
  <c r="I421" i="5"/>
  <c r="H318" i="5"/>
  <c r="I318" i="5"/>
  <c r="H646" i="5"/>
  <c r="I646" i="5"/>
  <c r="H609" i="5"/>
  <c r="H590" i="5"/>
  <c r="I372" i="5"/>
  <c r="H252" i="5"/>
  <c r="I152" i="5"/>
  <c r="I358" i="5"/>
  <c r="I648" i="5"/>
  <c r="H671" i="5"/>
  <c r="I590" i="5"/>
  <c r="I536" i="5"/>
  <c r="H532" i="5"/>
  <c r="I510" i="5"/>
  <c r="H441" i="5"/>
  <c r="I411" i="5"/>
  <c r="H445" i="5"/>
  <c r="I400" i="5"/>
  <c r="I292" i="5"/>
  <c r="I284" i="5"/>
  <c r="H404" i="5"/>
  <c r="H299" i="5"/>
  <c r="I252" i="5"/>
  <c r="H317" i="5"/>
  <c r="I305" i="5"/>
  <c r="H148" i="5"/>
  <c r="I86" i="5"/>
  <c r="I97" i="5"/>
  <c r="I42" i="5"/>
  <c r="I109" i="5"/>
  <c r="I33" i="5"/>
  <c r="H713" i="5"/>
  <c r="I713" i="5"/>
  <c r="H691" i="5"/>
  <c r="H635" i="5"/>
  <c r="H628" i="5"/>
  <c r="I597" i="5"/>
  <c r="I485" i="5"/>
  <c r="H485" i="5"/>
  <c r="H413" i="5"/>
  <c r="I413" i="5"/>
  <c r="I350" i="5"/>
  <c r="H302" i="5"/>
  <c r="I302" i="5"/>
  <c r="H640" i="5"/>
  <c r="H588" i="5"/>
  <c r="H529" i="5"/>
  <c r="I439" i="5"/>
  <c r="I332" i="5"/>
  <c r="H569" i="5"/>
  <c r="I374" i="5"/>
  <c r="H220" i="5"/>
  <c r="I220" i="5"/>
  <c r="H200" i="5"/>
  <c r="I200" i="5"/>
  <c r="H164" i="5"/>
  <c r="H137" i="5"/>
  <c r="I120" i="5"/>
  <c r="H188" i="5"/>
  <c r="I188" i="5"/>
  <c r="H409" i="5"/>
  <c r="I409" i="5"/>
  <c r="I392" i="5"/>
  <c r="H321" i="5"/>
  <c r="H294" i="5"/>
  <c r="I294" i="5"/>
  <c r="H212" i="5"/>
  <c r="I212" i="5"/>
  <c r="H116" i="5"/>
  <c r="H105" i="5"/>
  <c r="H96" i="5"/>
  <c r="I96" i="5"/>
  <c r="H82" i="5"/>
  <c r="H306" i="5"/>
  <c r="I306" i="5"/>
  <c r="H417" i="5"/>
  <c r="I417" i="5"/>
  <c r="I632" i="5"/>
  <c r="H710" i="5"/>
  <c r="H624" i="5"/>
  <c r="I532" i="5"/>
  <c r="I541" i="5"/>
  <c r="I470" i="5"/>
  <c r="H509" i="5"/>
  <c r="I509" i="5"/>
  <c r="H372" i="5"/>
  <c r="H324" i="5"/>
  <c r="I334" i="5"/>
  <c r="I299" i="5"/>
  <c r="I404" i="5"/>
  <c r="I391" i="5"/>
  <c r="I326" i="5"/>
  <c r="I317" i="5"/>
  <c r="H341" i="5"/>
  <c r="H213" i="5"/>
  <c r="H181" i="5"/>
  <c r="H152" i="5"/>
  <c r="H35" i="5"/>
  <c r="I45" i="5"/>
  <c r="H33" i="5"/>
  <c r="I675" i="5"/>
  <c r="H675" i="5"/>
  <c r="H631" i="5"/>
  <c r="H548" i="5"/>
  <c r="I548" i="5"/>
  <c r="H465" i="5"/>
  <c r="H424" i="5"/>
  <c r="I641" i="5"/>
  <c r="H560" i="5"/>
  <c r="I560" i="5"/>
  <c r="H489" i="5"/>
  <c r="I388" i="5"/>
  <c r="I344" i="5"/>
  <c r="I320" i="5"/>
  <c r="H310" i="5"/>
  <c r="I310" i="5"/>
  <c r="H180" i="5"/>
  <c r="I180" i="5"/>
  <c r="H153" i="5"/>
  <c r="I136" i="5"/>
  <c r="I360" i="5"/>
  <c r="H286" i="5"/>
  <c r="I286" i="5"/>
  <c r="I608" i="5"/>
  <c r="H193" i="5"/>
  <c r="I104" i="5"/>
  <c r="H584" i="5"/>
  <c r="H561" i="5"/>
  <c r="I501" i="5"/>
  <c r="H501" i="5"/>
  <c r="I376" i="5"/>
  <c r="H274" i="5"/>
  <c r="I274" i="5"/>
  <c r="H248" i="5"/>
  <c r="H78" i="5"/>
  <c r="I554" i="5"/>
  <c r="H554" i="5"/>
  <c r="I571" i="5"/>
  <c r="H571" i="5"/>
  <c r="H531" i="5"/>
  <c r="I531" i="5"/>
  <c r="I526" i="5"/>
  <c r="H526" i="5"/>
  <c r="I589" i="5"/>
  <c r="H589" i="5"/>
  <c r="I575" i="5"/>
  <c r="H575" i="5"/>
  <c r="I567" i="5"/>
  <c r="H567" i="5"/>
  <c r="I559" i="5"/>
  <c r="H559" i="5"/>
  <c r="I551" i="5"/>
  <c r="H551" i="5"/>
  <c r="I543" i="5"/>
  <c r="H543" i="5"/>
  <c r="I534" i="5"/>
  <c r="H534" i="5"/>
  <c r="I491" i="5"/>
  <c r="H491" i="5"/>
  <c r="I487" i="5"/>
  <c r="H487" i="5"/>
  <c r="I446" i="5"/>
  <c r="H446" i="5"/>
  <c r="I430" i="5"/>
  <c r="H430" i="5"/>
  <c r="I442" i="5"/>
  <c r="H442" i="5"/>
  <c r="I414" i="5"/>
  <c r="H414" i="5"/>
  <c r="I406" i="5"/>
  <c r="H406" i="5"/>
  <c r="I422" i="5"/>
  <c r="H422" i="5"/>
  <c r="I339" i="5"/>
  <c r="H339" i="5"/>
  <c r="I385" i="5"/>
  <c r="H385" i="5"/>
  <c r="I369" i="5"/>
  <c r="H369" i="5"/>
  <c r="I353" i="5"/>
  <c r="H353" i="5"/>
  <c r="I277" i="5"/>
  <c r="H277" i="5"/>
  <c r="I265" i="5"/>
  <c r="H265" i="5"/>
  <c r="I223" i="5"/>
  <c r="H223" i="5"/>
  <c r="I261" i="5"/>
  <c r="H261" i="5"/>
  <c r="I210" i="5"/>
  <c r="H210" i="5"/>
  <c r="I202" i="5"/>
  <c r="H202" i="5"/>
  <c r="I194" i="5"/>
  <c r="H194" i="5"/>
  <c r="I186" i="5"/>
  <c r="H186" i="5"/>
  <c r="I178" i="5"/>
  <c r="H178" i="5"/>
  <c r="I170" i="5"/>
  <c r="H170" i="5"/>
  <c r="I257" i="5"/>
  <c r="H257" i="5"/>
  <c r="H242" i="5"/>
  <c r="I242" i="5"/>
  <c r="I126" i="5"/>
  <c r="H126" i="5"/>
  <c r="H123" i="5"/>
  <c r="I123" i="5"/>
  <c r="I130" i="5"/>
  <c r="H130" i="5"/>
  <c r="I203" i="5"/>
  <c r="H203" i="5"/>
  <c r="I171" i="5"/>
  <c r="H171" i="5"/>
  <c r="I90" i="5"/>
  <c r="H90" i="5"/>
  <c r="I76" i="5"/>
  <c r="H76" i="5"/>
  <c r="I60" i="5"/>
  <c r="H60" i="5"/>
  <c r="I44" i="5"/>
  <c r="H44" i="5"/>
  <c r="I28" i="5"/>
  <c r="H28" i="5"/>
  <c r="I12" i="5"/>
  <c r="H12" i="5"/>
  <c r="I8" i="5"/>
  <c r="H8" i="5"/>
  <c r="I191" i="5"/>
  <c r="H191" i="5"/>
  <c r="H163" i="5"/>
  <c r="I163" i="5"/>
  <c r="I87" i="5"/>
  <c r="H87" i="5"/>
  <c r="I162" i="5"/>
  <c r="H162" i="5"/>
  <c r="I146" i="5"/>
  <c r="H146" i="5"/>
  <c r="I717" i="5"/>
  <c r="H717" i="5"/>
  <c r="H688" i="5"/>
  <c r="I688" i="5"/>
  <c r="I683" i="5"/>
  <c r="H683" i="5"/>
  <c r="I570" i="5"/>
  <c r="H570" i="5"/>
  <c r="I715" i="5"/>
  <c r="H715" i="5"/>
  <c r="H697" i="5"/>
  <c r="I697" i="5"/>
  <c r="I696" i="5"/>
  <c r="H696" i="5"/>
  <c r="I677" i="5"/>
  <c r="H677" i="5"/>
  <c r="H674" i="5"/>
  <c r="I674" i="5"/>
  <c r="I647" i="5"/>
  <c r="H647" i="5"/>
  <c r="I687" i="5"/>
  <c r="H687" i="5"/>
  <c r="I673" i="5"/>
  <c r="H673" i="5"/>
  <c r="I619" i="5"/>
  <c r="H619" i="5"/>
  <c r="H666" i="5"/>
  <c r="I666" i="5"/>
  <c r="I649" i="5"/>
  <c r="H649" i="5"/>
  <c r="H600" i="5"/>
  <c r="I600" i="5"/>
  <c r="I593" i="5"/>
  <c r="H593" i="5"/>
  <c r="I547" i="5"/>
  <c r="H547" i="5"/>
  <c r="H535" i="5"/>
  <c r="I535" i="5"/>
  <c r="I522" i="5"/>
  <c r="H522" i="5"/>
  <c r="I499" i="5"/>
  <c r="H499" i="5"/>
  <c r="H496" i="5"/>
  <c r="I496" i="5"/>
  <c r="I511" i="5"/>
  <c r="H511" i="5"/>
  <c r="H508" i="5"/>
  <c r="I508" i="5"/>
  <c r="H504" i="5"/>
  <c r="I504" i="5"/>
  <c r="H500" i="5"/>
  <c r="I500" i="5"/>
  <c r="I389" i="5"/>
  <c r="H389" i="5"/>
  <c r="I373" i="5"/>
  <c r="H373" i="5"/>
  <c r="I357" i="5"/>
  <c r="H357" i="5"/>
  <c r="I269" i="5"/>
  <c r="H269" i="5"/>
  <c r="H254" i="5"/>
  <c r="I254" i="5"/>
  <c r="H250" i="5"/>
  <c r="I250" i="5"/>
  <c r="H234" i="5"/>
  <c r="I234" i="5"/>
  <c r="I211" i="5"/>
  <c r="H211" i="5"/>
  <c r="I249" i="5"/>
  <c r="H249" i="5"/>
  <c r="H246" i="5"/>
  <c r="I246" i="5"/>
  <c r="I222" i="5"/>
  <c r="H222" i="5"/>
  <c r="I285" i="5"/>
  <c r="H285" i="5"/>
  <c r="I245" i="5"/>
  <c r="H245" i="5"/>
  <c r="I199" i="5"/>
  <c r="H199" i="5"/>
  <c r="I167" i="5"/>
  <c r="H167" i="5"/>
  <c r="I110" i="5"/>
  <c r="H110" i="5"/>
  <c r="H107" i="5"/>
  <c r="I107" i="5"/>
  <c r="I122" i="5"/>
  <c r="H122" i="5"/>
  <c r="H119" i="5"/>
  <c r="I119" i="5"/>
  <c r="I72" i="5"/>
  <c r="H72" i="5"/>
  <c r="I56" i="5"/>
  <c r="H56" i="5"/>
  <c r="I40" i="5"/>
  <c r="H40" i="5"/>
  <c r="I24" i="5"/>
  <c r="H24" i="5"/>
  <c r="I4" i="5"/>
  <c r="H4" i="5"/>
  <c r="I175" i="5"/>
  <c r="H175" i="5"/>
  <c r="I195" i="5"/>
  <c r="H195" i="5"/>
  <c r="H693" i="5"/>
  <c r="I693" i="5"/>
  <c r="H680" i="5"/>
  <c r="I680" i="5"/>
  <c r="I669" i="5"/>
  <c r="H669" i="5"/>
  <c r="I623" i="5"/>
  <c r="H623" i="5"/>
  <c r="I603" i="5"/>
  <c r="H603" i="5"/>
  <c r="I578" i="5"/>
  <c r="H578" i="5"/>
  <c r="I546" i="5"/>
  <c r="H546" i="5"/>
  <c r="I585" i="5"/>
  <c r="H585" i="5"/>
  <c r="I720" i="5"/>
  <c r="H720" i="5"/>
  <c r="I716" i="5"/>
  <c r="H716" i="5"/>
  <c r="I700" i="5"/>
  <c r="H700" i="5"/>
  <c r="I661" i="5"/>
  <c r="H661" i="5"/>
  <c r="H658" i="5"/>
  <c r="I658" i="5"/>
  <c r="I651" i="5"/>
  <c r="H651" i="5"/>
  <c r="H701" i="5"/>
  <c r="I701" i="5"/>
  <c r="I719" i="5"/>
  <c r="H719" i="5"/>
  <c r="I704" i="5"/>
  <c r="H704" i="5"/>
  <c r="H684" i="5"/>
  <c r="I684" i="5"/>
  <c r="H637" i="5"/>
  <c r="I637" i="5"/>
  <c r="H633" i="5"/>
  <c r="I633" i="5"/>
  <c r="H629" i="5"/>
  <c r="I629" i="5"/>
  <c r="I611" i="5"/>
  <c r="H611" i="5"/>
  <c r="I574" i="5"/>
  <c r="H574" i="5"/>
  <c r="I566" i="5"/>
  <c r="H566" i="5"/>
  <c r="I558" i="5"/>
  <c r="H558" i="5"/>
  <c r="I550" i="5"/>
  <c r="H550" i="5"/>
  <c r="I542" i="5"/>
  <c r="H542" i="5"/>
  <c r="I555" i="5"/>
  <c r="H555" i="5"/>
  <c r="I518" i="5"/>
  <c r="H518" i="5"/>
  <c r="I483" i="5"/>
  <c r="H483" i="5"/>
  <c r="H480" i="5"/>
  <c r="I480" i="5"/>
  <c r="I472" i="5"/>
  <c r="H472" i="5"/>
  <c r="I468" i="5"/>
  <c r="H468" i="5"/>
  <c r="I464" i="5"/>
  <c r="H464" i="5"/>
  <c r="I460" i="5"/>
  <c r="H460" i="5"/>
  <c r="I456" i="5"/>
  <c r="H456" i="5"/>
  <c r="I495" i="5"/>
  <c r="H495" i="5"/>
  <c r="H492" i="5"/>
  <c r="I492" i="5"/>
  <c r="I479" i="5"/>
  <c r="H479" i="5"/>
  <c r="H476" i="5"/>
  <c r="I476" i="5"/>
  <c r="I507" i="5"/>
  <c r="H507" i="5"/>
  <c r="I475" i="5"/>
  <c r="H475" i="5"/>
  <c r="I503" i="5"/>
  <c r="H503" i="5"/>
  <c r="I434" i="5"/>
  <c r="H434" i="5"/>
  <c r="I323" i="5"/>
  <c r="H323" i="5"/>
  <c r="I393" i="5"/>
  <c r="H393" i="5"/>
  <c r="I377" i="5"/>
  <c r="H377" i="5"/>
  <c r="I361" i="5"/>
  <c r="H361" i="5"/>
  <c r="I345" i="5"/>
  <c r="H345" i="5"/>
  <c r="I281" i="5"/>
  <c r="H281" i="5"/>
  <c r="H238" i="5"/>
  <c r="I238" i="5"/>
  <c r="I253" i="5"/>
  <c r="H253" i="5"/>
  <c r="I237" i="5"/>
  <c r="H237" i="5"/>
  <c r="I232" i="5"/>
  <c r="H232" i="5"/>
  <c r="I215" i="5"/>
  <c r="H215" i="5"/>
  <c r="I273" i="5"/>
  <c r="H273" i="5"/>
  <c r="H266" i="5"/>
  <c r="I266" i="5"/>
  <c r="I218" i="5"/>
  <c r="H218" i="5"/>
  <c r="I206" i="5"/>
  <c r="H206" i="5"/>
  <c r="I198" i="5"/>
  <c r="H198" i="5"/>
  <c r="I190" i="5"/>
  <c r="H190" i="5"/>
  <c r="I182" i="5"/>
  <c r="H182" i="5"/>
  <c r="I174" i="5"/>
  <c r="H174" i="5"/>
  <c r="I166" i="5"/>
  <c r="H166" i="5"/>
  <c r="I158" i="5"/>
  <c r="H158" i="5"/>
  <c r="H155" i="5"/>
  <c r="I155" i="5"/>
  <c r="I94" i="5"/>
  <c r="H94" i="5"/>
  <c r="H91" i="5"/>
  <c r="I91" i="5"/>
  <c r="I187" i="5"/>
  <c r="H187" i="5"/>
  <c r="I138" i="5"/>
  <c r="H138" i="5"/>
  <c r="H135" i="5"/>
  <c r="I135" i="5"/>
  <c r="I68" i="5"/>
  <c r="H68" i="5"/>
  <c r="I52" i="5"/>
  <c r="H52" i="5"/>
  <c r="I36" i="5"/>
  <c r="H36" i="5"/>
  <c r="I20" i="5"/>
  <c r="H20" i="5"/>
  <c r="H147" i="5"/>
  <c r="I147" i="5"/>
  <c r="I118" i="5"/>
  <c r="H118" i="5"/>
  <c r="H115" i="5"/>
  <c r="I115" i="5"/>
  <c r="H111" i="5"/>
  <c r="I111" i="5"/>
  <c r="H95" i="5"/>
  <c r="I95" i="5"/>
  <c r="I179" i="5"/>
  <c r="H179" i="5"/>
  <c r="I114" i="5"/>
  <c r="H114" i="5"/>
  <c r="I718" i="5"/>
  <c r="H718" i="5"/>
  <c r="I692" i="5"/>
  <c r="H692" i="5"/>
  <c r="H670" i="5"/>
  <c r="I670" i="5"/>
  <c r="I712" i="5"/>
  <c r="H712" i="5"/>
  <c r="I643" i="5"/>
  <c r="H643" i="5"/>
  <c r="I615" i="5"/>
  <c r="H615" i="5"/>
  <c r="I562" i="5"/>
  <c r="H562" i="5"/>
  <c r="I538" i="5"/>
  <c r="H538" i="5"/>
  <c r="I539" i="5"/>
  <c r="H539" i="5"/>
  <c r="I711" i="5"/>
  <c r="H711" i="5"/>
  <c r="I655" i="5"/>
  <c r="H655" i="5"/>
  <c r="I657" i="5"/>
  <c r="H657" i="5"/>
  <c r="I708" i="5"/>
  <c r="H708" i="5"/>
  <c r="I679" i="5"/>
  <c r="H679" i="5"/>
  <c r="H644" i="5"/>
  <c r="I644" i="5"/>
  <c r="I665" i="5"/>
  <c r="H665" i="5"/>
  <c r="H662" i="5"/>
  <c r="I662" i="5"/>
  <c r="I627" i="5"/>
  <c r="H627" i="5"/>
  <c r="H678" i="5"/>
  <c r="I678" i="5"/>
  <c r="I653" i="5"/>
  <c r="H653" i="5"/>
  <c r="H596" i="5"/>
  <c r="I596" i="5"/>
  <c r="I599" i="5"/>
  <c r="H599" i="5"/>
  <c r="I563" i="5"/>
  <c r="H563" i="5"/>
  <c r="I581" i="5"/>
  <c r="H581" i="5"/>
  <c r="I530" i="5"/>
  <c r="H530" i="5"/>
  <c r="I607" i="5"/>
  <c r="H607" i="5"/>
  <c r="H488" i="5"/>
  <c r="I488" i="5"/>
  <c r="H484" i="5"/>
  <c r="I484" i="5"/>
  <c r="I450" i="5"/>
  <c r="H450" i="5"/>
  <c r="I428" i="5"/>
  <c r="H428" i="5"/>
  <c r="I438" i="5"/>
  <c r="H438" i="5"/>
  <c r="I418" i="5"/>
  <c r="H418" i="5"/>
  <c r="I410" i="5"/>
  <c r="H410" i="5"/>
  <c r="I402" i="5"/>
  <c r="H402" i="5"/>
  <c r="I329" i="5"/>
  <c r="H329" i="5"/>
  <c r="I397" i="5"/>
  <c r="H397" i="5"/>
  <c r="I381" i="5"/>
  <c r="H381" i="5"/>
  <c r="I365" i="5"/>
  <c r="H365" i="5"/>
  <c r="I349" i="5"/>
  <c r="H349" i="5"/>
  <c r="H258" i="5"/>
  <c r="I258" i="5"/>
  <c r="I241" i="5"/>
  <c r="H241" i="5"/>
  <c r="I228" i="5"/>
  <c r="H228" i="5"/>
  <c r="I219" i="5"/>
  <c r="H219" i="5"/>
  <c r="I289" i="5"/>
  <c r="H289" i="5"/>
  <c r="I233" i="5"/>
  <c r="H233" i="5"/>
  <c r="I214" i="5"/>
  <c r="H214" i="5"/>
  <c r="H262" i="5"/>
  <c r="I262" i="5"/>
  <c r="I183" i="5"/>
  <c r="H183" i="5"/>
  <c r="I142" i="5"/>
  <c r="H142" i="5"/>
  <c r="H139" i="5"/>
  <c r="I139" i="5"/>
  <c r="H143" i="5"/>
  <c r="I143" i="5"/>
  <c r="H127" i="5"/>
  <c r="I127" i="5"/>
  <c r="I154" i="5"/>
  <c r="H154" i="5"/>
  <c r="H151" i="5"/>
  <c r="I151" i="5"/>
  <c r="I106" i="5"/>
  <c r="H106" i="5"/>
  <c r="H103" i="5"/>
  <c r="I103" i="5"/>
  <c r="I64" i="5"/>
  <c r="H64" i="5"/>
  <c r="I48" i="5"/>
  <c r="H48" i="5"/>
  <c r="I32" i="5"/>
  <c r="H32" i="5"/>
  <c r="I16" i="5"/>
  <c r="H16" i="5"/>
  <c r="I207" i="5"/>
  <c r="H207" i="5"/>
  <c r="I150" i="5"/>
  <c r="H150" i="5"/>
  <c r="I134" i="5"/>
  <c r="H134" i="5"/>
  <c r="H131" i="5"/>
  <c r="I131" i="5"/>
  <c r="I102" i="5"/>
  <c r="H102" i="5"/>
  <c r="H99" i="5"/>
  <c r="I99" i="5"/>
  <c r="H83" i="5"/>
  <c r="I83" i="5"/>
  <c r="H79" i="5"/>
  <c r="I79" i="5"/>
  <c r="I98" i="5"/>
  <c r="H98" i="5"/>
  <c r="H159" i="5"/>
  <c r="I159" i="5"/>
  <c r="J226" i="4"/>
  <c r="J225" i="4"/>
  <c r="J353" i="4"/>
  <c r="J357" i="4"/>
  <c r="C384" i="4"/>
  <c r="B384" i="4" s="1"/>
  <c r="C385" i="4"/>
  <c r="C386" i="4"/>
  <c r="C387" i="4"/>
  <c r="C389" i="4"/>
  <c r="E389" i="4" s="1"/>
  <c r="C391" i="4"/>
  <c r="C393" i="4"/>
  <c r="C394" i="4"/>
  <c r="E394" i="4" s="1"/>
  <c r="C395" i="4"/>
  <c r="C396" i="4"/>
  <c r="C397" i="4"/>
  <c r="E397" i="4" s="1"/>
  <c r="J397" i="4" s="1"/>
  <c r="C399" i="4"/>
  <c r="C401" i="4"/>
  <c r="C402" i="4"/>
  <c r="C403" i="4"/>
  <c r="C404" i="4"/>
  <c r="C406" i="4"/>
  <c r="C409" i="4"/>
  <c r="C410" i="4"/>
  <c r="C411" i="4"/>
  <c r="C412" i="4"/>
  <c r="D412" i="4" s="1"/>
  <c r="C413" i="4"/>
  <c r="C414" i="4"/>
  <c r="C415" i="4"/>
  <c r="C417" i="4"/>
  <c r="C418" i="4"/>
  <c r="C419" i="4"/>
  <c r="C420" i="4"/>
  <c r="E420" i="4" s="1"/>
  <c r="C421" i="4"/>
  <c r="C422" i="4"/>
  <c r="E422" i="4" s="1"/>
  <c r="C423" i="4"/>
  <c r="C426" i="4"/>
  <c r="C427" i="4"/>
  <c r="C428" i="4"/>
  <c r="C429" i="4"/>
  <c r="C430" i="4"/>
  <c r="C431" i="4"/>
  <c r="C434" i="4"/>
  <c r="C435" i="4"/>
  <c r="D435" i="4" s="1"/>
  <c r="C436" i="4"/>
  <c r="C437" i="4"/>
  <c r="C438" i="4"/>
  <c r="C439" i="4"/>
  <c r="C440" i="4"/>
  <c r="C441" i="4"/>
  <c r="C442" i="4"/>
  <c r="C443" i="4"/>
  <c r="C444" i="4"/>
  <c r="C446" i="4"/>
  <c r="C448" i="4"/>
  <c r="C449" i="4"/>
  <c r="D449" i="4" s="1"/>
  <c r="C450" i="4"/>
  <c r="C451" i="4"/>
  <c r="D451" i="4" s="1"/>
  <c r="C452" i="4"/>
  <c r="D452" i="4" s="1"/>
  <c r="C453" i="4"/>
  <c r="C454" i="4"/>
  <c r="D454" i="4" s="1"/>
  <c r="C455" i="4"/>
  <c r="D455" i="4" s="1"/>
  <c r="C456" i="4"/>
  <c r="D456" i="4" s="1"/>
  <c r="C457" i="4"/>
  <c r="D457" i="4" s="1"/>
  <c r="C458" i="4"/>
  <c r="D458" i="4" s="1"/>
  <c r="C459" i="4"/>
  <c r="D459" i="4" s="1"/>
  <c r="C461" i="4"/>
  <c r="D461" i="4" s="1"/>
  <c r="C462" i="4"/>
  <c r="D462" i="4" s="1"/>
  <c r="C463" i="4"/>
  <c r="D463" i="4" s="1"/>
  <c r="C464" i="4"/>
  <c r="D464" i="4" s="1"/>
  <c r="C465" i="4"/>
  <c r="D465" i="4" s="1"/>
  <c r="C466" i="4"/>
  <c r="D466" i="4" s="1"/>
  <c r="C467" i="4"/>
  <c r="C468" i="4"/>
  <c r="D468" i="4" s="1"/>
  <c r="C469" i="4"/>
  <c r="D469" i="4" s="1"/>
  <c r="C471" i="4"/>
  <c r="D471" i="4" s="1"/>
  <c r="C472" i="4"/>
  <c r="D472" i="4" s="1"/>
  <c r="C474" i="4"/>
  <c r="C475" i="4"/>
  <c r="C476" i="4"/>
  <c r="D476" i="4" s="1"/>
  <c r="C477" i="4"/>
  <c r="C478" i="4"/>
  <c r="D478" i="4" s="1"/>
  <c r="C479" i="4"/>
  <c r="D479" i="4" s="1"/>
  <c r="C481" i="4"/>
  <c r="D481" i="4" s="1"/>
  <c r="C483" i="4"/>
  <c r="D483" i="4" s="1"/>
  <c r="C484" i="4"/>
  <c r="D484" i="4" s="1"/>
  <c r="C485" i="4"/>
  <c r="D485" i="4" s="1"/>
  <c r="C490" i="4"/>
  <c r="D490" i="4" s="1"/>
  <c r="C491" i="4"/>
  <c r="D491" i="4" s="1"/>
  <c r="C492" i="4"/>
  <c r="C493" i="4"/>
  <c r="C495" i="4"/>
  <c r="D495" i="4" s="1"/>
  <c r="C496" i="4"/>
  <c r="D496" i="4" s="1"/>
  <c r="C498" i="4"/>
  <c r="D498" i="4" s="1"/>
  <c r="C500" i="4"/>
  <c r="C501" i="4"/>
  <c r="D501" i="4" s="1"/>
  <c r="C503" i="4"/>
  <c r="C504" i="4"/>
  <c r="C505" i="4"/>
  <c r="D505" i="4" s="1"/>
  <c r="C506" i="4"/>
  <c r="D506" i="4" s="1"/>
  <c r="C507" i="4"/>
  <c r="D507" i="4" s="1"/>
  <c r="C508" i="4"/>
  <c r="D508" i="4" s="1"/>
  <c r="C510" i="4"/>
  <c r="D510" i="4" s="1"/>
  <c r="C513" i="4"/>
  <c r="D513" i="4" s="1"/>
  <c r="C515" i="4"/>
  <c r="D515" i="4" s="1"/>
  <c r="C516" i="4"/>
  <c r="D516" i="4" s="1"/>
  <c r="C517" i="4"/>
  <c r="D517" i="4" s="1"/>
  <c r="C518" i="4"/>
  <c r="D518" i="4" s="1"/>
  <c r="C520" i="4"/>
  <c r="D520" i="4" s="1"/>
  <c r="C521" i="4"/>
  <c r="D521" i="4" s="1"/>
  <c r="C523" i="4"/>
  <c r="C524" i="4"/>
  <c r="D524" i="4" s="1"/>
  <c r="C526" i="4"/>
  <c r="D526" i="4" s="1"/>
  <c r="C527" i="4"/>
  <c r="C528" i="4"/>
  <c r="D528" i="4" s="1"/>
  <c r="C529" i="4"/>
  <c r="D529" i="4" s="1"/>
  <c r="C533" i="4"/>
  <c r="D533" i="4" s="1"/>
  <c r="C534" i="4"/>
  <c r="D534" i="4" s="1"/>
  <c r="C536" i="4"/>
  <c r="C537" i="4"/>
  <c r="D537" i="4" s="1"/>
  <c r="C538" i="4"/>
  <c r="D538" i="4" s="1"/>
  <c r="C539" i="4"/>
  <c r="D539" i="4" s="1"/>
  <c r="C540" i="4"/>
  <c r="D540" i="4" s="1"/>
  <c r="C542" i="4"/>
  <c r="D542" i="4" s="1"/>
  <c r="C543" i="4"/>
  <c r="C546" i="4"/>
  <c r="C547" i="4"/>
  <c r="C548" i="4"/>
  <c r="D548" i="4" s="1"/>
  <c r="C552" i="4"/>
  <c r="D552" i="4" s="1"/>
  <c r="C555" i="4"/>
  <c r="D555" i="4" s="1"/>
  <c r="C558" i="4"/>
  <c r="C559" i="4"/>
  <c r="D559" i="4" s="1"/>
  <c r="C563" i="4"/>
  <c r="D563" i="4" s="1"/>
  <c r="C564" i="4"/>
  <c r="C566" i="4"/>
  <c r="C567" i="4"/>
  <c r="C568" i="4"/>
  <c r="D568" i="4" s="1"/>
  <c r="C570" i="4"/>
  <c r="D570" i="4" s="1"/>
  <c r="C572" i="4"/>
  <c r="D572" i="4" s="1"/>
  <c r="C574" i="4"/>
  <c r="C576" i="4"/>
  <c r="D576" i="4" s="1"/>
  <c r="C577" i="4"/>
  <c r="C580" i="4"/>
  <c r="D580" i="4" s="1"/>
  <c r="C585" i="4"/>
  <c r="D585" i="4" s="1"/>
  <c r="C586" i="4"/>
  <c r="D586" i="4" s="1"/>
  <c r="C587" i="4"/>
  <c r="D587" i="4" s="1"/>
  <c r="C588" i="4"/>
  <c r="D588" i="4" s="1"/>
  <c r="C589" i="4"/>
  <c r="D589" i="4" s="1"/>
  <c r="C591" i="4"/>
  <c r="C592" i="4"/>
  <c r="D592" i="4" s="1"/>
  <c r="C593" i="4"/>
  <c r="C594" i="4"/>
  <c r="D594" i="4" s="1"/>
  <c r="C596" i="4"/>
  <c r="C597" i="4"/>
  <c r="D597" i="4" s="1"/>
  <c r="C600" i="4"/>
  <c r="D600" i="4" s="1"/>
  <c r="C601" i="4"/>
  <c r="C602" i="4"/>
  <c r="D602" i="4" s="1"/>
  <c r="C604" i="4"/>
  <c r="D604" i="4" s="1"/>
  <c r="C605" i="4"/>
  <c r="D605" i="4" s="1"/>
  <c r="C606" i="4"/>
  <c r="D606" i="4" s="1"/>
  <c r="C607" i="4"/>
  <c r="D607" i="4" s="1"/>
  <c r="C609" i="4"/>
  <c r="C611" i="4"/>
  <c r="D611" i="4" s="1"/>
  <c r="C613" i="4"/>
  <c r="D613" i="4" s="1"/>
  <c r="C615" i="4"/>
  <c r="D615" i="4" s="1"/>
  <c r="C617" i="4"/>
  <c r="D617" i="4" s="1"/>
  <c r="C618" i="4"/>
  <c r="C619" i="4"/>
  <c r="C620" i="4"/>
  <c r="D620" i="4" s="1"/>
  <c r="C621" i="4"/>
  <c r="D621" i="4" s="1"/>
  <c r="C622" i="4"/>
  <c r="C623" i="4"/>
  <c r="C627" i="4"/>
  <c r="C628" i="4"/>
  <c r="D628" i="4" s="1"/>
  <c r="C629" i="4"/>
  <c r="D629" i="4" s="1"/>
  <c r="C631" i="4"/>
  <c r="D631" i="4" s="1"/>
  <c r="C633" i="4"/>
  <c r="C634" i="4"/>
  <c r="D634" i="4" s="1"/>
  <c r="C635" i="4"/>
  <c r="D635" i="4" s="1"/>
  <c r="C638" i="4"/>
  <c r="D638" i="4" s="1"/>
  <c r="C639" i="4"/>
  <c r="C640" i="4"/>
  <c r="D640" i="4" s="1"/>
  <c r="C641" i="4"/>
  <c r="C642" i="4"/>
  <c r="D642" i="4" s="1"/>
  <c r="C644" i="4"/>
  <c r="D644" i="4" s="1"/>
  <c r="C645" i="4"/>
  <c r="D645" i="4" s="1"/>
  <c r="C647" i="4"/>
  <c r="C648" i="4"/>
  <c r="D648" i="4" s="1"/>
  <c r="C649" i="4"/>
  <c r="C650" i="4"/>
  <c r="C652" i="4"/>
  <c r="D652" i="4" s="1"/>
  <c r="C653" i="4"/>
  <c r="D653" i="4" s="1"/>
  <c r="C654" i="4"/>
  <c r="D654" i="4" s="1"/>
  <c r="C656" i="4"/>
  <c r="D656" i="4" s="1"/>
  <c r="C657" i="4"/>
  <c r="D657" i="4" s="1"/>
  <c r="C658" i="4"/>
  <c r="C660" i="4"/>
  <c r="D660" i="4" s="1"/>
  <c r="C661" i="4"/>
  <c r="D661" i="4" s="1"/>
  <c r="C662" i="4"/>
  <c r="D662" i="4" s="1"/>
  <c r="C664" i="4"/>
  <c r="C665" i="4"/>
  <c r="D665" i="4" s="1"/>
  <c r="C668" i="4"/>
  <c r="D668" i="4" s="1"/>
  <c r="C669" i="4"/>
  <c r="C670" i="4"/>
  <c r="D670" i="4" s="1"/>
  <c r="C672" i="4"/>
  <c r="D672" i="4" s="1"/>
  <c r="C674" i="4"/>
  <c r="C675" i="4"/>
  <c r="D675" i="4" s="1"/>
  <c r="C680" i="4"/>
  <c r="D680" i="4" s="1"/>
  <c r="C682" i="4"/>
  <c r="C689" i="4"/>
  <c r="D689" i="4" s="1"/>
  <c r="C690" i="4"/>
  <c r="C691" i="4"/>
  <c r="D691" i="4" s="1"/>
  <c r="C692" i="4"/>
  <c r="D692" i="4" s="1"/>
  <c r="C693" i="4"/>
  <c r="D693" i="4" s="1"/>
  <c r="C696" i="4"/>
  <c r="D696" i="4" s="1"/>
  <c r="C697" i="4"/>
  <c r="D697" i="4" s="1"/>
  <c r="C698" i="4"/>
  <c r="C699" i="4"/>
  <c r="D699" i="4" s="1"/>
  <c r="C701" i="4"/>
  <c r="C702" i="4"/>
  <c r="D702" i="4" s="1"/>
  <c r="C709" i="4"/>
  <c r="D709" i="4" s="1"/>
  <c r="C710" i="4"/>
  <c r="C712" i="4"/>
  <c r="D712" i="4" s="1"/>
  <c r="C713" i="4"/>
  <c r="D713" i="4" s="1"/>
  <c r="C714" i="4"/>
  <c r="D714" i="4" s="1"/>
  <c r="C715" i="4"/>
  <c r="C718" i="4"/>
  <c r="D718" i="4" s="1"/>
  <c r="C720" i="4"/>
  <c r="C722" i="4"/>
  <c r="D722" i="4" s="1"/>
  <c r="C725" i="4"/>
  <c r="D725" i="4" s="1"/>
  <c r="C726" i="4"/>
  <c r="D726" i="4" s="1"/>
  <c r="C728" i="4"/>
  <c r="C730" i="4"/>
  <c r="D730" i="4" s="1"/>
  <c r="C732" i="4"/>
  <c r="D732" i="4" s="1"/>
  <c r="C734" i="4"/>
  <c r="D734" i="4" s="1"/>
  <c r="C735" i="4"/>
  <c r="C738" i="4"/>
  <c r="D738" i="4" s="1"/>
  <c r="C739" i="4"/>
  <c r="C740" i="4"/>
  <c r="D740" i="4" s="1"/>
  <c r="C741" i="4"/>
  <c r="D741" i="4" s="1"/>
  <c r="C743" i="4"/>
  <c r="D743" i="4" s="1"/>
  <c r="C745" i="4"/>
  <c r="D745" i="4" s="1"/>
  <c r="C748" i="4"/>
  <c r="D748" i="4" s="1"/>
  <c r="C750" i="4"/>
  <c r="D750" i="4" s="1"/>
  <c r="C751" i="4"/>
  <c r="C752" i="4"/>
  <c r="D752" i="4" s="1"/>
  <c r="C754" i="4"/>
  <c r="D754" i="4" s="1"/>
  <c r="C755" i="4"/>
  <c r="D755" i="4" s="1"/>
  <c r="C756" i="4"/>
  <c r="D756" i="4" s="1"/>
  <c r="C757" i="4"/>
  <c r="D757" i="4" s="1"/>
  <c r="C758" i="4"/>
  <c r="C760" i="4"/>
  <c r="C761" i="4"/>
  <c r="D761" i="4" s="1"/>
  <c r="C764" i="4"/>
  <c r="C765" i="4"/>
  <c r="D765" i="4" s="1"/>
  <c r="C766" i="4"/>
  <c r="D766" i="4" s="1"/>
  <c r="C769" i="4"/>
  <c r="C770" i="4"/>
  <c r="D770" i="4" s="1"/>
  <c r="C771" i="4"/>
  <c r="C773" i="4"/>
  <c r="D773" i="4" s="1"/>
  <c r="C774" i="4"/>
  <c r="C776" i="4"/>
  <c r="D776" i="4" s="1"/>
  <c r="C778" i="4"/>
  <c r="D778" i="4" s="1"/>
  <c r="C779" i="4"/>
  <c r="D779" i="4" s="1"/>
  <c r="C781" i="4"/>
  <c r="D781" i="4" s="1"/>
  <c r="C783" i="4"/>
  <c r="D783" i="4" s="1"/>
  <c r="C784" i="4"/>
  <c r="C785" i="4"/>
  <c r="D785" i="4" s="1"/>
  <c r="C786" i="4"/>
  <c r="D786" i="4" s="1"/>
  <c r="C787" i="4"/>
  <c r="D787" i="4" s="1"/>
  <c r="C789" i="4"/>
  <c r="D789" i="4" s="1"/>
  <c r="C790" i="4"/>
  <c r="C791" i="4"/>
  <c r="D791" i="4" s="1"/>
  <c r="C792" i="4"/>
  <c r="D792" i="4" s="1"/>
  <c r="C793" i="4"/>
  <c r="C794" i="4"/>
  <c r="C795" i="4"/>
  <c r="C796" i="4"/>
  <c r="D796" i="4" s="1"/>
  <c r="C797" i="4"/>
  <c r="C798" i="4"/>
  <c r="D798" i="4" s="1"/>
  <c r="C800" i="4"/>
  <c r="C801" i="4"/>
  <c r="D801" i="4" s="1"/>
  <c r="C803" i="4"/>
  <c r="C804" i="4"/>
  <c r="C805" i="4"/>
  <c r="D805" i="4" s="1"/>
  <c r="C806" i="4"/>
  <c r="D806" i="4" s="1"/>
  <c r="C808" i="4"/>
  <c r="D808" i="4" s="1"/>
  <c r="C810" i="4"/>
  <c r="C812" i="4"/>
  <c r="C816" i="4"/>
  <c r="D816" i="4" s="1"/>
  <c r="C817" i="4"/>
  <c r="D817" i="4" s="1"/>
  <c r="C819" i="4"/>
  <c r="C820" i="4"/>
  <c r="D820" i="4" s="1"/>
  <c r="C821" i="4"/>
  <c r="D821" i="4" s="1"/>
  <c r="C822" i="4"/>
  <c r="D822" i="4" s="1"/>
  <c r="C823" i="4"/>
  <c r="D823" i="4" s="1"/>
  <c r="C824" i="4"/>
  <c r="C825" i="4"/>
  <c r="D825" i="4" s="1"/>
  <c r="C826" i="4"/>
  <c r="C830" i="4"/>
  <c r="D830" i="4" s="1"/>
  <c r="C831" i="4"/>
  <c r="D831" i="4" s="1"/>
  <c r="C833" i="4"/>
  <c r="C834" i="4"/>
  <c r="D834" i="4" s="1"/>
  <c r="C835" i="4"/>
  <c r="C839" i="4"/>
  <c r="D839" i="4" s="1"/>
  <c r="C841" i="4"/>
  <c r="C844" i="4"/>
  <c r="C845" i="4"/>
  <c r="C846" i="4"/>
  <c r="C847" i="4"/>
  <c r="C849" i="4"/>
  <c r="D849" i="4" s="1"/>
  <c r="C850" i="4"/>
  <c r="D850" i="4" s="1"/>
  <c r="C852" i="4"/>
  <c r="C854" i="4"/>
  <c r="D854" i="4" s="1"/>
  <c r="C856" i="4"/>
  <c r="D856" i="4" s="1"/>
  <c r="C857" i="4"/>
  <c r="C858" i="4"/>
  <c r="D858" i="4" s="1"/>
  <c r="C859" i="4"/>
  <c r="C860" i="4"/>
  <c r="C865" i="4"/>
  <c r="C866" i="4"/>
  <c r="D866" i="4" s="1"/>
  <c r="C867" i="4"/>
  <c r="C869" i="4"/>
  <c r="D869" i="4" s="1"/>
  <c r="C870" i="4"/>
  <c r="D870" i="4" s="1"/>
  <c r="C872" i="4"/>
  <c r="D872" i="4" s="1"/>
  <c r="C874" i="4"/>
  <c r="D874" i="4" s="1"/>
  <c r="C875" i="4"/>
  <c r="D875" i="4" s="1"/>
  <c r="C876" i="4"/>
  <c r="D876" i="4" s="1"/>
  <c r="C877" i="4"/>
  <c r="C878" i="4"/>
  <c r="D878" i="4" s="1"/>
  <c r="C880" i="4"/>
  <c r="D880" i="4" s="1"/>
  <c r="C882" i="4"/>
  <c r="D882" i="4" s="1"/>
  <c r="C886" i="4"/>
  <c r="D886" i="4" s="1"/>
  <c r="C887" i="4"/>
  <c r="C888" i="4"/>
  <c r="C889" i="4"/>
  <c r="C891" i="4"/>
  <c r="D891" i="4" s="1"/>
  <c r="C892" i="4"/>
  <c r="D892" i="4" s="1"/>
  <c r="C893" i="4"/>
  <c r="D893" i="4" s="1"/>
  <c r="C898" i="4"/>
  <c r="C899" i="4"/>
  <c r="D899" i="4" s="1"/>
  <c r="C900" i="4"/>
  <c r="D900" i="4" s="1"/>
  <c r="C903" i="4"/>
  <c r="D903" i="4" s="1"/>
  <c r="C904" i="4"/>
  <c r="C905" i="4"/>
  <c r="C906" i="4"/>
  <c r="D906" i="4" s="1"/>
  <c r="C907" i="4"/>
  <c r="C908" i="4"/>
  <c r="D908" i="4" s="1"/>
  <c r="C909" i="4"/>
  <c r="C910" i="4"/>
  <c r="D910" i="4" s="1"/>
  <c r="C911" i="4"/>
  <c r="D911" i="4" s="1"/>
  <c r="C913" i="4"/>
  <c r="C914" i="4"/>
  <c r="D914" i="4" s="1"/>
  <c r="C915" i="4"/>
  <c r="D915" i="4" s="1"/>
  <c r="C916" i="4"/>
  <c r="C917" i="4"/>
  <c r="D917" i="4" s="1"/>
  <c r="C918" i="4"/>
  <c r="D918" i="4" s="1"/>
  <c r="C922" i="4"/>
  <c r="D922" i="4" s="1"/>
  <c r="C923" i="4"/>
  <c r="C926" i="4"/>
  <c r="C927" i="4"/>
  <c r="D927" i="4" s="1"/>
  <c r="C928" i="4"/>
  <c r="C932" i="4"/>
  <c r="D932" i="4" s="1"/>
  <c r="C933" i="4"/>
  <c r="D933" i="4" s="1"/>
  <c r="C934" i="4"/>
  <c r="D934" i="4" s="1"/>
  <c r="C935" i="4"/>
  <c r="D935" i="4" s="1"/>
  <c r="C937" i="4"/>
  <c r="C938" i="4"/>
  <c r="D938" i="4" s="1"/>
  <c r="C940" i="4"/>
  <c r="D940" i="4" s="1"/>
  <c r="C942" i="4"/>
  <c r="D942" i="4" s="1"/>
  <c r="C943" i="4"/>
  <c r="C946" i="4"/>
  <c r="C947" i="4"/>
  <c r="D947" i="4" s="1"/>
  <c r="C948" i="4"/>
  <c r="C952" i="4"/>
  <c r="C954" i="4"/>
  <c r="C956" i="4"/>
  <c r="C958" i="4"/>
  <c r="D958" i="4" s="1"/>
  <c r="C959" i="4"/>
  <c r="C960" i="4"/>
  <c r="D964" i="4"/>
  <c r="D967" i="4"/>
  <c r="C519" i="4"/>
  <c r="D519" i="4" s="1"/>
  <c r="C433" i="4"/>
  <c r="C416" i="4"/>
  <c r="C425" i="4"/>
  <c r="C482" i="4"/>
  <c r="D482" i="4" s="1"/>
  <c r="C590" i="4"/>
  <c r="D590" i="4" s="1"/>
  <c r="C955" i="4"/>
  <c r="C489" i="4"/>
  <c r="D489" i="4" s="1"/>
  <c r="C486" i="4"/>
  <c r="D486" i="4" s="1"/>
  <c r="C963" i="4"/>
  <c r="C883" i="4"/>
  <c r="D883" i="4" s="1"/>
  <c r="C836" i="4"/>
  <c r="C565" i="4"/>
  <c r="D565" i="4" s="1"/>
  <c r="C944" i="4"/>
  <c r="D944" i="4" s="1"/>
  <c r="C571" i="4"/>
  <c r="D571" i="4" s="1"/>
  <c r="C557" i="4"/>
  <c r="D557" i="4" s="1"/>
  <c r="C646" i="4"/>
  <c r="C853" i="4"/>
  <c r="D853" i="4" s="1"/>
  <c r="C729" i="4"/>
  <c r="C626" i="4"/>
  <c r="C637" i="4"/>
  <c r="D637" i="4" s="1"/>
  <c r="C551" i="4"/>
  <c r="D551" i="4" s="1"/>
  <c r="C855" i="4"/>
  <c r="C499" i="4"/>
  <c r="D499" i="4" s="1"/>
  <c r="C388" i="4"/>
  <c r="C930" i="4"/>
  <c r="D930" i="4" s="1"/>
  <c r="C733" i="4"/>
  <c r="D733" i="4" s="1"/>
  <c r="C881" i="4"/>
  <c r="C747" i="4"/>
  <c r="D747" i="4" s="1"/>
  <c r="C864" i="4"/>
  <c r="C939" i="4"/>
  <c r="C532" i="4"/>
  <c r="D532" i="4" s="1"/>
  <c r="C716" i="4"/>
  <c r="C724" i="4"/>
  <c r="D724" i="4" s="1"/>
  <c r="C862" i="4"/>
  <c r="C843" i="4"/>
  <c r="C925" i="4"/>
  <c r="D925" i="4" s="1"/>
  <c r="C837" i="4"/>
  <c r="D837" i="4" s="1"/>
  <c r="C896" i="4"/>
  <c r="D896" i="4" s="1"/>
  <c r="C708" i="4"/>
  <c r="C749" i="4"/>
  <c r="D749" i="4" s="1"/>
  <c r="C727" i="4"/>
  <c r="D727" i="4" s="1"/>
  <c r="C767" i="4"/>
  <c r="D767" i="4" s="1"/>
  <c r="C799" i="4"/>
  <c r="D799" i="4" s="1"/>
  <c r="D965" i="4"/>
  <c r="C556" i="4"/>
  <c r="D556" i="4" s="1"/>
  <c r="C608" i="4"/>
  <c r="D608" i="4" s="1"/>
  <c r="C408" i="4"/>
  <c r="E408" i="4" s="1"/>
  <c r="C575" i="4"/>
  <c r="D575" i="4" s="1"/>
  <c r="C625" i="4"/>
  <c r="D625" i="4" s="1"/>
  <c r="C902" i="4"/>
  <c r="D902" i="4" s="1"/>
  <c r="C775" i="4"/>
  <c r="D775" i="4" s="1"/>
  <c r="C742" i="4"/>
  <c r="C677" i="4"/>
  <c r="D677" i="4" s="1"/>
  <c r="C494" i="4"/>
  <c r="D494" i="4" s="1"/>
  <c r="C569" i="4"/>
  <c r="D569" i="4" s="1"/>
  <c r="C612" i="4"/>
  <c r="D612" i="4" s="1"/>
  <c r="C861" i="4"/>
  <c r="C470" i="4"/>
  <c r="D470" i="4" s="1"/>
  <c r="C630" i="4"/>
  <c r="C818" i="4"/>
  <c r="D818" i="4" s="1"/>
  <c r="C885" i="4"/>
  <c r="C681" i="4"/>
  <c r="C719" i="4"/>
  <c r="C573" i="4"/>
  <c r="D573" i="4" s="1"/>
  <c r="C614" i="4"/>
  <c r="C616" i="4"/>
  <c r="D616" i="4" s="1"/>
  <c r="C763" i="4"/>
  <c r="D763" i="4" s="1"/>
  <c r="C772" i="4"/>
  <c r="C522" i="4"/>
  <c r="C666" i="4"/>
  <c r="C744" i="4"/>
  <c r="D744" i="4" s="1"/>
  <c r="C921" i="4"/>
  <c r="D921" i="4" s="1"/>
  <c r="C945" i="4"/>
  <c r="C390" i="4"/>
  <c r="C884" i="4"/>
  <c r="D884" i="4" s="1"/>
  <c r="C842" i="4"/>
  <c r="C610" i="4"/>
  <c r="C480" i="4"/>
  <c r="D480" i="4" s="1"/>
  <c r="C813" i="4"/>
  <c r="C868" i="4"/>
  <c r="D868" i="4" s="1"/>
  <c r="C643" i="4"/>
  <c r="D643" i="4" s="1"/>
  <c r="C584" i="4"/>
  <c r="D584" i="4" s="1"/>
  <c r="C879" i="4"/>
  <c r="D879" i="4" s="1"/>
  <c r="C832" i="4"/>
  <c r="C721" i="4"/>
  <c r="D721" i="4" s="1"/>
  <c r="C561" i="4"/>
  <c r="C961" i="4"/>
  <c r="C753" i="4"/>
  <c r="C595" i="4"/>
  <c r="D595" i="4" s="1"/>
  <c r="C951" i="4"/>
  <c r="C683" i="4"/>
  <c r="C814" i="4"/>
  <c r="C838" i="4"/>
  <c r="D838" i="4" s="1"/>
  <c r="C398" i="4"/>
  <c r="C684" i="4"/>
  <c r="D684" i="4" s="1"/>
  <c r="C671" i="4"/>
  <c r="C941" i="4"/>
  <c r="D941" i="4" s="1"/>
  <c r="C953" i="4"/>
  <c r="C802" i="4"/>
  <c r="D802" i="4" s="1"/>
  <c r="C583" i="4"/>
  <c r="D583" i="4" s="1"/>
  <c r="C636" i="4"/>
  <c r="D636" i="4" s="1"/>
  <c r="C704" i="4"/>
  <c r="C535" i="4"/>
  <c r="C950" i="4"/>
  <c r="D950" i="4" s="1"/>
  <c r="C895" i="4"/>
  <c r="D895" i="4" s="1"/>
  <c r="C700" i="4"/>
  <c r="C673" i="4"/>
  <c r="D673" i="4" s="1"/>
  <c r="C707" i="4"/>
  <c r="C848" i="4"/>
  <c r="D848" i="4" s="1"/>
  <c r="C531" i="4"/>
  <c r="D531" i="4" s="1"/>
  <c r="C530" i="4"/>
  <c r="D530" i="4" s="1"/>
  <c r="C525" i="4"/>
  <c r="D525" i="4" s="1"/>
  <c r="C554" i="4"/>
  <c r="D554" i="4" s="1"/>
  <c r="C502" i="4"/>
  <c r="D502" i="4" s="1"/>
  <c r="J359" i="4"/>
  <c r="C541" i="4"/>
  <c r="D541" i="4" s="1"/>
  <c r="C929" i="4"/>
  <c r="D929" i="4" s="1"/>
  <c r="C788" i="4"/>
  <c r="D788" i="4" s="1"/>
  <c r="C582" i="4"/>
  <c r="D582" i="4" s="1"/>
  <c r="C432" i="4"/>
  <c r="C509" i="4"/>
  <c r="C598" i="4"/>
  <c r="D598" i="4" s="1"/>
  <c r="C894" i="4"/>
  <c r="D894" i="4" s="1"/>
  <c r="C962" i="4"/>
  <c r="C811" i="4"/>
  <c r="C445" i="4"/>
  <c r="E445" i="4" s="1"/>
  <c r="J376" i="4"/>
  <c r="C488" i="4"/>
  <c r="D488" i="4" s="1"/>
  <c r="C407" i="4"/>
  <c r="C949" i="4"/>
  <c r="D949" i="4" s="1"/>
  <c r="C871" i="4"/>
  <c r="D871" i="4" s="1"/>
  <c r="C736" i="4"/>
  <c r="D736" i="4" s="1"/>
  <c r="C924" i="4"/>
  <c r="D924" i="4" s="1"/>
  <c r="C553" i="4"/>
  <c r="C827" i="4"/>
  <c r="C678" i="4"/>
  <c r="C759" i="4"/>
  <c r="D759" i="4" s="1"/>
  <c r="C511" i="4"/>
  <c r="C957" i="4"/>
  <c r="C807" i="4"/>
  <c r="C688" i="4"/>
  <c r="D688" i="4" s="1"/>
  <c r="C912" i="4"/>
  <c r="C717" i="4"/>
  <c r="D717" i="4" s="1"/>
  <c r="C687" i="4"/>
  <c r="D687" i="4" s="1"/>
  <c r="C549" i="4"/>
  <c r="D549" i="4" s="1"/>
  <c r="C685" i="4"/>
  <c r="C667" i="4"/>
  <c r="D667" i="4" s="1"/>
  <c r="C737" i="4"/>
  <c r="D737" i="4" s="1"/>
  <c r="C780" i="4"/>
  <c r="D780" i="4" s="1"/>
  <c r="C400" i="4"/>
  <c r="C487" i="4"/>
  <c r="D487" i="4" s="1"/>
  <c r="C562" i="4"/>
  <c r="D562" i="4" s="1"/>
  <c r="C694" i="4"/>
  <c r="D694" i="4" s="1"/>
  <c r="C731" i="4"/>
  <c r="C829" i="4"/>
  <c r="D829" i="4" s="1"/>
  <c r="C920" i="4"/>
  <c r="D920" i="4" s="1"/>
  <c r="C695" i="4"/>
  <c r="D695" i="4" s="1"/>
  <c r="C705" i="4"/>
  <c r="C936" i="4"/>
  <c r="C851" i="4"/>
  <c r="C679" i="4"/>
  <c r="D679" i="4" s="1"/>
  <c r="C815" i="4"/>
  <c r="D815" i="4" s="1"/>
  <c r="C768" i="4"/>
  <c r="D768" i="4" s="1"/>
  <c r="C809" i="4"/>
  <c r="D809" i="4" s="1"/>
  <c r="C863" i="4"/>
  <c r="D863" i="4" s="1"/>
  <c r="C632" i="4"/>
  <c r="C512" i="4"/>
  <c r="D512" i="4" s="1"/>
  <c r="C828" i="4"/>
  <c r="D828" i="4" s="1"/>
  <c r="C544" i="4"/>
  <c r="D544" i="4" s="1"/>
  <c r="C686" i="4"/>
  <c r="D686" i="4" s="1"/>
  <c r="C676" i="4"/>
  <c r="D676" i="4" s="1"/>
  <c r="C579" i="4"/>
  <c r="D579" i="4" s="1"/>
  <c r="C578" i="4"/>
  <c r="D578" i="4" s="1"/>
  <c r="C703" i="4"/>
  <c r="D703" i="4" s="1"/>
  <c r="C405" i="4"/>
  <c r="C897" i="4"/>
  <c r="C919" i="4"/>
  <c r="D919" i="4" s="1"/>
  <c r="C723" i="4"/>
  <c r="D723" i="4" s="1"/>
  <c r="C890" i="4"/>
  <c r="C599" i="4"/>
  <c r="D599" i="4" s="1"/>
  <c r="C624" i="4"/>
  <c r="D624" i="4" s="1"/>
  <c r="C782" i="4"/>
  <c r="D782" i="4" s="1"/>
  <c r="C931" i="4"/>
  <c r="D931" i="4" s="1"/>
  <c r="C706" i="4"/>
  <c r="D706" i="4" s="1"/>
  <c r="C514" i="4"/>
  <c r="D514" i="4" s="1"/>
  <c r="C460" i="4"/>
  <c r="D460" i="4" s="1"/>
  <c r="C603" i="4"/>
  <c r="C659" i="4"/>
  <c r="C545" i="4"/>
  <c r="D545" i="4" s="1"/>
  <c r="C663" i="4"/>
  <c r="C840" i="4"/>
  <c r="D840" i="4" s="1"/>
  <c r="C711" i="4"/>
  <c r="D711" i="4" s="1"/>
  <c r="C655" i="4"/>
  <c r="C873" i="4"/>
  <c r="D873" i="4" s="1"/>
  <c r="C901" i="4"/>
  <c r="C560" i="4"/>
  <c r="D560" i="4" s="1"/>
  <c r="C762" i="4"/>
  <c r="D762" i="4" s="1"/>
  <c r="C651" i="4"/>
  <c r="D651" i="4" s="1"/>
  <c r="C550" i="4"/>
  <c r="D550" i="4" s="1"/>
  <c r="C473" i="4"/>
  <c r="D473" i="4" s="1"/>
  <c r="C424" i="4"/>
  <c r="C777" i="4"/>
  <c r="D777" i="4" s="1"/>
  <c r="C746" i="4"/>
  <c r="D746" i="4" s="1"/>
  <c r="C392" i="4"/>
  <c r="C497" i="4"/>
  <c r="D497" i="4" s="1"/>
  <c r="J29" i="4"/>
  <c r="J217" i="4"/>
  <c r="J221" i="4"/>
  <c r="J105" i="4"/>
  <c r="J207" i="4"/>
  <c r="J25" i="4"/>
  <c r="J21" i="4"/>
  <c r="E9" i="4"/>
  <c r="H9" i="4" s="1"/>
  <c r="J121" i="4"/>
  <c r="E2" i="4"/>
  <c r="J2" i="4" s="1"/>
  <c r="J44" i="4"/>
  <c r="J10" i="4"/>
  <c r="J22" i="4"/>
  <c r="J11" i="4"/>
  <c r="J23" i="4"/>
  <c r="J168" i="4"/>
  <c r="J74" i="4"/>
  <c r="J24" i="4"/>
  <c r="J87" i="4"/>
  <c r="J198" i="4"/>
  <c r="J216" i="4"/>
  <c r="J219" i="4"/>
  <c r="J220" i="4"/>
  <c r="E5" i="4"/>
  <c r="I5" i="4" s="1"/>
  <c r="J12" i="4"/>
  <c r="J28" i="4"/>
  <c r="D2" i="4"/>
  <c r="D9" i="4"/>
  <c r="D5" i="4"/>
  <c r="B385" i="4" l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B807" i="4" s="1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D632" i="4"/>
  <c r="D769" i="4"/>
  <c r="D698" i="4"/>
  <c r="D682" i="4"/>
  <c r="D649" i="4"/>
  <c r="D633" i="4"/>
  <c r="D735" i="4"/>
  <c r="D658" i="4"/>
  <c r="D623" i="4"/>
  <c r="D619" i="4"/>
  <c r="D601" i="4"/>
  <c r="D707" i="4"/>
  <c r="D771" i="4"/>
  <c r="D690" i="4"/>
  <c r="D593" i="4"/>
  <c r="D719" i="4"/>
  <c r="D715" i="4"/>
  <c r="D674" i="4"/>
  <c r="D609" i="4"/>
  <c r="D800" i="4"/>
  <c r="D774" i="4"/>
  <c r="D543" i="4"/>
  <c r="D503" i="4"/>
  <c r="D467" i="4"/>
  <c r="D400" i="4"/>
  <c r="D511" i="4"/>
  <c r="D567" i="4"/>
  <c r="D453" i="4"/>
  <c r="D392" i="4"/>
  <c r="D784" i="4"/>
  <c r="D566" i="4"/>
  <c r="D558" i="4"/>
  <c r="D536" i="4"/>
  <c r="D500" i="4"/>
  <c r="D475" i="4"/>
  <c r="D405" i="4"/>
  <c r="D535" i="4"/>
  <c r="D527" i="4"/>
  <c r="D492" i="4"/>
  <c r="E421" i="4"/>
  <c r="H421" i="4" s="1"/>
  <c r="E438" i="4"/>
  <c r="G438" i="4" s="1"/>
  <c r="D960" i="4"/>
  <c r="D956" i="4"/>
  <c r="D904" i="4"/>
  <c r="D885" i="4"/>
  <c r="D897" i="4"/>
  <c r="D889" i="4"/>
  <c r="D890" i="4"/>
  <c r="D845" i="4"/>
  <c r="D852" i="4"/>
  <c r="D842" i="4"/>
  <c r="D824" i="4"/>
  <c r="D827" i="4"/>
  <c r="D860" i="4"/>
  <c r="D819" i="4"/>
  <c r="D953" i="4"/>
  <c r="D937" i="4"/>
  <c r="D898" i="4"/>
  <c r="D844" i="4"/>
  <c r="D861" i="4"/>
  <c r="D955" i="4"/>
  <c r="D905" i="4"/>
  <c r="D826" i="4"/>
  <c r="E912" i="4"/>
  <c r="J912" i="4" s="1"/>
  <c r="D912" i="4"/>
  <c r="E961" i="4"/>
  <c r="J961" i="4" s="1"/>
  <c r="D961" i="4"/>
  <c r="E630" i="4"/>
  <c r="I630" i="4" s="1"/>
  <c r="D630" i="4"/>
  <c r="E742" i="4"/>
  <c r="J742" i="4" s="1"/>
  <c r="D742" i="4"/>
  <c r="E646" i="4"/>
  <c r="I646" i="4" s="1"/>
  <c r="D646" i="4"/>
  <c r="E835" i="4"/>
  <c r="I835" i="4" s="1"/>
  <c r="D835" i="4"/>
  <c r="E795" i="4"/>
  <c r="J795" i="4" s="1"/>
  <c r="D795" i="4"/>
  <c r="E639" i="4"/>
  <c r="F639" i="4" s="1"/>
  <c r="D639" i="4"/>
  <c r="E627" i="4"/>
  <c r="G627" i="4" s="1"/>
  <c r="D627" i="4"/>
  <c r="E591" i="4"/>
  <c r="H591" i="4" s="1"/>
  <c r="D591" i="4"/>
  <c r="E655" i="4"/>
  <c r="D655" i="4"/>
  <c r="E509" i="4"/>
  <c r="J509" i="4" s="1"/>
  <c r="D509" i="4"/>
  <c r="E700" i="4"/>
  <c r="H700" i="4" s="1"/>
  <c r="D700" i="4"/>
  <c r="E704" i="4"/>
  <c r="F704" i="4" s="1"/>
  <c r="D704" i="4"/>
  <c r="E951" i="4"/>
  <c r="D951" i="4"/>
  <c r="E561" i="4"/>
  <c r="I561" i="4" s="1"/>
  <c r="D561" i="4"/>
  <c r="E666" i="4"/>
  <c r="F666" i="4" s="1"/>
  <c r="D666" i="4"/>
  <c r="E681" i="4"/>
  <c r="G681" i="4" s="1"/>
  <c r="D681" i="4"/>
  <c r="E708" i="4"/>
  <c r="H708" i="4" s="1"/>
  <c r="D708" i="4"/>
  <c r="E843" i="4"/>
  <c r="F843" i="4" s="1"/>
  <c r="D843" i="4"/>
  <c r="E881" i="4"/>
  <c r="I881" i="4" s="1"/>
  <c r="D881" i="4"/>
  <c r="E626" i="4"/>
  <c r="G626" i="4" s="1"/>
  <c r="D626" i="4"/>
  <c r="E836" i="4"/>
  <c r="H836" i="4" s="1"/>
  <c r="D836" i="4"/>
  <c r="E959" i="4"/>
  <c r="H959" i="4" s="1"/>
  <c r="D959" i="4"/>
  <c r="E952" i="4"/>
  <c r="G952" i="4" s="1"/>
  <c r="D952" i="4"/>
  <c r="E943" i="4"/>
  <c r="J943" i="4" s="1"/>
  <c r="D943" i="4"/>
  <c r="E923" i="4"/>
  <c r="J923" i="4" s="1"/>
  <c r="D923" i="4"/>
  <c r="E916" i="4"/>
  <c r="H916" i="4" s="1"/>
  <c r="D916" i="4"/>
  <c r="E907" i="4"/>
  <c r="G907" i="4" s="1"/>
  <c r="D907" i="4"/>
  <c r="E887" i="4"/>
  <c r="J887" i="4" s="1"/>
  <c r="D887" i="4"/>
  <c r="E867" i="4"/>
  <c r="J867" i="4" s="1"/>
  <c r="D867" i="4"/>
  <c r="E859" i="4"/>
  <c r="J859" i="4" s="1"/>
  <c r="D859" i="4"/>
  <c r="E804" i="4"/>
  <c r="G804" i="4" s="1"/>
  <c r="D804" i="4"/>
  <c r="E794" i="4"/>
  <c r="I794" i="4" s="1"/>
  <c r="D794" i="4"/>
  <c r="E790" i="4"/>
  <c r="F790" i="4" s="1"/>
  <c r="D790" i="4"/>
  <c r="E760" i="4"/>
  <c r="G760" i="4" s="1"/>
  <c r="D760" i="4"/>
  <c r="E728" i="4"/>
  <c r="D728" i="4"/>
  <c r="E720" i="4"/>
  <c r="H720" i="4" s="1"/>
  <c r="D720" i="4"/>
  <c r="E664" i="4"/>
  <c r="G664" i="4" s="1"/>
  <c r="D664" i="4"/>
  <c r="E574" i="4"/>
  <c r="F574" i="4" s="1"/>
  <c r="D574" i="4"/>
  <c r="E663" i="4"/>
  <c r="I663" i="4" s="1"/>
  <c r="D663" i="4"/>
  <c r="E705" i="4"/>
  <c r="H705" i="4" s="1"/>
  <c r="D705" i="4"/>
  <c r="E731" i="4"/>
  <c r="D731" i="4"/>
  <c r="E685" i="4"/>
  <c r="J685" i="4" s="1"/>
  <c r="D685" i="4"/>
  <c r="E553" i="4"/>
  <c r="D553" i="4"/>
  <c r="E683" i="4"/>
  <c r="J683" i="4" s="1"/>
  <c r="D683" i="4"/>
  <c r="E813" i="4"/>
  <c r="J813" i="4" s="1"/>
  <c r="D813" i="4"/>
  <c r="E716" i="4"/>
  <c r="I716" i="4" s="1"/>
  <c r="D716" i="4"/>
  <c r="E954" i="4"/>
  <c r="I954" i="4" s="1"/>
  <c r="D954" i="4"/>
  <c r="E946" i="4"/>
  <c r="H946" i="4" s="1"/>
  <c r="D946" i="4"/>
  <c r="E926" i="4"/>
  <c r="F926" i="4" s="1"/>
  <c r="D926" i="4"/>
  <c r="E913" i="4"/>
  <c r="I913" i="4" s="1"/>
  <c r="D913" i="4"/>
  <c r="E888" i="4"/>
  <c r="H888" i="4" s="1"/>
  <c r="D888" i="4"/>
  <c r="E810" i="4"/>
  <c r="H810" i="4" s="1"/>
  <c r="D810" i="4"/>
  <c r="E751" i="4"/>
  <c r="I751" i="4" s="1"/>
  <c r="D751" i="4"/>
  <c r="E596" i="4"/>
  <c r="H596" i="4" s="1"/>
  <c r="D596" i="4"/>
  <c r="E450" i="4"/>
  <c r="F450" i="4" s="1"/>
  <c r="D450" i="4"/>
  <c r="E659" i="4"/>
  <c r="J659" i="4" s="1"/>
  <c r="D659" i="4"/>
  <c r="E851" i="4"/>
  <c r="I851" i="4" s="1"/>
  <c r="D851" i="4"/>
  <c r="E807" i="4"/>
  <c r="D807" i="4"/>
  <c r="E678" i="4"/>
  <c r="G678" i="4" s="1"/>
  <c r="D678" i="4"/>
  <c r="E962" i="4"/>
  <c r="I962" i="4" s="1"/>
  <c r="D962" i="4"/>
  <c r="E610" i="4"/>
  <c r="J610" i="4" s="1"/>
  <c r="D610" i="4"/>
  <c r="E945" i="4"/>
  <c r="G945" i="4" s="1"/>
  <c r="D945" i="4"/>
  <c r="E522" i="4"/>
  <c r="I522" i="4" s="1"/>
  <c r="D522" i="4"/>
  <c r="E614" i="4"/>
  <c r="H614" i="4" s="1"/>
  <c r="D614" i="4"/>
  <c r="E862" i="4"/>
  <c r="I862" i="4" s="1"/>
  <c r="D862" i="4"/>
  <c r="E939" i="4"/>
  <c r="J939" i="4" s="1"/>
  <c r="D939" i="4"/>
  <c r="E855" i="4"/>
  <c r="H855" i="4" s="1"/>
  <c r="D855" i="4"/>
  <c r="E729" i="4"/>
  <c r="G729" i="4" s="1"/>
  <c r="D729" i="4"/>
  <c r="E948" i="4"/>
  <c r="F948" i="4" s="1"/>
  <c r="D948" i="4"/>
  <c r="E928" i="4"/>
  <c r="J928" i="4" s="1"/>
  <c r="D928" i="4"/>
  <c r="E877" i="4"/>
  <c r="G877" i="4" s="1"/>
  <c r="D877" i="4"/>
  <c r="E847" i="4"/>
  <c r="J847" i="4" s="1"/>
  <c r="D847" i="4"/>
  <c r="E841" i="4"/>
  <c r="H841" i="4" s="1"/>
  <c r="D841" i="4"/>
  <c r="E833" i="4"/>
  <c r="J833" i="4" s="1"/>
  <c r="D833" i="4"/>
  <c r="E803" i="4"/>
  <c r="D803" i="4"/>
  <c r="E797" i="4"/>
  <c r="H797" i="4" s="1"/>
  <c r="D797" i="4"/>
  <c r="E793" i="4"/>
  <c r="F793" i="4" s="1"/>
  <c r="D793" i="4"/>
  <c r="E758" i="4"/>
  <c r="J758" i="4" s="1"/>
  <c r="D758" i="4"/>
  <c r="E701" i="4"/>
  <c r="J701" i="4" s="1"/>
  <c r="D701" i="4"/>
  <c r="E669" i="4"/>
  <c r="J669" i="4" s="1"/>
  <c r="D669" i="4"/>
  <c r="E647" i="4"/>
  <c r="G647" i="4" s="1"/>
  <c r="D647" i="4"/>
  <c r="E641" i="4"/>
  <c r="G641" i="4" s="1"/>
  <c r="D641" i="4"/>
  <c r="E622" i="4"/>
  <c r="I622" i="4" s="1"/>
  <c r="D622" i="4"/>
  <c r="E618" i="4"/>
  <c r="H618" i="4" s="1"/>
  <c r="D618" i="4"/>
  <c r="E547" i="4"/>
  <c r="F547" i="4" s="1"/>
  <c r="D547" i="4"/>
  <c r="E523" i="4"/>
  <c r="I523" i="4" s="1"/>
  <c r="D523" i="4"/>
  <c r="E493" i="4"/>
  <c r="F493" i="4" s="1"/>
  <c r="D493" i="4"/>
  <c r="E477" i="4"/>
  <c r="H477" i="4" s="1"/>
  <c r="D477" i="4"/>
  <c r="E901" i="4"/>
  <c r="D901" i="4"/>
  <c r="E603" i="4"/>
  <c r="F603" i="4" s="1"/>
  <c r="D603" i="4"/>
  <c r="E936" i="4"/>
  <c r="J936" i="4" s="1"/>
  <c r="D936" i="4"/>
  <c r="E957" i="4"/>
  <c r="G957" i="4" s="1"/>
  <c r="D957" i="4"/>
  <c r="E966" i="4"/>
  <c r="D966" i="4"/>
  <c r="E671" i="4"/>
  <c r="D671" i="4"/>
  <c r="E814" i="4"/>
  <c r="D814" i="4"/>
  <c r="E753" i="4"/>
  <c r="I753" i="4" s="1"/>
  <c r="D753" i="4"/>
  <c r="E832" i="4"/>
  <c r="D832" i="4"/>
  <c r="E772" i="4"/>
  <c r="D772" i="4"/>
  <c r="E864" i="4"/>
  <c r="I864" i="4" s="1"/>
  <c r="D864" i="4"/>
  <c r="E963" i="4"/>
  <c r="F963" i="4" s="1"/>
  <c r="D963" i="4"/>
  <c r="E909" i="4"/>
  <c r="I909" i="4" s="1"/>
  <c r="D909" i="4"/>
  <c r="E865" i="4"/>
  <c r="F865" i="4" s="1"/>
  <c r="D865" i="4"/>
  <c r="E857" i="4"/>
  <c r="G857" i="4" s="1"/>
  <c r="D857" i="4"/>
  <c r="E846" i="4"/>
  <c r="I846" i="4" s="1"/>
  <c r="D846" i="4"/>
  <c r="E812" i="4"/>
  <c r="G812" i="4" s="1"/>
  <c r="D812" i="4"/>
  <c r="E764" i="4"/>
  <c r="J764" i="4" s="1"/>
  <c r="D764" i="4"/>
  <c r="E739" i="4"/>
  <c r="D739" i="4"/>
  <c r="E710" i="4"/>
  <c r="G710" i="4" s="1"/>
  <c r="D710" i="4"/>
  <c r="E650" i="4"/>
  <c r="I650" i="4" s="1"/>
  <c r="D650" i="4"/>
  <c r="E577" i="4"/>
  <c r="F577" i="4" s="1"/>
  <c r="D577" i="4"/>
  <c r="E564" i="4"/>
  <c r="G564" i="4" s="1"/>
  <c r="D564" i="4"/>
  <c r="E546" i="4"/>
  <c r="G546" i="4" s="1"/>
  <c r="D546" i="4"/>
  <c r="E504" i="4"/>
  <c r="H504" i="4" s="1"/>
  <c r="D504" i="4"/>
  <c r="E474" i="4"/>
  <c r="I474" i="4" s="1"/>
  <c r="D474" i="4"/>
  <c r="E811" i="4"/>
  <c r="D811" i="4"/>
  <c r="E805" i="4"/>
  <c r="G805" i="4" s="1"/>
  <c r="E543" i="4"/>
  <c r="F543" i="4" s="1"/>
  <c r="E440" i="4"/>
  <c r="G440" i="4" s="1"/>
  <c r="E551" i="4"/>
  <c r="J551" i="4" s="1"/>
  <c r="E535" i="4"/>
  <c r="J535" i="4" s="1"/>
  <c r="E575" i="4"/>
  <c r="I575" i="4" s="1"/>
  <c r="E770" i="4"/>
  <c r="J770" i="4" s="1"/>
  <c r="E521" i="4"/>
  <c r="I521" i="4" s="1"/>
  <c r="E404" i="4"/>
  <c r="I404" i="4" s="1"/>
  <c r="E633" i="4"/>
  <c r="F633" i="4" s="1"/>
  <c r="E601" i="4"/>
  <c r="J601" i="4" s="1"/>
  <c r="E476" i="4"/>
  <c r="G476" i="4" s="1"/>
  <c r="E629" i="4"/>
  <c r="H629" i="4" s="1"/>
  <c r="E605" i="4"/>
  <c r="I605" i="4" s="1"/>
  <c r="E637" i="4"/>
  <c r="G637" i="4" s="1"/>
  <c r="E483" i="4"/>
  <c r="J483" i="4" s="1"/>
  <c r="E436" i="4"/>
  <c r="F436" i="4" s="1"/>
  <c r="E643" i="4"/>
  <c r="H643" i="4" s="1"/>
  <c r="E462" i="4"/>
  <c r="J462" i="4" s="1"/>
  <c r="E573" i="4"/>
  <c r="J573" i="4" s="1"/>
  <c r="E475" i="4"/>
  <c r="H475" i="4" s="1"/>
  <c r="E452" i="4"/>
  <c r="F452" i="4" s="1"/>
  <c r="E565" i="4"/>
  <c r="J565" i="4" s="1"/>
  <c r="E519" i="4"/>
  <c r="H519" i="4" s="1"/>
  <c r="E604" i="4"/>
  <c r="F604" i="4" s="1"/>
  <c r="E468" i="4"/>
  <c r="I468" i="4" s="1"/>
  <c r="E925" i="4"/>
  <c r="H925" i="4" s="1"/>
  <c r="E567" i="4"/>
  <c r="G567" i="4" s="1"/>
  <c r="E572" i="4"/>
  <c r="F572" i="4" s="1"/>
  <c r="E536" i="4"/>
  <c r="G536" i="4" s="1"/>
  <c r="E559" i="4"/>
  <c r="H559" i="4" s="1"/>
  <c r="E495" i="4"/>
  <c r="J495" i="4" s="1"/>
  <c r="E425" i="4"/>
  <c r="G425" i="4" s="1"/>
  <c r="D432" i="4"/>
  <c r="E398" i="4"/>
  <c r="J398" i="4" s="1"/>
  <c r="E429" i="4"/>
  <c r="G429" i="4" s="1"/>
  <c r="E386" i="4"/>
  <c r="H386" i="4" s="1"/>
  <c r="E433" i="4"/>
  <c r="E402" i="4"/>
  <c r="H402" i="4" s="1"/>
  <c r="E484" i="4"/>
  <c r="G484" i="4" s="1"/>
  <c r="E431" i="4"/>
  <c r="G431" i="4" s="1"/>
  <c r="E384" i="4"/>
  <c r="J384" i="4" s="1"/>
  <c r="E921" i="4"/>
  <c r="H921" i="4" s="1"/>
  <c r="D445" i="4"/>
  <c r="D438" i="4"/>
  <c r="E765" i="4"/>
  <c r="I765" i="4" s="1"/>
  <c r="E688" i="4"/>
  <c r="F688" i="4" s="1"/>
  <c r="E582" i="4"/>
  <c r="I582" i="4" s="1"/>
  <c r="E541" i="4"/>
  <c r="J541" i="4" s="1"/>
  <c r="E802" i="4"/>
  <c r="I802" i="4" s="1"/>
  <c r="E684" i="4"/>
  <c r="I684" i="4" s="1"/>
  <c r="F9" i="4"/>
  <c r="E885" i="4"/>
  <c r="H885" i="4" s="1"/>
  <c r="E518" i="4"/>
  <c r="J518" i="4" s="1"/>
  <c r="H2" i="4"/>
  <c r="E736" i="4"/>
  <c r="I736" i="4" s="1"/>
  <c r="E673" i="4"/>
  <c r="F673" i="4" s="1"/>
  <c r="D408" i="4"/>
  <c r="E489" i="4"/>
  <c r="J489" i="4" s="1"/>
  <c r="E828" i="4"/>
  <c r="J828" i="4" s="1"/>
  <c r="E721" i="4"/>
  <c r="I721" i="4" s="1"/>
  <c r="E486" i="4"/>
  <c r="F486" i="4" s="1"/>
  <c r="E540" i="4"/>
  <c r="I540" i="4" s="1"/>
  <c r="E560" i="4"/>
  <c r="H560" i="4" s="1"/>
  <c r="E791" i="4"/>
  <c r="G791" i="4" s="1"/>
  <c r="E454" i="4"/>
  <c r="G454" i="4" s="1"/>
  <c r="K1" i="4"/>
  <c r="J5" i="4"/>
  <c r="H5" i="4"/>
  <c r="J9" i="4"/>
  <c r="G5" i="4"/>
  <c r="D384" i="4"/>
  <c r="D386" i="4"/>
  <c r="F2" i="4"/>
  <c r="D397" i="4"/>
  <c r="F5" i="4"/>
  <c r="I2" i="4"/>
  <c r="I9" i="4"/>
  <c r="D422" i="4"/>
  <c r="D402" i="4"/>
  <c r="J279" i="4"/>
  <c r="E746" i="4"/>
  <c r="E651" i="4"/>
  <c r="E687" i="4"/>
  <c r="E488" i="4"/>
  <c r="E775" i="4"/>
  <c r="E727" i="4"/>
  <c r="E915" i="4"/>
  <c r="E825" i="4"/>
  <c r="E776" i="4"/>
  <c r="E738" i="4"/>
  <c r="E672" i="4"/>
  <c r="E600" i="4"/>
  <c r="E465" i="4"/>
  <c r="E441" i="4"/>
  <c r="D441" i="4"/>
  <c r="E417" i="4"/>
  <c r="D417" i="4"/>
  <c r="J278" i="4"/>
  <c r="J222" i="4"/>
  <c r="J218" i="4"/>
  <c r="G2" i="4"/>
  <c r="G9" i="4"/>
  <c r="J27" i="4"/>
  <c r="E873" i="4"/>
  <c r="E711" i="4"/>
  <c r="J340" i="4"/>
  <c r="E545" i="4"/>
  <c r="E514" i="4"/>
  <c r="E782" i="4"/>
  <c r="E599" i="4"/>
  <c r="E723" i="4"/>
  <c r="E897" i="4"/>
  <c r="E703" i="4"/>
  <c r="E579" i="4"/>
  <c r="E686" i="4"/>
  <c r="E840" i="4"/>
  <c r="E512" i="4"/>
  <c r="E768" i="4"/>
  <c r="E679" i="4"/>
  <c r="E920" i="4"/>
  <c r="E487" i="4"/>
  <c r="E717" i="4"/>
  <c r="E759" i="4"/>
  <c r="E949" i="4"/>
  <c r="E598" i="4"/>
  <c r="E531" i="4"/>
  <c r="E848" i="4"/>
  <c r="E895" i="4"/>
  <c r="E636" i="4"/>
  <c r="E953" i="4"/>
  <c r="E941" i="4"/>
  <c r="E838" i="4"/>
  <c r="E595" i="4"/>
  <c r="E390" i="4"/>
  <c r="D390" i="4"/>
  <c r="E763" i="4"/>
  <c r="E616" i="4"/>
  <c r="E677" i="4"/>
  <c r="E625" i="4"/>
  <c r="E749" i="4"/>
  <c r="E733" i="4"/>
  <c r="E499" i="4"/>
  <c r="E571" i="4"/>
  <c r="E482" i="4"/>
  <c r="J314" i="4"/>
  <c r="E935" i="4"/>
  <c r="E927" i="4"/>
  <c r="E918" i="4"/>
  <c r="E910" i="4"/>
  <c r="E906" i="4"/>
  <c r="E903" i="4"/>
  <c r="E860" i="4"/>
  <c r="E856" i="4"/>
  <c r="E834" i="4"/>
  <c r="E741" i="4"/>
  <c r="E725" i="4"/>
  <c r="E696" i="4"/>
  <c r="E617" i="4"/>
  <c r="E611" i="4"/>
  <c r="E586" i="4"/>
  <c r="E527" i="4"/>
  <c r="E406" i="4"/>
  <c r="D406" i="4"/>
  <c r="J377" i="4"/>
  <c r="E473" i="4"/>
  <c r="E744" i="4"/>
  <c r="E554" i="4"/>
  <c r="E777" i="4"/>
  <c r="E550" i="4"/>
  <c r="E762" i="4"/>
  <c r="E694" i="4"/>
  <c r="E737" i="4"/>
  <c r="E549" i="4"/>
  <c r="E924" i="4"/>
  <c r="E407" i="4"/>
  <c r="D407" i="4"/>
  <c r="D398" i="4"/>
  <c r="E868" i="4"/>
  <c r="E842" i="4"/>
  <c r="E719" i="4"/>
  <c r="E608" i="4"/>
  <c r="E767" i="4"/>
  <c r="E896" i="4"/>
  <c r="E747" i="4"/>
  <c r="D416" i="4"/>
  <c r="E416" i="4"/>
  <c r="E942" i="4"/>
  <c r="E820" i="4"/>
  <c r="E779" i="4"/>
  <c r="E773" i="4"/>
  <c r="E712" i="4"/>
  <c r="E699" i="4"/>
  <c r="E690" i="4"/>
  <c r="E620" i="4"/>
  <c r="E589" i="4"/>
  <c r="E399" i="4"/>
  <c r="D399" i="4"/>
  <c r="E871" i="4"/>
  <c r="E424" i="4"/>
  <c r="E562" i="4"/>
  <c r="E497" i="4"/>
  <c r="E788" i="4"/>
  <c r="E530" i="4"/>
  <c r="E388" i="4"/>
  <c r="D388" i="4"/>
  <c r="E947" i="4"/>
  <c r="E783" i="4"/>
  <c r="E756" i="4"/>
  <c r="E631" i="4"/>
  <c r="E453" i="4"/>
  <c r="D396" i="4"/>
  <c r="E396" i="4"/>
  <c r="E392" i="4"/>
  <c r="D424" i="4"/>
  <c r="E460" i="4"/>
  <c r="E706" i="4"/>
  <c r="E931" i="4"/>
  <c r="E624" i="4"/>
  <c r="E890" i="4"/>
  <c r="E919" i="4"/>
  <c r="E405" i="4"/>
  <c r="E578" i="4"/>
  <c r="E676" i="4"/>
  <c r="E544" i="4"/>
  <c r="E632" i="4"/>
  <c r="E809" i="4"/>
  <c r="E815" i="4"/>
  <c r="E695" i="4"/>
  <c r="E829" i="4"/>
  <c r="J366" i="4"/>
  <c r="E400" i="4"/>
  <c r="E667" i="4"/>
  <c r="E827" i="4"/>
  <c r="E432" i="4"/>
  <c r="E525" i="4"/>
  <c r="J262" i="4"/>
  <c r="E879" i="4"/>
  <c r="E584" i="4"/>
  <c r="E894" i="4"/>
  <c r="E480" i="4"/>
  <c r="E863" i="4"/>
  <c r="E965" i="4"/>
  <c r="E724" i="4"/>
  <c r="E780" i="4"/>
  <c r="E853" i="4"/>
  <c r="E883" i="4"/>
  <c r="E964" i="4"/>
  <c r="E956" i="4"/>
  <c r="E933" i="4"/>
  <c r="E922" i="4"/>
  <c r="E908" i="4"/>
  <c r="E893" i="4"/>
  <c r="E875" i="4"/>
  <c r="E869" i="4"/>
  <c r="E858" i="4"/>
  <c r="E761" i="4"/>
  <c r="E715" i="4"/>
  <c r="E652" i="4"/>
  <c r="E548" i="4"/>
  <c r="E524" i="4"/>
  <c r="E515" i="4"/>
  <c r="E413" i="4"/>
  <c r="D413" i="4"/>
  <c r="E403" i="4"/>
  <c r="D403" i="4"/>
  <c r="E917" i="4"/>
  <c r="E880" i="4"/>
  <c r="E874" i="4"/>
  <c r="E866" i="4"/>
  <c r="E850" i="4"/>
  <c r="E845" i="4"/>
  <c r="E831" i="4"/>
  <c r="E822" i="4"/>
  <c r="E819" i="4"/>
  <c r="E808" i="4"/>
  <c r="E801" i="4"/>
  <c r="E798" i="4"/>
  <c r="E796" i="4"/>
  <c r="E792" i="4"/>
  <c r="E785" i="4"/>
  <c r="E766" i="4"/>
  <c r="E755" i="4"/>
  <c r="E752" i="4"/>
  <c r="E750" i="4"/>
  <c r="E740" i="4"/>
  <c r="E734" i="4"/>
  <c r="E730" i="4"/>
  <c r="E718" i="4"/>
  <c r="E714" i="4"/>
  <c r="E709" i="4"/>
  <c r="E698" i="4"/>
  <c r="E692" i="4"/>
  <c r="E689" i="4"/>
  <c r="E665" i="4"/>
  <c r="E660" i="4"/>
  <c r="E654" i="4"/>
  <c r="E649" i="4"/>
  <c r="E644" i="4"/>
  <c r="E628" i="4"/>
  <c r="E619" i="4"/>
  <c r="E602" i="4"/>
  <c r="E588" i="4"/>
  <c r="E570" i="4"/>
  <c r="E566" i="4"/>
  <c r="E563" i="4"/>
  <c r="E558" i="4"/>
  <c r="E537" i="4"/>
  <c r="E534" i="4"/>
  <c r="E529" i="4"/>
  <c r="E520" i="4"/>
  <c r="E517" i="4"/>
  <c r="E513" i="4"/>
  <c r="E503" i="4"/>
  <c r="E467" i="4"/>
  <c r="E455" i="4"/>
  <c r="D446" i="4"/>
  <c r="E446" i="4"/>
  <c r="E443" i="4"/>
  <c r="D443" i="4"/>
  <c r="E426" i="4"/>
  <c r="D426" i="4"/>
  <c r="D419" i="4"/>
  <c r="E419" i="4"/>
  <c r="E415" i="4"/>
  <c r="D415" i="4"/>
  <c r="J389" i="4"/>
  <c r="I389" i="4"/>
  <c r="H389" i="4"/>
  <c r="F389" i="4"/>
  <c r="G389" i="4"/>
  <c r="E385" i="4"/>
  <c r="D385" i="4"/>
  <c r="J293" i="4"/>
  <c r="D421" i="4"/>
  <c r="E944" i="4"/>
  <c r="E511" i="4"/>
  <c r="J329" i="4"/>
  <c r="G445" i="4"/>
  <c r="J445" i="4"/>
  <c r="H445" i="4"/>
  <c r="I445" i="4"/>
  <c r="F445" i="4"/>
  <c r="E929" i="4"/>
  <c r="J285" i="4"/>
  <c r="E707" i="4"/>
  <c r="E950" i="4"/>
  <c r="E583" i="4"/>
  <c r="E884" i="4"/>
  <c r="E818" i="4"/>
  <c r="E494" i="4"/>
  <c r="E569" i="4"/>
  <c r="E902" i="4"/>
  <c r="G408" i="4"/>
  <c r="J408" i="4"/>
  <c r="I408" i="4"/>
  <c r="H408" i="4"/>
  <c r="F408" i="4"/>
  <c r="E556" i="4"/>
  <c r="E799" i="4"/>
  <c r="E837" i="4"/>
  <c r="E532" i="4"/>
  <c r="E930" i="4"/>
  <c r="E955" i="4"/>
  <c r="J356" i="4"/>
  <c r="E590" i="4"/>
  <c r="D425" i="4"/>
  <c r="D433" i="4"/>
  <c r="E967" i="4"/>
  <c r="E960" i="4"/>
  <c r="E958" i="4"/>
  <c r="E940" i="4"/>
  <c r="E932" i="4"/>
  <c r="E914" i="4"/>
  <c r="E892" i="4"/>
  <c r="E876" i="4"/>
  <c r="E854" i="4"/>
  <c r="E839" i="4"/>
  <c r="E830" i="4"/>
  <c r="E824" i="4"/>
  <c r="E821" i="4"/>
  <c r="E816" i="4"/>
  <c r="E787" i="4"/>
  <c r="E784" i="4"/>
  <c r="E781" i="4"/>
  <c r="E778" i="4"/>
  <c r="E774" i="4"/>
  <c r="E771" i="4"/>
  <c r="E769" i="4"/>
  <c r="E757" i="4"/>
  <c r="E745" i="4"/>
  <c r="E691" i="4"/>
  <c r="E670" i="4"/>
  <c r="E668" i="4"/>
  <c r="E662" i="4"/>
  <c r="E635" i="4"/>
  <c r="E621" i="4"/>
  <c r="E613" i="4"/>
  <c r="E609" i="4"/>
  <c r="E585" i="4"/>
  <c r="E576" i="4"/>
  <c r="E568" i="4"/>
  <c r="E539" i="4"/>
  <c r="E505" i="4"/>
  <c r="E501" i="4"/>
  <c r="E498" i="4"/>
  <c r="E491" i="4"/>
  <c r="E472" i="4"/>
  <c r="E469" i="4"/>
  <c r="E457" i="4"/>
  <c r="E449" i="4"/>
  <c r="E437" i="4"/>
  <c r="D437" i="4"/>
  <c r="D428" i="4"/>
  <c r="E428" i="4"/>
  <c r="E409" i="4"/>
  <c r="D409" i="4"/>
  <c r="E387" i="4"/>
  <c r="D387" i="4"/>
  <c r="E826" i="4"/>
  <c r="E461" i="4"/>
  <c r="E552" i="4"/>
  <c r="D394" i="4"/>
  <c r="D389" i="4"/>
  <c r="E502" i="4"/>
  <c r="J318" i="4"/>
  <c r="E470" i="4"/>
  <c r="E612" i="4"/>
  <c r="E861" i="4"/>
  <c r="E557" i="4"/>
  <c r="E937" i="4"/>
  <c r="E934" i="4"/>
  <c r="E900" i="4"/>
  <c r="E898" i="4"/>
  <c r="E891" i="4"/>
  <c r="E889" i="4"/>
  <c r="E886" i="4"/>
  <c r="E882" i="4"/>
  <c r="E878" i="4"/>
  <c r="E870" i="4"/>
  <c r="E852" i="4"/>
  <c r="E849" i="4"/>
  <c r="E823" i="4"/>
  <c r="E806" i="4"/>
  <c r="E800" i="4"/>
  <c r="E786" i="4"/>
  <c r="E754" i="4"/>
  <c r="E748" i="4"/>
  <c r="E735" i="4"/>
  <c r="E732" i="4"/>
  <c r="E726" i="4"/>
  <c r="E722" i="4"/>
  <c r="E713" i="4"/>
  <c r="E702" i="4"/>
  <c r="E697" i="4"/>
  <c r="E693" i="4"/>
  <c r="E682" i="4"/>
  <c r="E675" i="4"/>
  <c r="E661" i="4"/>
  <c r="E658" i="4"/>
  <c r="E656" i="4"/>
  <c r="E653" i="4"/>
  <c r="E645" i="4"/>
  <c r="E642" i="4"/>
  <c r="E640" i="4"/>
  <c r="E638" i="4"/>
  <c r="E623" i="4"/>
  <c r="E606" i="4"/>
  <c r="E597" i="4"/>
  <c r="E594" i="4"/>
  <c r="E592" i="4"/>
  <c r="E587" i="4"/>
  <c r="E555" i="4"/>
  <c r="E510" i="4"/>
  <c r="E507" i="4"/>
  <c r="E496" i="4"/>
  <c r="E485" i="4"/>
  <c r="E481" i="4"/>
  <c r="E478" i="4"/>
  <c r="E463" i="4"/>
  <c r="E459" i="4"/>
  <c r="E451" i="4"/>
  <c r="E439" i="4"/>
  <c r="D439" i="4"/>
  <c r="D430" i="4"/>
  <c r="E430" i="4"/>
  <c r="E423" i="4"/>
  <c r="D423" i="4"/>
  <c r="E411" i="4"/>
  <c r="D411" i="4"/>
  <c r="E401" i="4"/>
  <c r="D401" i="4"/>
  <c r="J394" i="4"/>
  <c r="H394" i="4"/>
  <c r="F394" i="4"/>
  <c r="G394" i="4"/>
  <c r="I394" i="4"/>
  <c r="J367" i="4"/>
  <c r="E435" i="4"/>
  <c r="E905" i="4"/>
  <c r="E904" i="4"/>
  <c r="E899" i="4"/>
  <c r="E872" i="4"/>
  <c r="E844" i="4"/>
  <c r="E817" i="4"/>
  <c r="E789" i="4"/>
  <c r="E743" i="4"/>
  <c r="E680" i="4"/>
  <c r="E674" i="4"/>
  <c r="E657" i="4"/>
  <c r="E648" i="4"/>
  <c r="E634" i="4"/>
  <c r="E615" i="4"/>
  <c r="E593" i="4"/>
  <c r="E580" i="4"/>
  <c r="E538" i="4"/>
  <c r="E528" i="4"/>
  <c r="E500" i="4"/>
  <c r="E471" i="4"/>
  <c r="E458" i="4"/>
  <c r="E456" i="4"/>
  <c r="E448" i="4"/>
  <c r="D448" i="4"/>
  <c r="D414" i="4"/>
  <c r="E414" i="4"/>
  <c r="E410" i="4"/>
  <c r="D410" i="4"/>
  <c r="E391" i="4"/>
  <c r="D391" i="4"/>
  <c r="J342" i="4"/>
  <c r="J302" i="4"/>
  <c r="J300" i="4"/>
  <c r="J297" i="4"/>
  <c r="D429" i="4"/>
  <c r="D431" i="4"/>
  <c r="J265" i="4"/>
  <c r="E938" i="4"/>
  <c r="E526" i="4"/>
  <c r="E506" i="4"/>
  <c r="D436" i="4"/>
  <c r="E911" i="4"/>
  <c r="E533" i="4"/>
  <c r="E516" i="4"/>
  <c r="E508" i="4"/>
  <c r="E492" i="4"/>
  <c r="E479" i="4"/>
  <c r="E466" i="4"/>
  <c r="E464" i="4"/>
  <c r="D444" i="4"/>
  <c r="E444" i="4"/>
  <c r="E442" i="4"/>
  <c r="D442" i="4"/>
  <c r="I438" i="4"/>
  <c r="H438" i="4"/>
  <c r="E434" i="4"/>
  <c r="D434" i="4"/>
  <c r="E427" i="4"/>
  <c r="D427" i="4"/>
  <c r="H422" i="4"/>
  <c r="G422" i="4"/>
  <c r="I422" i="4"/>
  <c r="F422" i="4"/>
  <c r="J422" i="4"/>
  <c r="I420" i="4"/>
  <c r="F420" i="4"/>
  <c r="H420" i="4"/>
  <c r="G420" i="4"/>
  <c r="E418" i="4"/>
  <c r="D418" i="4"/>
  <c r="G397" i="4"/>
  <c r="F397" i="4"/>
  <c r="I397" i="4"/>
  <c r="H397" i="4"/>
  <c r="E395" i="4"/>
  <c r="D395" i="4"/>
  <c r="D393" i="4"/>
  <c r="E393" i="4"/>
  <c r="J374" i="4"/>
  <c r="J371" i="4"/>
  <c r="J369" i="4"/>
  <c r="J346" i="4"/>
  <c r="J335" i="4"/>
  <c r="J328" i="4"/>
  <c r="J325" i="4"/>
  <c r="J317" i="4"/>
  <c r="J312" i="4"/>
  <c r="D440" i="4"/>
  <c r="E412" i="4"/>
  <c r="J276" i="4"/>
  <c r="D404" i="4"/>
  <c r="E490" i="4"/>
  <c r="D420" i="4"/>
  <c r="J420" i="4"/>
  <c r="E607" i="4"/>
  <c r="J348" i="4"/>
  <c r="J254" i="4"/>
  <c r="E542" i="4"/>
  <c r="J223" i="4"/>
  <c r="J224" i="4"/>
  <c r="J421" i="4" l="1"/>
  <c r="J438" i="4"/>
  <c r="H431" i="4"/>
  <c r="J629" i="4"/>
  <c r="H452" i="4"/>
  <c r="F421" i="4"/>
  <c r="H575" i="4"/>
  <c r="I559" i="4"/>
  <c r="H543" i="4"/>
  <c r="J720" i="4"/>
  <c r="J543" i="4"/>
  <c r="F637" i="4"/>
  <c r="I421" i="4"/>
  <c r="G421" i="4"/>
  <c r="G575" i="4"/>
  <c r="F575" i="4"/>
  <c r="J404" i="4"/>
  <c r="H572" i="4"/>
  <c r="G404" i="4"/>
  <c r="G523" i="4"/>
  <c r="I604" i="4"/>
  <c r="F438" i="4"/>
  <c r="G629" i="4"/>
  <c r="F708" i="4"/>
  <c r="H404" i="4"/>
  <c r="I431" i="4"/>
  <c r="J436" i="4"/>
  <c r="G572" i="4"/>
  <c r="I629" i="4"/>
  <c r="H604" i="4"/>
  <c r="H637" i="4"/>
  <c r="F404" i="4"/>
  <c r="I572" i="4"/>
  <c r="F629" i="4"/>
  <c r="G604" i="4"/>
  <c r="I943" i="4"/>
  <c r="I916" i="4"/>
  <c r="I833" i="4"/>
  <c r="I945" i="4"/>
  <c r="J836" i="4"/>
  <c r="F846" i="4"/>
  <c r="H804" i="4"/>
  <c r="H793" i="4"/>
  <c r="F952" i="4"/>
  <c r="H867" i="4"/>
  <c r="I551" i="4"/>
  <c r="F433" i="4"/>
  <c r="H433" i="4"/>
  <c r="J452" i="4"/>
  <c r="I452" i="4"/>
  <c r="F605" i="4"/>
  <c r="H605" i="4"/>
  <c r="J605" i="4"/>
  <c r="G633" i="4"/>
  <c r="H633" i="4"/>
  <c r="J633" i="4"/>
  <c r="I770" i="4"/>
  <c r="H770" i="4"/>
  <c r="H440" i="4"/>
  <c r="J440" i="4"/>
  <c r="H811" i="4"/>
  <c r="J811" i="4"/>
  <c r="G811" i="4"/>
  <c r="G504" i="4"/>
  <c r="I504" i="4"/>
  <c r="F504" i="4"/>
  <c r="I564" i="4"/>
  <c r="F564" i="4"/>
  <c r="H564" i="4"/>
  <c r="G650" i="4"/>
  <c r="H650" i="4"/>
  <c r="F739" i="4"/>
  <c r="H739" i="4"/>
  <c r="J739" i="4"/>
  <c r="I739" i="4"/>
  <c r="I812" i="4"/>
  <c r="H812" i="4"/>
  <c r="J812" i="4"/>
  <c r="H857" i="4"/>
  <c r="I857" i="4"/>
  <c r="F857" i="4"/>
  <c r="H909" i="4"/>
  <c r="J909" i="4"/>
  <c r="G909" i="4"/>
  <c r="G864" i="4"/>
  <c r="H864" i="4"/>
  <c r="J864" i="4"/>
  <c r="H832" i="4"/>
  <c r="I832" i="4"/>
  <c r="J832" i="4"/>
  <c r="G832" i="4"/>
  <c r="G814" i="4"/>
  <c r="F814" i="4"/>
  <c r="G966" i="4"/>
  <c r="J966" i="4"/>
  <c r="H936" i="4"/>
  <c r="G936" i="4"/>
  <c r="F936" i="4"/>
  <c r="F901" i="4"/>
  <c r="H901" i="4"/>
  <c r="G901" i="4"/>
  <c r="J493" i="4"/>
  <c r="I493" i="4"/>
  <c r="H493" i="4"/>
  <c r="I547" i="4"/>
  <c r="H547" i="4"/>
  <c r="G622" i="4"/>
  <c r="H622" i="4"/>
  <c r="J622" i="4"/>
  <c r="I647" i="4"/>
  <c r="H647" i="4"/>
  <c r="F701" i="4"/>
  <c r="G701" i="4"/>
  <c r="I701" i="4"/>
  <c r="G793" i="4"/>
  <c r="J793" i="4"/>
  <c r="F803" i="4"/>
  <c r="I803" i="4"/>
  <c r="H803" i="4"/>
  <c r="F841" i="4"/>
  <c r="I841" i="4"/>
  <c r="I877" i="4"/>
  <c r="J877" i="4"/>
  <c r="F877" i="4"/>
  <c r="H877" i="4"/>
  <c r="H948" i="4"/>
  <c r="I948" i="4"/>
  <c r="G948" i="4"/>
  <c r="G855" i="4"/>
  <c r="F855" i="4"/>
  <c r="J855" i="4"/>
  <c r="J862" i="4"/>
  <c r="H862" i="4"/>
  <c r="G862" i="4"/>
  <c r="J522" i="4"/>
  <c r="H522" i="4"/>
  <c r="F522" i="4"/>
  <c r="H610" i="4"/>
  <c r="G610" i="4"/>
  <c r="F610" i="4"/>
  <c r="F678" i="4"/>
  <c r="I678" i="4"/>
  <c r="J678" i="4"/>
  <c r="H678" i="4"/>
  <c r="H851" i="4"/>
  <c r="F851" i="4"/>
  <c r="G851" i="4"/>
  <c r="J851" i="4"/>
  <c r="J450" i="4"/>
  <c r="I450" i="4"/>
  <c r="H450" i="4"/>
  <c r="J751" i="4"/>
  <c r="G751" i="4"/>
  <c r="H751" i="4"/>
  <c r="I888" i="4"/>
  <c r="F888" i="4"/>
  <c r="G888" i="4"/>
  <c r="J926" i="4"/>
  <c r="H926" i="4"/>
  <c r="I926" i="4"/>
  <c r="H954" i="4"/>
  <c r="G954" i="4"/>
  <c r="J954" i="4"/>
  <c r="G813" i="4"/>
  <c r="H813" i="4"/>
  <c r="F813" i="4"/>
  <c r="F553" i="4"/>
  <c r="H553" i="4"/>
  <c r="G553" i="4"/>
  <c r="G731" i="4"/>
  <c r="I731" i="4"/>
  <c r="F731" i="4"/>
  <c r="J731" i="4"/>
  <c r="F663" i="4"/>
  <c r="G663" i="4"/>
  <c r="J663" i="4"/>
  <c r="F664" i="4"/>
  <c r="I664" i="4"/>
  <c r="F728" i="4"/>
  <c r="H728" i="4"/>
  <c r="G728" i="4"/>
  <c r="J790" i="4"/>
  <c r="G790" i="4"/>
  <c r="H790" i="4"/>
  <c r="I804" i="4"/>
  <c r="J804" i="4"/>
  <c r="F804" i="4"/>
  <c r="G867" i="4"/>
  <c r="I867" i="4"/>
  <c r="H907" i="4"/>
  <c r="I907" i="4"/>
  <c r="F907" i="4"/>
  <c r="F923" i="4"/>
  <c r="I923" i="4"/>
  <c r="H923" i="4"/>
  <c r="I952" i="4"/>
  <c r="J952" i="4"/>
  <c r="G836" i="4"/>
  <c r="I836" i="4"/>
  <c r="F881" i="4"/>
  <c r="G881" i="4"/>
  <c r="H881" i="4"/>
  <c r="G708" i="4"/>
  <c r="J708" i="4"/>
  <c r="G666" i="4"/>
  <c r="I666" i="4"/>
  <c r="H666" i="4"/>
  <c r="I951" i="4"/>
  <c r="H951" i="4"/>
  <c r="G951" i="4"/>
  <c r="F951" i="4"/>
  <c r="F700" i="4"/>
  <c r="J700" i="4"/>
  <c r="I700" i="4"/>
  <c r="G700" i="4"/>
  <c r="F655" i="4"/>
  <c r="G655" i="4"/>
  <c r="I655" i="4"/>
  <c r="J655" i="4"/>
  <c r="I627" i="4"/>
  <c r="F627" i="4"/>
  <c r="J627" i="4"/>
  <c r="F795" i="4"/>
  <c r="G795" i="4"/>
  <c r="F646" i="4"/>
  <c r="G646" i="4"/>
  <c r="J646" i="4"/>
  <c r="H630" i="4"/>
  <c r="G630" i="4"/>
  <c r="F630" i="4"/>
  <c r="I912" i="4"/>
  <c r="H912" i="4"/>
  <c r="F912" i="4"/>
  <c r="G912" i="4"/>
  <c r="F440" i="4"/>
  <c r="J547" i="4"/>
  <c r="J564" i="4"/>
  <c r="G450" i="4"/>
  <c r="H627" i="4"/>
  <c r="J650" i="4"/>
  <c r="J664" i="4"/>
  <c r="J728" i="4"/>
  <c r="G770" i="4"/>
  <c r="I793" i="4"/>
  <c r="H795" i="4"/>
  <c r="G841" i="4"/>
  <c r="F867" i="4"/>
  <c r="G923" i="4"/>
  <c r="F954" i="4"/>
  <c r="F862" i="4"/>
  <c r="F836" i="4"/>
  <c r="G522" i="4"/>
  <c r="I633" i="4"/>
  <c r="F812" i="4"/>
  <c r="H952" i="4"/>
  <c r="I813" i="4"/>
  <c r="F647" i="4"/>
  <c r="I790" i="4"/>
  <c r="H655" i="4"/>
  <c r="J951" i="4"/>
  <c r="F832" i="4"/>
  <c r="I811" i="4"/>
  <c r="G605" i="4"/>
  <c r="J504" i="4"/>
  <c r="G547" i="4"/>
  <c r="I728" i="4"/>
  <c r="F650" i="4"/>
  <c r="H664" i="4"/>
  <c r="H701" i="4"/>
  <c r="F751" i="4"/>
  <c r="F770" i="4"/>
  <c r="I795" i="4"/>
  <c r="J841" i="4"/>
  <c r="J857" i="4"/>
  <c r="F909" i="4"/>
  <c r="G926" i="4"/>
  <c r="J948" i="4"/>
  <c r="F864" i="4"/>
  <c r="F622" i="4"/>
  <c r="G493" i="4"/>
  <c r="J888" i="4"/>
  <c r="I855" i="4"/>
  <c r="J907" i="4"/>
  <c r="H646" i="4"/>
  <c r="J881" i="4"/>
  <c r="I708" i="4"/>
  <c r="J630" i="4"/>
  <c r="I610" i="4"/>
  <c r="H731" i="4"/>
  <c r="J468" i="4"/>
  <c r="J575" i="4"/>
  <c r="G543" i="4"/>
  <c r="F805" i="4"/>
  <c r="J835" i="4"/>
  <c r="F546" i="4"/>
  <c r="G939" i="4"/>
  <c r="I683" i="4"/>
  <c r="G810" i="4"/>
  <c r="J477" i="4"/>
  <c r="I760" i="4"/>
  <c r="F810" i="4"/>
  <c r="H859" i="4"/>
  <c r="G887" i="4"/>
  <c r="G959" i="4"/>
  <c r="F729" i="4"/>
  <c r="G843" i="4"/>
  <c r="G474" i="4"/>
  <c r="G574" i="4"/>
  <c r="I591" i="4"/>
  <c r="F669" i="4"/>
  <c r="J710" i="4"/>
  <c r="J865" i="4"/>
  <c r="H928" i="4"/>
  <c r="I626" i="4"/>
  <c r="F618" i="4"/>
  <c r="J603" i="4"/>
  <c r="J577" i="4"/>
  <c r="G591" i="4"/>
  <c r="H710" i="4"/>
  <c r="F720" i="4"/>
  <c r="J760" i="4"/>
  <c r="G846" i="4"/>
  <c r="G859" i="4"/>
  <c r="I887" i="4"/>
  <c r="J946" i="4"/>
  <c r="H626" i="4"/>
  <c r="H546" i="4"/>
  <c r="F916" i="4"/>
  <c r="I843" i="4"/>
  <c r="G962" i="4"/>
  <c r="G596" i="4"/>
  <c r="H574" i="4"/>
  <c r="G669" i="4"/>
  <c r="I797" i="4"/>
  <c r="H805" i="4"/>
  <c r="J810" i="4"/>
  <c r="G833" i="4"/>
  <c r="G835" i="4"/>
  <c r="G865" i="4"/>
  <c r="G928" i="4"/>
  <c r="J959" i="4"/>
  <c r="G618" i="4"/>
  <c r="J729" i="4"/>
  <c r="I939" i="4"/>
  <c r="J681" i="4"/>
  <c r="F641" i="4"/>
  <c r="F946" i="4"/>
  <c r="F477" i="4"/>
  <c r="F523" i="4"/>
  <c r="H577" i="4"/>
  <c r="J591" i="4"/>
  <c r="I669" i="4"/>
  <c r="I710" i="4"/>
  <c r="I720" i="4"/>
  <c r="J797" i="4"/>
  <c r="I805" i="4"/>
  <c r="F835" i="4"/>
  <c r="I859" i="4"/>
  <c r="H865" i="4"/>
  <c r="F887" i="4"/>
  <c r="I928" i="4"/>
  <c r="F943" i="4"/>
  <c r="G946" i="4"/>
  <c r="I959" i="4"/>
  <c r="J626" i="4"/>
  <c r="I546" i="4"/>
  <c r="J618" i="4"/>
  <c r="J916" i="4"/>
  <c r="I729" i="4"/>
  <c r="F596" i="4"/>
  <c r="G477" i="4"/>
  <c r="J523" i="4"/>
  <c r="H669" i="4"/>
  <c r="I477" i="4"/>
  <c r="H523" i="4"/>
  <c r="H833" i="4"/>
  <c r="F591" i="4"/>
  <c r="F710" i="4"/>
  <c r="G720" i="4"/>
  <c r="J805" i="4"/>
  <c r="I810" i="4"/>
  <c r="F833" i="4"/>
  <c r="H835" i="4"/>
  <c r="F859" i="4"/>
  <c r="I865" i="4"/>
  <c r="H887" i="4"/>
  <c r="F928" i="4"/>
  <c r="I946" i="4"/>
  <c r="F959" i="4"/>
  <c r="F626" i="4"/>
  <c r="J962" i="4"/>
  <c r="J546" i="4"/>
  <c r="I618" i="4"/>
  <c r="G916" i="4"/>
  <c r="H729" i="4"/>
  <c r="H945" i="4"/>
  <c r="F962" i="4"/>
  <c r="H962" i="4"/>
  <c r="J474" i="4"/>
  <c r="H474" i="4"/>
  <c r="F474" i="4"/>
  <c r="G577" i="4"/>
  <c r="I577" i="4"/>
  <c r="H764" i="4"/>
  <c r="I764" i="4"/>
  <c r="G764" i="4"/>
  <c r="F764" i="4"/>
  <c r="J846" i="4"/>
  <c r="H846" i="4"/>
  <c r="H963" i="4"/>
  <c r="J963" i="4"/>
  <c r="I963" i="4"/>
  <c r="G963" i="4"/>
  <c r="F772" i="4"/>
  <c r="J772" i="4"/>
  <c r="G772" i="4"/>
  <c r="H753" i="4"/>
  <c r="F753" i="4"/>
  <c r="J753" i="4"/>
  <c r="F671" i="4"/>
  <c r="I671" i="4"/>
  <c r="H671" i="4"/>
  <c r="J671" i="4"/>
  <c r="F957" i="4"/>
  <c r="I957" i="4"/>
  <c r="H957" i="4"/>
  <c r="J957" i="4"/>
  <c r="G603" i="4"/>
  <c r="H603" i="4"/>
  <c r="I603" i="4"/>
  <c r="I641" i="4"/>
  <c r="H641" i="4"/>
  <c r="F758" i="4"/>
  <c r="H758" i="4"/>
  <c r="G758" i="4"/>
  <c r="I758" i="4"/>
  <c r="G797" i="4"/>
  <c r="F797" i="4"/>
  <c r="G847" i="4"/>
  <c r="I847" i="4"/>
  <c r="H847" i="4"/>
  <c r="F847" i="4"/>
  <c r="H939" i="4"/>
  <c r="F939" i="4"/>
  <c r="F614" i="4"/>
  <c r="J614" i="4"/>
  <c r="G614" i="4"/>
  <c r="J945" i="4"/>
  <c r="F945" i="4"/>
  <c r="J807" i="4"/>
  <c r="G807" i="4"/>
  <c r="F807" i="4"/>
  <c r="I807" i="4"/>
  <c r="H807" i="4"/>
  <c r="H659" i="4"/>
  <c r="G659" i="4"/>
  <c r="F659" i="4"/>
  <c r="J596" i="4"/>
  <c r="I596" i="4"/>
  <c r="G913" i="4"/>
  <c r="F913" i="4"/>
  <c r="J913" i="4"/>
  <c r="F716" i="4"/>
  <c r="J716" i="4"/>
  <c r="H716" i="4"/>
  <c r="F683" i="4"/>
  <c r="G683" i="4"/>
  <c r="H683" i="4"/>
  <c r="H685" i="4"/>
  <c r="G685" i="4"/>
  <c r="F685" i="4"/>
  <c r="I685" i="4"/>
  <c r="F705" i="4"/>
  <c r="J705" i="4"/>
  <c r="G705" i="4"/>
  <c r="I705" i="4"/>
  <c r="J574" i="4"/>
  <c r="I574" i="4"/>
  <c r="F760" i="4"/>
  <c r="H760" i="4"/>
  <c r="G794" i="4"/>
  <c r="F794" i="4"/>
  <c r="H794" i="4"/>
  <c r="H943" i="4"/>
  <c r="G943" i="4"/>
  <c r="H843" i="4"/>
  <c r="J843" i="4"/>
  <c r="I681" i="4"/>
  <c r="F681" i="4"/>
  <c r="H681" i="4"/>
  <c r="J561" i="4"/>
  <c r="F561" i="4"/>
  <c r="G561" i="4"/>
  <c r="H561" i="4"/>
  <c r="H704" i="4"/>
  <c r="I704" i="4"/>
  <c r="G704" i="4"/>
  <c r="J704" i="4"/>
  <c r="I509" i="4"/>
  <c r="F509" i="4"/>
  <c r="H509" i="4"/>
  <c r="J639" i="4"/>
  <c r="G639" i="4"/>
  <c r="I639" i="4"/>
  <c r="H639" i="4"/>
  <c r="H742" i="4"/>
  <c r="G742" i="4"/>
  <c r="F742" i="4"/>
  <c r="I742" i="4"/>
  <c r="H961" i="4"/>
  <c r="G961" i="4"/>
  <c r="I961" i="4"/>
  <c r="F961" i="4"/>
  <c r="J604" i="4"/>
  <c r="I543" i="4"/>
  <c r="H551" i="4"/>
  <c r="F811" i="4"/>
  <c r="H483" i="4"/>
  <c r="H966" i="4"/>
  <c r="I901" i="4"/>
  <c r="G803" i="4"/>
  <c r="I659" i="4"/>
  <c r="I936" i="4"/>
  <c r="J901" i="4"/>
  <c r="H814" i="4"/>
  <c r="J519" i="4"/>
  <c r="G519" i="4"/>
  <c r="I519" i="4"/>
  <c r="F551" i="4"/>
  <c r="F519" i="4"/>
  <c r="G551" i="4"/>
  <c r="F483" i="4"/>
  <c r="I462" i="4"/>
  <c r="F521" i="4"/>
  <c r="F567" i="4"/>
  <c r="J521" i="4"/>
  <c r="H567" i="4"/>
  <c r="G433" i="4"/>
  <c r="J641" i="4"/>
  <c r="I483" i="4"/>
  <c r="J647" i="4"/>
  <c r="G739" i="4"/>
  <c r="H772" i="4"/>
  <c r="I814" i="4"/>
  <c r="I553" i="4"/>
  <c r="H663" i="4"/>
  <c r="J794" i="4"/>
  <c r="H913" i="4"/>
  <c r="I614" i="4"/>
  <c r="J666" i="4"/>
  <c r="F966" i="4"/>
  <c r="G509" i="4"/>
  <c r="J553" i="4"/>
  <c r="I966" i="4"/>
  <c r="I772" i="4"/>
  <c r="G753" i="4"/>
  <c r="J814" i="4"/>
  <c r="G671" i="4"/>
  <c r="G535" i="4"/>
  <c r="J803" i="4"/>
  <c r="G716" i="4"/>
  <c r="I440" i="4"/>
  <c r="H521" i="4"/>
  <c r="I601" i="4"/>
  <c r="H495" i="4"/>
  <c r="F476" i="4"/>
  <c r="G521" i="4"/>
  <c r="J475" i="4"/>
  <c r="I384" i="4"/>
  <c r="F601" i="4"/>
  <c r="G765" i="4"/>
  <c r="I475" i="4"/>
  <c r="H484" i="4"/>
  <c r="H601" i="4"/>
  <c r="I828" i="4"/>
  <c r="J484" i="4"/>
  <c r="I386" i="4"/>
  <c r="G495" i="4"/>
  <c r="F565" i="4"/>
  <c r="J476" i="4"/>
  <c r="I565" i="4"/>
  <c r="I535" i="4"/>
  <c r="G475" i="4"/>
  <c r="I495" i="4"/>
  <c r="F535" i="4"/>
  <c r="H535" i="4"/>
  <c r="F475" i="4"/>
  <c r="F495" i="4"/>
  <c r="H565" i="4"/>
  <c r="G565" i="4"/>
  <c r="I476" i="4"/>
  <c r="I573" i="4"/>
  <c r="F518" i="4"/>
  <c r="F643" i="4"/>
  <c r="H476" i="4"/>
  <c r="I688" i="4"/>
  <c r="J688" i="4"/>
  <c r="F398" i="4"/>
  <c r="G601" i="4"/>
  <c r="J637" i="4"/>
  <c r="I637" i="4"/>
  <c r="J921" i="4"/>
  <c r="H436" i="4"/>
  <c r="I436" i="4"/>
  <c r="H462" i="4"/>
  <c r="H398" i="4"/>
  <c r="G402" i="4"/>
  <c r="F431" i="4"/>
  <c r="J431" i="4"/>
  <c r="G436" i="4"/>
  <c r="G462" i="4"/>
  <c r="G452" i="4"/>
  <c r="G483" i="4"/>
  <c r="G398" i="4"/>
  <c r="F402" i="4"/>
  <c r="F462" i="4"/>
  <c r="I398" i="4"/>
  <c r="G468" i="4"/>
  <c r="J802" i="4"/>
  <c r="F925" i="4"/>
  <c r="H468" i="4"/>
  <c r="G925" i="4"/>
  <c r="I885" i="4"/>
  <c r="F425" i="4"/>
  <c r="F468" i="4"/>
  <c r="H828" i="4"/>
  <c r="J429" i="4"/>
  <c r="G384" i="4"/>
  <c r="F573" i="4"/>
  <c r="I643" i="4"/>
  <c r="J425" i="4"/>
  <c r="G573" i="4"/>
  <c r="F721" i="4"/>
  <c r="J643" i="4"/>
  <c r="H384" i="4"/>
  <c r="F765" i="4"/>
  <c r="I925" i="4"/>
  <c r="I921" i="4"/>
  <c r="I425" i="4"/>
  <c r="H573" i="4"/>
  <c r="J925" i="4"/>
  <c r="G643" i="4"/>
  <c r="F384" i="4"/>
  <c r="F536" i="4"/>
  <c r="H765" i="4"/>
  <c r="H721" i="4"/>
  <c r="G489" i="4"/>
  <c r="H425" i="4"/>
  <c r="I402" i="4"/>
  <c r="F386" i="4"/>
  <c r="J567" i="4"/>
  <c r="I567" i="4"/>
  <c r="J572" i="4"/>
  <c r="I489" i="4"/>
  <c r="F559" i="4"/>
  <c r="H489" i="4"/>
  <c r="J402" i="4"/>
  <c r="I484" i="4"/>
  <c r="J386" i="4"/>
  <c r="G541" i="4"/>
  <c r="G386" i="4"/>
  <c r="F429" i="4"/>
  <c r="J433" i="4"/>
  <c r="J673" i="4"/>
  <c r="I429" i="4"/>
  <c r="H429" i="4"/>
  <c r="J536" i="4"/>
  <c r="J791" i="4"/>
  <c r="I433" i="4"/>
  <c r="I536" i="4"/>
  <c r="H536" i="4"/>
  <c r="H802" i="4"/>
  <c r="G559" i="4"/>
  <c r="F582" i="4"/>
  <c r="F484" i="4"/>
  <c r="J559" i="4"/>
  <c r="F489" i="4"/>
  <c r="I518" i="4"/>
  <c r="G582" i="4"/>
  <c r="J582" i="4"/>
  <c r="H582" i="4"/>
  <c r="J765" i="4"/>
  <c r="F540" i="4"/>
  <c r="G921" i="4"/>
  <c r="J721" i="4"/>
  <c r="J684" i="4"/>
  <c r="G540" i="4"/>
  <c r="H684" i="4"/>
  <c r="I673" i="4"/>
  <c r="F921" i="4"/>
  <c r="H688" i="4"/>
  <c r="G688" i="4"/>
  <c r="H791" i="4"/>
  <c r="H540" i="4"/>
  <c r="G518" i="4"/>
  <c r="H518" i="4"/>
  <c r="F541" i="4"/>
  <c r="H541" i="4"/>
  <c r="G802" i="4"/>
  <c r="J540" i="4"/>
  <c r="G721" i="4"/>
  <c r="I541" i="4"/>
  <c r="F802" i="4"/>
  <c r="F684" i="4"/>
  <c r="G684" i="4"/>
  <c r="F560" i="4"/>
  <c r="F885" i="4"/>
  <c r="G828" i="4"/>
  <c r="F828" i="4"/>
  <c r="H673" i="4"/>
  <c r="G673" i="4"/>
  <c r="F454" i="4"/>
  <c r="J454" i="4"/>
  <c r="H454" i="4"/>
  <c r="G560" i="4"/>
  <c r="J885" i="4"/>
  <c r="F791" i="4"/>
  <c r="I791" i="4"/>
  <c r="J486" i="4"/>
  <c r="H486" i="4"/>
  <c r="G486" i="4"/>
  <c r="I486" i="4"/>
  <c r="J736" i="4"/>
  <c r="H736" i="4"/>
  <c r="G736" i="4"/>
  <c r="F736" i="4"/>
  <c r="I454" i="4"/>
  <c r="G885" i="4"/>
  <c r="J560" i="4"/>
  <c r="I560" i="4"/>
  <c r="J286" i="4"/>
  <c r="J304" i="4"/>
  <c r="J427" i="4"/>
  <c r="H427" i="4"/>
  <c r="F427" i="4"/>
  <c r="I427" i="4"/>
  <c r="G427" i="4"/>
  <c r="J500" i="4"/>
  <c r="F500" i="4"/>
  <c r="H500" i="4"/>
  <c r="G500" i="4"/>
  <c r="I500" i="4"/>
  <c r="I580" i="4"/>
  <c r="G580" i="4"/>
  <c r="F580" i="4"/>
  <c r="J580" i="4"/>
  <c r="H580" i="4"/>
  <c r="I496" i="4"/>
  <c r="F496" i="4"/>
  <c r="G496" i="4"/>
  <c r="J496" i="4"/>
  <c r="H496" i="4"/>
  <c r="I653" i="4"/>
  <c r="F653" i="4"/>
  <c r="J653" i="4"/>
  <c r="H653" i="4"/>
  <c r="G653" i="4"/>
  <c r="J675" i="4"/>
  <c r="F675" i="4"/>
  <c r="G675" i="4"/>
  <c r="H675" i="4"/>
  <c r="I675" i="4"/>
  <c r="I786" i="4"/>
  <c r="G786" i="4"/>
  <c r="F786" i="4"/>
  <c r="J786" i="4"/>
  <c r="H786" i="4"/>
  <c r="I823" i="4"/>
  <c r="J823" i="4"/>
  <c r="F823" i="4"/>
  <c r="H823" i="4"/>
  <c r="G823" i="4"/>
  <c r="I889" i="4"/>
  <c r="G889" i="4"/>
  <c r="F889" i="4"/>
  <c r="J889" i="4"/>
  <c r="H889" i="4"/>
  <c r="J470" i="4"/>
  <c r="I470" i="4"/>
  <c r="H470" i="4"/>
  <c r="F470" i="4"/>
  <c r="G470" i="4"/>
  <c r="J298" i="4"/>
  <c r="J428" i="4"/>
  <c r="G428" i="4"/>
  <c r="F428" i="4"/>
  <c r="I428" i="4"/>
  <c r="H428" i="4"/>
  <c r="I539" i="4"/>
  <c r="G539" i="4"/>
  <c r="F539" i="4"/>
  <c r="H539" i="4"/>
  <c r="J539" i="4"/>
  <c r="G621" i="4"/>
  <c r="J621" i="4"/>
  <c r="I621" i="4"/>
  <c r="F621" i="4"/>
  <c r="H621" i="4"/>
  <c r="I757" i="4"/>
  <c r="H757" i="4"/>
  <c r="G757" i="4"/>
  <c r="J757" i="4"/>
  <c r="F757" i="4"/>
  <c r="J516" i="4"/>
  <c r="I516" i="4"/>
  <c r="G516" i="4"/>
  <c r="F516" i="4"/>
  <c r="H516" i="4"/>
  <c r="G657" i="4"/>
  <c r="F657" i="4"/>
  <c r="H657" i="4"/>
  <c r="I657" i="4"/>
  <c r="J657" i="4"/>
  <c r="J324" i="4"/>
  <c r="J381" i="4"/>
  <c r="F658" i="4"/>
  <c r="H658" i="4"/>
  <c r="I658" i="4"/>
  <c r="J658" i="4"/>
  <c r="G658" i="4"/>
  <c r="J882" i="4"/>
  <c r="I882" i="4"/>
  <c r="H882" i="4"/>
  <c r="F882" i="4"/>
  <c r="G882" i="4"/>
  <c r="I900" i="4"/>
  <c r="G900" i="4"/>
  <c r="H900" i="4"/>
  <c r="J900" i="4"/>
  <c r="F900" i="4"/>
  <c r="G501" i="4"/>
  <c r="F501" i="4"/>
  <c r="I501" i="4"/>
  <c r="J501" i="4"/>
  <c r="H501" i="4"/>
  <c r="J668" i="4"/>
  <c r="G668" i="4"/>
  <c r="H668" i="4"/>
  <c r="F668" i="4"/>
  <c r="I668" i="4"/>
  <c r="I778" i="4"/>
  <c r="G778" i="4"/>
  <c r="H778" i="4"/>
  <c r="F778" i="4"/>
  <c r="J778" i="4"/>
  <c r="F892" i="4"/>
  <c r="G892" i="4"/>
  <c r="I892" i="4"/>
  <c r="J892" i="4"/>
  <c r="H892" i="4"/>
  <c r="G556" i="4"/>
  <c r="I556" i="4"/>
  <c r="F556" i="4"/>
  <c r="J556" i="4"/>
  <c r="H556" i="4"/>
  <c r="F569" i="4"/>
  <c r="I569" i="4"/>
  <c r="J569" i="4"/>
  <c r="H569" i="4"/>
  <c r="G569" i="4"/>
  <c r="G818" i="4"/>
  <c r="I818" i="4"/>
  <c r="H818" i="4"/>
  <c r="J818" i="4"/>
  <c r="F818" i="4"/>
  <c r="J264" i="4"/>
  <c r="J243" i="4"/>
  <c r="J338" i="4"/>
  <c r="J358" i="4"/>
  <c r="G558" i="4"/>
  <c r="H558" i="4"/>
  <c r="J558" i="4"/>
  <c r="I558" i="4"/>
  <c r="F558" i="4"/>
  <c r="H654" i="4"/>
  <c r="J654" i="4"/>
  <c r="G654" i="4"/>
  <c r="F654" i="4"/>
  <c r="I654" i="4"/>
  <c r="I689" i="4"/>
  <c r="J689" i="4"/>
  <c r="H689" i="4"/>
  <c r="G689" i="4"/>
  <c r="F689" i="4"/>
  <c r="G755" i="4"/>
  <c r="F755" i="4"/>
  <c r="I755" i="4"/>
  <c r="J755" i="4"/>
  <c r="H755" i="4"/>
  <c r="J801" i="4"/>
  <c r="I801" i="4"/>
  <c r="G801" i="4"/>
  <c r="F801" i="4"/>
  <c r="H801" i="4"/>
  <c r="H874" i="4"/>
  <c r="G874" i="4"/>
  <c r="J874" i="4"/>
  <c r="I874" i="4"/>
  <c r="F874" i="4"/>
  <c r="J347" i="4"/>
  <c r="J893" i="4"/>
  <c r="H893" i="4"/>
  <c r="I893" i="4"/>
  <c r="F893" i="4"/>
  <c r="G893" i="4"/>
  <c r="F956" i="4"/>
  <c r="H956" i="4"/>
  <c r="I956" i="4"/>
  <c r="J956" i="4"/>
  <c r="G956" i="4"/>
  <c r="J396" i="4"/>
  <c r="I396" i="4"/>
  <c r="F396" i="4"/>
  <c r="H396" i="4"/>
  <c r="G396" i="4"/>
  <c r="H756" i="4"/>
  <c r="J756" i="4"/>
  <c r="G756" i="4"/>
  <c r="I756" i="4"/>
  <c r="F756" i="4"/>
  <c r="I497" i="4"/>
  <c r="G497" i="4"/>
  <c r="H497" i="4"/>
  <c r="F497" i="4"/>
  <c r="J497" i="4"/>
  <c r="F871" i="4"/>
  <c r="I871" i="4"/>
  <c r="H871" i="4"/>
  <c r="G871" i="4"/>
  <c r="J871" i="4"/>
  <c r="F699" i="4"/>
  <c r="J699" i="4"/>
  <c r="H699" i="4"/>
  <c r="I699" i="4"/>
  <c r="G699" i="4"/>
  <c r="G773" i="4"/>
  <c r="I773" i="4"/>
  <c r="J773" i="4"/>
  <c r="F773" i="4"/>
  <c r="H773" i="4"/>
  <c r="I820" i="4"/>
  <c r="H820" i="4"/>
  <c r="J820" i="4"/>
  <c r="G820" i="4"/>
  <c r="F820" i="4"/>
  <c r="J352" i="4"/>
  <c r="I767" i="4"/>
  <c r="G767" i="4"/>
  <c r="F767" i="4"/>
  <c r="H767" i="4"/>
  <c r="J767" i="4"/>
  <c r="H549" i="4"/>
  <c r="I549" i="4"/>
  <c r="J549" i="4"/>
  <c r="F549" i="4"/>
  <c r="G549" i="4"/>
  <c r="F586" i="4"/>
  <c r="J586" i="4"/>
  <c r="I586" i="4"/>
  <c r="H586" i="4"/>
  <c r="G586" i="4"/>
  <c r="J617" i="4"/>
  <c r="H617" i="4"/>
  <c r="I617" i="4"/>
  <c r="G617" i="4"/>
  <c r="F617" i="4"/>
  <c r="H725" i="4"/>
  <c r="G725" i="4"/>
  <c r="J725" i="4"/>
  <c r="F725" i="4"/>
  <c r="I725" i="4"/>
  <c r="I903" i="4"/>
  <c r="J903" i="4"/>
  <c r="F903" i="4"/>
  <c r="H903" i="4"/>
  <c r="G903" i="4"/>
  <c r="H918" i="4"/>
  <c r="J918" i="4"/>
  <c r="I918" i="4"/>
  <c r="F918" i="4"/>
  <c r="G918" i="4"/>
  <c r="J288" i="4"/>
  <c r="F482" i="4"/>
  <c r="H482" i="4"/>
  <c r="J482" i="4"/>
  <c r="G482" i="4"/>
  <c r="I482" i="4"/>
  <c r="J749" i="4"/>
  <c r="H749" i="4"/>
  <c r="I749" i="4"/>
  <c r="F749" i="4"/>
  <c r="G749" i="4"/>
  <c r="J260" i="4"/>
  <c r="H390" i="4"/>
  <c r="F390" i="4"/>
  <c r="I390" i="4"/>
  <c r="G390" i="4"/>
  <c r="J390" i="4"/>
  <c r="J838" i="4"/>
  <c r="G838" i="4"/>
  <c r="F838" i="4"/>
  <c r="I838" i="4"/>
  <c r="H838" i="4"/>
  <c r="F636" i="4"/>
  <c r="H636" i="4"/>
  <c r="J636" i="4"/>
  <c r="I636" i="4"/>
  <c r="G636" i="4"/>
  <c r="F949" i="4"/>
  <c r="J949" i="4"/>
  <c r="G949" i="4"/>
  <c r="I949" i="4"/>
  <c r="H949" i="4"/>
  <c r="F679" i="4"/>
  <c r="J679" i="4"/>
  <c r="H679" i="4"/>
  <c r="G679" i="4"/>
  <c r="I679" i="4"/>
  <c r="I579" i="4"/>
  <c r="F579" i="4"/>
  <c r="J579" i="4"/>
  <c r="G579" i="4"/>
  <c r="H579" i="4"/>
  <c r="H897" i="4"/>
  <c r="J897" i="4"/>
  <c r="F897" i="4"/>
  <c r="I897" i="4"/>
  <c r="G897" i="4"/>
  <c r="G599" i="4"/>
  <c r="I599" i="4"/>
  <c r="H599" i="4"/>
  <c r="J599" i="4"/>
  <c r="F599" i="4"/>
  <c r="J316" i="4"/>
  <c r="H417" i="4"/>
  <c r="I417" i="4"/>
  <c r="F417" i="4"/>
  <c r="J417" i="4"/>
  <c r="G417" i="4"/>
  <c r="J776" i="4"/>
  <c r="G776" i="4"/>
  <c r="F776" i="4"/>
  <c r="H776" i="4"/>
  <c r="I776" i="4"/>
  <c r="G687" i="4"/>
  <c r="J687" i="4"/>
  <c r="F687" i="4"/>
  <c r="H687" i="4"/>
  <c r="I687" i="4"/>
  <c r="I746" i="4"/>
  <c r="F746" i="4"/>
  <c r="H746" i="4"/>
  <c r="J746" i="4"/>
  <c r="G746" i="4"/>
  <c r="F412" i="4"/>
  <c r="G412" i="4"/>
  <c r="I412" i="4"/>
  <c r="H412" i="4"/>
  <c r="J412" i="4"/>
  <c r="J291" i="4"/>
  <c r="J306" i="4"/>
  <c r="J321" i="4"/>
  <c r="J364" i="4"/>
  <c r="F418" i="4"/>
  <c r="G418" i="4"/>
  <c r="H418" i="4"/>
  <c r="J418" i="4"/>
  <c r="I418" i="4"/>
  <c r="J466" i="4"/>
  <c r="F466" i="4"/>
  <c r="I466" i="4"/>
  <c r="G466" i="4"/>
  <c r="H466" i="4"/>
  <c r="F526" i="4"/>
  <c r="J526" i="4"/>
  <c r="I526" i="4"/>
  <c r="H526" i="4"/>
  <c r="G526" i="4"/>
  <c r="J228" i="4"/>
  <c r="J289" i="4"/>
  <c r="J391" i="4"/>
  <c r="F391" i="4"/>
  <c r="I391" i="4"/>
  <c r="G391" i="4"/>
  <c r="H391" i="4"/>
  <c r="I448" i="4"/>
  <c r="J448" i="4"/>
  <c r="G448" i="4"/>
  <c r="F448" i="4"/>
  <c r="H448" i="4"/>
  <c r="G471" i="4"/>
  <c r="H471" i="4"/>
  <c r="J471" i="4"/>
  <c r="F471" i="4"/>
  <c r="I471" i="4"/>
  <c r="J648" i="4"/>
  <c r="F648" i="4"/>
  <c r="I648" i="4"/>
  <c r="H648" i="4"/>
  <c r="G648" i="4"/>
  <c r="H680" i="4"/>
  <c r="I680" i="4"/>
  <c r="J680" i="4"/>
  <c r="G680" i="4"/>
  <c r="F680" i="4"/>
  <c r="G743" i="4"/>
  <c r="J743" i="4"/>
  <c r="H743" i="4"/>
  <c r="I743" i="4"/>
  <c r="F743" i="4"/>
  <c r="H789" i="4"/>
  <c r="G789" i="4"/>
  <c r="I789" i="4"/>
  <c r="F789" i="4"/>
  <c r="J789" i="4"/>
  <c r="I817" i="4"/>
  <c r="J817" i="4"/>
  <c r="H817" i="4"/>
  <c r="F817" i="4"/>
  <c r="G817" i="4"/>
  <c r="H844" i="4"/>
  <c r="J844" i="4"/>
  <c r="G844" i="4"/>
  <c r="F844" i="4"/>
  <c r="I844" i="4"/>
  <c r="I899" i="4"/>
  <c r="J899" i="4"/>
  <c r="H899" i="4"/>
  <c r="F899" i="4"/>
  <c r="G899" i="4"/>
  <c r="G905" i="4"/>
  <c r="F905" i="4"/>
  <c r="I905" i="4"/>
  <c r="J905" i="4"/>
  <c r="H905" i="4"/>
  <c r="J301" i="4"/>
  <c r="J345" i="4"/>
  <c r="J361" i="4"/>
  <c r="J370" i="4"/>
  <c r="G423" i="4"/>
  <c r="J423" i="4"/>
  <c r="I423" i="4"/>
  <c r="H423" i="4"/>
  <c r="F423" i="4"/>
  <c r="I451" i="4"/>
  <c r="J451" i="4"/>
  <c r="H451" i="4"/>
  <c r="F451" i="4"/>
  <c r="G451" i="4"/>
  <c r="F459" i="4"/>
  <c r="I459" i="4"/>
  <c r="G459" i="4"/>
  <c r="J459" i="4"/>
  <c r="H459" i="4"/>
  <c r="H510" i="4"/>
  <c r="G510" i="4"/>
  <c r="I510" i="4"/>
  <c r="F510" i="4"/>
  <c r="J510" i="4"/>
  <c r="I592" i="4"/>
  <c r="G592" i="4"/>
  <c r="J592" i="4"/>
  <c r="F592" i="4"/>
  <c r="H592" i="4"/>
  <c r="H606" i="4"/>
  <c r="J606" i="4"/>
  <c r="F606" i="4"/>
  <c r="G606" i="4"/>
  <c r="I606" i="4"/>
  <c r="F623" i="4"/>
  <c r="J623" i="4"/>
  <c r="I623" i="4"/>
  <c r="G623" i="4"/>
  <c r="H623" i="4"/>
  <c r="I640" i="4"/>
  <c r="F640" i="4"/>
  <c r="G640" i="4"/>
  <c r="J640" i="4"/>
  <c r="H640" i="4"/>
  <c r="I693" i="4"/>
  <c r="H693" i="4"/>
  <c r="F693" i="4"/>
  <c r="G693" i="4"/>
  <c r="J693" i="4"/>
  <c r="F702" i="4"/>
  <c r="J702" i="4"/>
  <c r="I702" i="4"/>
  <c r="G702" i="4"/>
  <c r="H702" i="4"/>
  <c r="J732" i="4"/>
  <c r="G732" i="4"/>
  <c r="F732" i="4"/>
  <c r="I732" i="4"/>
  <c r="H732" i="4"/>
  <c r="J735" i="4"/>
  <c r="I735" i="4"/>
  <c r="F735" i="4"/>
  <c r="G735" i="4"/>
  <c r="H735" i="4"/>
  <c r="J934" i="4"/>
  <c r="H934" i="4"/>
  <c r="G934" i="4"/>
  <c r="F934" i="4"/>
  <c r="I934" i="4"/>
  <c r="H502" i="4"/>
  <c r="G502" i="4"/>
  <c r="I502" i="4"/>
  <c r="J502" i="4"/>
  <c r="F502" i="4"/>
  <c r="J351" i="4"/>
  <c r="J449" i="4"/>
  <c r="H449" i="4"/>
  <c r="F449" i="4"/>
  <c r="I449" i="4"/>
  <c r="G449" i="4"/>
  <c r="H472" i="4"/>
  <c r="J472" i="4"/>
  <c r="F472" i="4"/>
  <c r="G472" i="4"/>
  <c r="I472" i="4"/>
  <c r="J498" i="4"/>
  <c r="G498" i="4"/>
  <c r="H498" i="4"/>
  <c r="I498" i="4"/>
  <c r="F498" i="4"/>
  <c r="F505" i="4"/>
  <c r="I505" i="4"/>
  <c r="J505" i="4"/>
  <c r="G505" i="4"/>
  <c r="H505" i="4"/>
  <c r="I585" i="4"/>
  <c r="F585" i="4"/>
  <c r="G585" i="4"/>
  <c r="H585" i="4"/>
  <c r="J585" i="4"/>
  <c r="F613" i="4"/>
  <c r="J613" i="4"/>
  <c r="I613" i="4"/>
  <c r="H613" i="4"/>
  <c r="G613" i="4"/>
  <c r="J745" i="4"/>
  <c r="F745" i="4"/>
  <c r="I745" i="4"/>
  <c r="G745" i="4"/>
  <c r="H745" i="4"/>
  <c r="G784" i="4"/>
  <c r="I784" i="4"/>
  <c r="H784" i="4"/>
  <c r="J784" i="4"/>
  <c r="F784" i="4"/>
  <c r="F824" i="4"/>
  <c r="I824" i="4"/>
  <c r="J824" i="4"/>
  <c r="G824" i="4"/>
  <c r="H824" i="4"/>
  <c r="H830" i="4"/>
  <c r="J830" i="4"/>
  <c r="I830" i="4"/>
  <c r="G830" i="4"/>
  <c r="F830" i="4"/>
  <c r="H876" i="4"/>
  <c r="G876" i="4"/>
  <c r="I876" i="4"/>
  <c r="F876" i="4"/>
  <c r="J876" i="4"/>
  <c r="G932" i="4"/>
  <c r="F932" i="4"/>
  <c r="I932" i="4"/>
  <c r="J932" i="4"/>
  <c r="H932" i="4"/>
  <c r="F960" i="4"/>
  <c r="G960" i="4"/>
  <c r="I960" i="4"/>
  <c r="J960" i="4"/>
  <c r="H960" i="4"/>
  <c r="H967" i="4"/>
  <c r="I967" i="4"/>
  <c r="G967" i="4"/>
  <c r="J967" i="4"/>
  <c r="F967" i="4"/>
  <c r="G884" i="4"/>
  <c r="F884" i="4"/>
  <c r="J884" i="4"/>
  <c r="H884" i="4"/>
  <c r="I884" i="4"/>
  <c r="J929" i="4"/>
  <c r="F929" i="4"/>
  <c r="G929" i="4"/>
  <c r="I929" i="4"/>
  <c r="H929" i="4"/>
  <c r="G944" i="4"/>
  <c r="J944" i="4"/>
  <c r="H944" i="4"/>
  <c r="F944" i="4"/>
  <c r="I944" i="4"/>
  <c r="F385" i="4"/>
  <c r="G385" i="4"/>
  <c r="H385" i="4"/>
  <c r="J385" i="4"/>
  <c r="I385" i="4"/>
  <c r="F467" i="4"/>
  <c r="G467" i="4"/>
  <c r="I467" i="4"/>
  <c r="H467" i="4"/>
  <c r="J467" i="4"/>
  <c r="H503" i="4"/>
  <c r="J503" i="4"/>
  <c r="I503" i="4"/>
  <c r="F503" i="4"/>
  <c r="G503" i="4"/>
  <c r="J513" i="4"/>
  <c r="F513" i="4"/>
  <c r="G513" i="4"/>
  <c r="I513" i="4"/>
  <c r="H513" i="4"/>
  <c r="H529" i="4"/>
  <c r="G529" i="4"/>
  <c r="J529" i="4"/>
  <c r="I529" i="4"/>
  <c r="F529" i="4"/>
  <c r="I566" i="4"/>
  <c r="G566" i="4"/>
  <c r="H566" i="4"/>
  <c r="F566" i="4"/>
  <c r="J566" i="4"/>
  <c r="G602" i="4"/>
  <c r="J602" i="4"/>
  <c r="F602" i="4"/>
  <c r="H602" i="4"/>
  <c r="I602" i="4"/>
  <c r="J649" i="4"/>
  <c r="F649" i="4"/>
  <c r="H649" i="4"/>
  <c r="G649" i="4"/>
  <c r="I649" i="4"/>
  <c r="G698" i="4"/>
  <c r="J698" i="4"/>
  <c r="I698" i="4"/>
  <c r="H698" i="4"/>
  <c r="F698" i="4"/>
  <c r="F714" i="4"/>
  <c r="I714" i="4"/>
  <c r="G714" i="4"/>
  <c r="J714" i="4"/>
  <c r="H714" i="4"/>
  <c r="J730" i="4"/>
  <c r="I730" i="4"/>
  <c r="G730" i="4"/>
  <c r="H730" i="4"/>
  <c r="F730" i="4"/>
  <c r="G792" i="4"/>
  <c r="J792" i="4"/>
  <c r="I792" i="4"/>
  <c r="H792" i="4"/>
  <c r="F792" i="4"/>
  <c r="G798" i="4"/>
  <c r="I798" i="4"/>
  <c r="H798" i="4"/>
  <c r="J798" i="4"/>
  <c r="F798" i="4"/>
  <c r="G819" i="4"/>
  <c r="J819" i="4"/>
  <c r="I819" i="4"/>
  <c r="F819" i="4"/>
  <c r="H819" i="4"/>
  <c r="H831" i="4"/>
  <c r="G831" i="4"/>
  <c r="I831" i="4"/>
  <c r="J831" i="4"/>
  <c r="F831" i="4"/>
  <c r="J334" i="4"/>
  <c r="H548" i="4"/>
  <c r="I548" i="4"/>
  <c r="G548" i="4"/>
  <c r="F548" i="4"/>
  <c r="J548" i="4"/>
  <c r="J652" i="4"/>
  <c r="G652" i="4"/>
  <c r="F652" i="4"/>
  <c r="I652" i="4"/>
  <c r="H652" i="4"/>
  <c r="I922" i="4"/>
  <c r="H922" i="4"/>
  <c r="J922" i="4"/>
  <c r="F922" i="4"/>
  <c r="G922" i="4"/>
  <c r="H964" i="4"/>
  <c r="F964" i="4"/>
  <c r="G964" i="4"/>
  <c r="I964" i="4"/>
  <c r="J964" i="4"/>
  <c r="J292" i="4"/>
  <c r="F853" i="4"/>
  <c r="I853" i="4"/>
  <c r="J853" i="4"/>
  <c r="G853" i="4"/>
  <c r="H853" i="4"/>
  <c r="J724" i="4"/>
  <c r="F724" i="4"/>
  <c r="I724" i="4"/>
  <c r="G724" i="4"/>
  <c r="H724" i="4"/>
  <c r="J336" i="4"/>
  <c r="F863" i="4"/>
  <c r="I863" i="4"/>
  <c r="H863" i="4"/>
  <c r="G863" i="4"/>
  <c r="J863" i="4"/>
  <c r="J879" i="4"/>
  <c r="H879" i="4"/>
  <c r="G879" i="4"/>
  <c r="F879" i="4"/>
  <c r="I879" i="4"/>
  <c r="F525" i="4"/>
  <c r="I525" i="4"/>
  <c r="H525" i="4"/>
  <c r="J525" i="4"/>
  <c r="G525" i="4"/>
  <c r="I400" i="4"/>
  <c r="G400" i="4"/>
  <c r="J400" i="4"/>
  <c r="H400" i="4"/>
  <c r="F400" i="4"/>
  <c r="G829" i="4"/>
  <c r="I829" i="4"/>
  <c r="F829" i="4"/>
  <c r="H829" i="4"/>
  <c r="J829" i="4"/>
  <c r="J360" i="4"/>
  <c r="G676" i="4"/>
  <c r="F676" i="4"/>
  <c r="I676" i="4"/>
  <c r="J676" i="4"/>
  <c r="H676" i="4"/>
  <c r="G405" i="4"/>
  <c r="H405" i="4"/>
  <c r="J405" i="4"/>
  <c r="I405" i="4"/>
  <c r="F405" i="4"/>
  <c r="I890" i="4"/>
  <c r="H890" i="4"/>
  <c r="J890" i="4"/>
  <c r="F890" i="4"/>
  <c r="G890" i="4"/>
  <c r="H931" i="4"/>
  <c r="J931" i="4"/>
  <c r="I931" i="4"/>
  <c r="G931" i="4"/>
  <c r="F931" i="4"/>
  <c r="H460" i="4"/>
  <c r="J460" i="4"/>
  <c r="I460" i="4"/>
  <c r="F460" i="4"/>
  <c r="G460" i="4"/>
  <c r="H783" i="4"/>
  <c r="J783" i="4"/>
  <c r="F783" i="4"/>
  <c r="I783" i="4"/>
  <c r="G783" i="4"/>
  <c r="J562" i="4"/>
  <c r="H562" i="4"/>
  <c r="F562" i="4"/>
  <c r="G562" i="4"/>
  <c r="I562" i="4"/>
  <c r="J295" i="4"/>
  <c r="J330" i="4"/>
  <c r="J620" i="4"/>
  <c r="I620" i="4"/>
  <c r="F620" i="4"/>
  <c r="G620" i="4"/>
  <c r="H620" i="4"/>
  <c r="F690" i="4"/>
  <c r="H690" i="4"/>
  <c r="G690" i="4"/>
  <c r="J690" i="4"/>
  <c r="I690" i="4"/>
  <c r="G942" i="4"/>
  <c r="J942" i="4"/>
  <c r="H942" i="4"/>
  <c r="I942" i="4"/>
  <c r="F942" i="4"/>
  <c r="G747" i="4"/>
  <c r="H747" i="4"/>
  <c r="F747" i="4"/>
  <c r="I747" i="4"/>
  <c r="J747" i="4"/>
  <c r="G896" i="4"/>
  <c r="F896" i="4"/>
  <c r="I896" i="4"/>
  <c r="J896" i="4"/>
  <c r="H896" i="4"/>
  <c r="H694" i="4"/>
  <c r="I694" i="4"/>
  <c r="G694" i="4"/>
  <c r="J694" i="4"/>
  <c r="F694" i="4"/>
  <c r="F762" i="4"/>
  <c r="G762" i="4"/>
  <c r="J762" i="4"/>
  <c r="H762" i="4"/>
  <c r="I762" i="4"/>
  <c r="H777" i="4"/>
  <c r="G777" i="4"/>
  <c r="I777" i="4"/>
  <c r="J777" i="4"/>
  <c r="F777" i="4"/>
  <c r="I554" i="4"/>
  <c r="J554" i="4"/>
  <c r="H554" i="4"/>
  <c r="G554" i="4"/>
  <c r="F554" i="4"/>
  <c r="H473" i="4"/>
  <c r="J473" i="4"/>
  <c r="G473" i="4"/>
  <c r="F473" i="4"/>
  <c r="I473" i="4"/>
  <c r="G406" i="4"/>
  <c r="H406" i="4"/>
  <c r="J406" i="4"/>
  <c r="I406" i="4"/>
  <c r="F406" i="4"/>
  <c r="G611" i="4"/>
  <c r="I611" i="4"/>
  <c r="F611" i="4"/>
  <c r="H611" i="4"/>
  <c r="J611" i="4"/>
  <c r="F696" i="4"/>
  <c r="G696" i="4"/>
  <c r="I696" i="4"/>
  <c r="H696" i="4"/>
  <c r="J696" i="4"/>
  <c r="H834" i="4"/>
  <c r="J834" i="4"/>
  <c r="G834" i="4"/>
  <c r="F834" i="4"/>
  <c r="I834" i="4"/>
  <c r="J856" i="4"/>
  <c r="H856" i="4"/>
  <c r="F856" i="4"/>
  <c r="I856" i="4"/>
  <c r="G856" i="4"/>
  <c r="J677" i="4"/>
  <c r="I677" i="4"/>
  <c r="F677" i="4"/>
  <c r="H677" i="4"/>
  <c r="G677" i="4"/>
  <c r="G595" i="4"/>
  <c r="I595" i="4"/>
  <c r="F595" i="4"/>
  <c r="J595" i="4"/>
  <c r="H595" i="4"/>
  <c r="F953" i="4"/>
  <c r="G953" i="4"/>
  <c r="I953" i="4"/>
  <c r="H953" i="4"/>
  <c r="J953" i="4"/>
  <c r="H895" i="4"/>
  <c r="G895" i="4"/>
  <c r="F895" i="4"/>
  <c r="I895" i="4"/>
  <c r="J895" i="4"/>
  <c r="H848" i="4"/>
  <c r="G848" i="4"/>
  <c r="I848" i="4"/>
  <c r="F848" i="4"/>
  <c r="J848" i="4"/>
  <c r="F759" i="4"/>
  <c r="H759" i="4"/>
  <c r="G759" i="4"/>
  <c r="J759" i="4"/>
  <c r="I759" i="4"/>
  <c r="I717" i="4"/>
  <c r="G717" i="4"/>
  <c r="F717" i="4"/>
  <c r="J717" i="4"/>
  <c r="H717" i="4"/>
  <c r="I487" i="4"/>
  <c r="J487" i="4"/>
  <c r="H487" i="4"/>
  <c r="F487" i="4"/>
  <c r="G487" i="4"/>
  <c r="J920" i="4"/>
  <c r="G920" i="4"/>
  <c r="F920" i="4"/>
  <c r="I920" i="4"/>
  <c r="H920" i="4"/>
  <c r="J768" i="4"/>
  <c r="I768" i="4"/>
  <c r="F768" i="4"/>
  <c r="G768" i="4"/>
  <c r="H768" i="4"/>
  <c r="H512" i="4"/>
  <c r="I512" i="4"/>
  <c r="G512" i="4"/>
  <c r="J512" i="4"/>
  <c r="F512" i="4"/>
  <c r="I703" i="4"/>
  <c r="H703" i="4"/>
  <c r="J703" i="4"/>
  <c r="F703" i="4"/>
  <c r="G703" i="4"/>
  <c r="I514" i="4"/>
  <c r="J514" i="4"/>
  <c r="H514" i="4"/>
  <c r="G514" i="4"/>
  <c r="F514" i="4"/>
  <c r="G711" i="4"/>
  <c r="F711" i="4"/>
  <c r="H711" i="4"/>
  <c r="J711" i="4"/>
  <c r="I711" i="4"/>
  <c r="H600" i="4"/>
  <c r="F600" i="4"/>
  <c r="G600" i="4"/>
  <c r="I600" i="4"/>
  <c r="J600" i="4"/>
  <c r="H672" i="4"/>
  <c r="J672" i="4"/>
  <c r="F672" i="4"/>
  <c r="I672" i="4"/>
  <c r="G672" i="4"/>
  <c r="J738" i="4"/>
  <c r="F738" i="4"/>
  <c r="H738" i="4"/>
  <c r="G738" i="4"/>
  <c r="I738" i="4"/>
  <c r="G775" i="4"/>
  <c r="J775" i="4"/>
  <c r="I775" i="4"/>
  <c r="H775" i="4"/>
  <c r="F775" i="4"/>
  <c r="G488" i="4"/>
  <c r="H488" i="4"/>
  <c r="J488" i="4"/>
  <c r="F488" i="4"/>
  <c r="I488" i="4"/>
  <c r="J284" i="4"/>
  <c r="I479" i="4"/>
  <c r="F479" i="4"/>
  <c r="H479" i="4"/>
  <c r="J479" i="4"/>
  <c r="G479" i="4"/>
  <c r="F506" i="4"/>
  <c r="G506" i="4"/>
  <c r="I506" i="4"/>
  <c r="H506" i="4"/>
  <c r="J506" i="4"/>
  <c r="F456" i="4"/>
  <c r="G456" i="4"/>
  <c r="H456" i="4"/>
  <c r="J456" i="4"/>
  <c r="I456" i="4"/>
  <c r="H615" i="4"/>
  <c r="J615" i="4"/>
  <c r="F615" i="4"/>
  <c r="G615" i="4"/>
  <c r="I615" i="4"/>
  <c r="G872" i="4"/>
  <c r="H872" i="4"/>
  <c r="F872" i="4"/>
  <c r="I872" i="4"/>
  <c r="J872" i="4"/>
  <c r="J341" i="4"/>
  <c r="G463" i="4"/>
  <c r="J463" i="4"/>
  <c r="H463" i="4"/>
  <c r="I463" i="4"/>
  <c r="F463" i="4"/>
  <c r="G485" i="4"/>
  <c r="H485" i="4"/>
  <c r="F485" i="4"/>
  <c r="I485" i="4"/>
  <c r="J485" i="4"/>
  <c r="J726" i="4"/>
  <c r="H726" i="4"/>
  <c r="G726" i="4"/>
  <c r="I726" i="4"/>
  <c r="F726" i="4"/>
  <c r="G852" i="4"/>
  <c r="H852" i="4"/>
  <c r="F852" i="4"/>
  <c r="I852" i="4"/>
  <c r="J852" i="4"/>
  <c r="H861" i="4"/>
  <c r="F861" i="4"/>
  <c r="I861" i="4"/>
  <c r="G861" i="4"/>
  <c r="J861" i="4"/>
  <c r="J461" i="4"/>
  <c r="F461" i="4"/>
  <c r="H461" i="4"/>
  <c r="G461" i="4"/>
  <c r="I461" i="4"/>
  <c r="J313" i="4"/>
  <c r="J354" i="4"/>
  <c r="I437" i="4"/>
  <c r="J437" i="4"/>
  <c r="G437" i="4"/>
  <c r="H437" i="4"/>
  <c r="F437" i="4"/>
  <c r="J457" i="4"/>
  <c r="H457" i="4"/>
  <c r="G457" i="4"/>
  <c r="I457" i="4"/>
  <c r="F457" i="4"/>
  <c r="F568" i="4"/>
  <c r="I568" i="4"/>
  <c r="J568" i="4"/>
  <c r="H568" i="4"/>
  <c r="G568" i="4"/>
  <c r="G771" i="4"/>
  <c r="I771" i="4"/>
  <c r="F771" i="4"/>
  <c r="H771" i="4"/>
  <c r="J771" i="4"/>
  <c r="J940" i="4"/>
  <c r="F940" i="4"/>
  <c r="H940" i="4"/>
  <c r="G940" i="4"/>
  <c r="I940" i="4"/>
  <c r="J930" i="4"/>
  <c r="H930" i="4"/>
  <c r="F930" i="4"/>
  <c r="I930" i="4"/>
  <c r="G930" i="4"/>
  <c r="J290" i="4"/>
  <c r="J511" i="4"/>
  <c r="G511" i="4"/>
  <c r="H511" i="4"/>
  <c r="I511" i="4"/>
  <c r="F511" i="4"/>
  <c r="J281" i="4"/>
  <c r="H443" i="4"/>
  <c r="F443" i="4"/>
  <c r="J443" i="4"/>
  <c r="G443" i="4"/>
  <c r="I443" i="4"/>
  <c r="G665" i="4"/>
  <c r="F665" i="4"/>
  <c r="H665" i="4"/>
  <c r="J665" i="4"/>
  <c r="I665" i="4"/>
  <c r="F750" i="4"/>
  <c r="H750" i="4"/>
  <c r="J750" i="4"/>
  <c r="G750" i="4"/>
  <c r="I750" i="4"/>
  <c r="H766" i="4"/>
  <c r="I766" i="4"/>
  <c r="F766" i="4"/>
  <c r="G766" i="4"/>
  <c r="J766" i="4"/>
  <c r="F917" i="4"/>
  <c r="J917" i="4"/>
  <c r="H917" i="4"/>
  <c r="I917" i="4"/>
  <c r="G917" i="4"/>
  <c r="G715" i="4"/>
  <c r="J715" i="4"/>
  <c r="F715" i="4"/>
  <c r="H715" i="4"/>
  <c r="I715" i="4"/>
  <c r="H761" i="4"/>
  <c r="G761" i="4"/>
  <c r="F761" i="4"/>
  <c r="J761" i="4"/>
  <c r="I761" i="4"/>
  <c r="H858" i="4"/>
  <c r="I858" i="4"/>
  <c r="G858" i="4"/>
  <c r="J858" i="4"/>
  <c r="F858" i="4"/>
  <c r="I933" i="4"/>
  <c r="G933" i="4"/>
  <c r="J933" i="4"/>
  <c r="H933" i="4"/>
  <c r="F933" i="4"/>
  <c r="I965" i="4"/>
  <c r="H965" i="4"/>
  <c r="G965" i="4"/>
  <c r="J965" i="4"/>
  <c r="F965" i="4"/>
  <c r="G827" i="4"/>
  <c r="J827" i="4"/>
  <c r="F827" i="4"/>
  <c r="H827" i="4"/>
  <c r="I827" i="4"/>
  <c r="I815" i="4"/>
  <c r="F815" i="4"/>
  <c r="G815" i="4"/>
  <c r="H815" i="4"/>
  <c r="J815" i="4"/>
  <c r="F632" i="4"/>
  <c r="I632" i="4"/>
  <c r="H632" i="4"/>
  <c r="G632" i="4"/>
  <c r="J632" i="4"/>
  <c r="H453" i="4"/>
  <c r="F453" i="4"/>
  <c r="G453" i="4"/>
  <c r="I453" i="4"/>
  <c r="J453" i="4"/>
  <c r="G947" i="4"/>
  <c r="J947" i="4"/>
  <c r="H947" i="4"/>
  <c r="I947" i="4"/>
  <c r="F947" i="4"/>
  <c r="J712" i="4"/>
  <c r="H712" i="4"/>
  <c r="G712" i="4"/>
  <c r="F712" i="4"/>
  <c r="I712" i="4"/>
  <c r="H842" i="4"/>
  <c r="J842" i="4"/>
  <c r="I842" i="4"/>
  <c r="G842" i="4"/>
  <c r="F842" i="4"/>
  <c r="J741" i="4"/>
  <c r="G741" i="4"/>
  <c r="H741" i="4"/>
  <c r="F741" i="4"/>
  <c r="I741" i="4"/>
  <c r="J267" i="4"/>
  <c r="J282" i="4"/>
  <c r="J350" i="4"/>
  <c r="J362" i="4"/>
  <c r="F395" i="4"/>
  <c r="J395" i="4"/>
  <c r="H395" i="4"/>
  <c r="G395" i="4"/>
  <c r="I395" i="4"/>
  <c r="F434" i="4"/>
  <c r="J434" i="4"/>
  <c r="I434" i="4"/>
  <c r="H434" i="4"/>
  <c r="G434" i="4"/>
  <c r="J442" i="4"/>
  <c r="I442" i="4"/>
  <c r="F442" i="4"/>
  <c r="G442" i="4"/>
  <c r="H442" i="4"/>
  <c r="J508" i="4"/>
  <c r="H508" i="4"/>
  <c r="F508" i="4"/>
  <c r="I508" i="4"/>
  <c r="G508" i="4"/>
  <c r="H911" i="4"/>
  <c r="J911" i="4"/>
  <c r="I911" i="4"/>
  <c r="G911" i="4"/>
  <c r="F911" i="4"/>
  <c r="J310" i="4"/>
  <c r="J315" i="4"/>
  <c r="J333" i="4"/>
  <c r="H938" i="4"/>
  <c r="I938" i="4"/>
  <c r="F938" i="4"/>
  <c r="J938" i="4"/>
  <c r="G938" i="4"/>
  <c r="J382" i="4"/>
  <c r="F410" i="4"/>
  <c r="H410" i="4"/>
  <c r="G410" i="4"/>
  <c r="J410" i="4"/>
  <c r="I410" i="4"/>
  <c r="H458" i="4"/>
  <c r="J458" i="4"/>
  <c r="F458" i="4"/>
  <c r="G458" i="4"/>
  <c r="I458" i="4"/>
  <c r="G528" i="4"/>
  <c r="I528" i="4"/>
  <c r="J528" i="4"/>
  <c r="H528" i="4"/>
  <c r="F528" i="4"/>
  <c r="G435" i="4"/>
  <c r="J435" i="4"/>
  <c r="I435" i="4"/>
  <c r="F435" i="4"/>
  <c r="H435" i="4"/>
  <c r="J280" i="4"/>
  <c r="J332" i="4"/>
  <c r="I478" i="4"/>
  <c r="F478" i="4"/>
  <c r="J478" i="4"/>
  <c r="H478" i="4"/>
  <c r="G478" i="4"/>
  <c r="I481" i="4"/>
  <c r="J481" i="4"/>
  <c r="G481" i="4"/>
  <c r="H481" i="4"/>
  <c r="F481" i="4"/>
  <c r="F507" i="4"/>
  <c r="I507" i="4"/>
  <c r="H507" i="4"/>
  <c r="G507" i="4"/>
  <c r="J507" i="4"/>
  <c r="F594" i="4"/>
  <c r="I594" i="4"/>
  <c r="G594" i="4"/>
  <c r="J594" i="4"/>
  <c r="H594" i="4"/>
  <c r="J597" i="4"/>
  <c r="F597" i="4"/>
  <c r="H597" i="4"/>
  <c r="I597" i="4"/>
  <c r="G597" i="4"/>
  <c r="F645" i="4"/>
  <c r="J645" i="4"/>
  <c r="G645" i="4"/>
  <c r="I645" i="4"/>
  <c r="H645" i="4"/>
  <c r="J656" i="4"/>
  <c r="F656" i="4"/>
  <c r="G656" i="4"/>
  <c r="I656" i="4"/>
  <c r="H656" i="4"/>
  <c r="I661" i="4"/>
  <c r="F661" i="4"/>
  <c r="H661" i="4"/>
  <c r="J661" i="4"/>
  <c r="G661" i="4"/>
  <c r="I722" i="4"/>
  <c r="H722" i="4"/>
  <c r="F722" i="4"/>
  <c r="J722" i="4"/>
  <c r="G722" i="4"/>
  <c r="G754" i="4"/>
  <c r="I754" i="4"/>
  <c r="J754" i="4"/>
  <c r="F754" i="4"/>
  <c r="H754" i="4"/>
  <c r="J806" i="4"/>
  <c r="F806" i="4"/>
  <c r="G806" i="4"/>
  <c r="H806" i="4"/>
  <c r="I806" i="4"/>
  <c r="F878" i="4"/>
  <c r="H878" i="4"/>
  <c r="G878" i="4"/>
  <c r="I878" i="4"/>
  <c r="J878" i="4"/>
  <c r="F886" i="4"/>
  <c r="G886" i="4"/>
  <c r="H886" i="4"/>
  <c r="J886" i="4"/>
  <c r="I886" i="4"/>
  <c r="H898" i="4"/>
  <c r="J898" i="4"/>
  <c r="I898" i="4"/>
  <c r="F898" i="4"/>
  <c r="G898" i="4"/>
  <c r="F937" i="4"/>
  <c r="J937" i="4"/>
  <c r="H937" i="4"/>
  <c r="G937" i="4"/>
  <c r="I937" i="4"/>
  <c r="J612" i="4"/>
  <c r="G612" i="4"/>
  <c r="H612" i="4"/>
  <c r="I612" i="4"/>
  <c r="F612" i="4"/>
  <c r="J283" i="4"/>
  <c r="H826" i="4"/>
  <c r="F826" i="4"/>
  <c r="J826" i="4"/>
  <c r="I826" i="4"/>
  <c r="G826" i="4"/>
  <c r="J305" i="4"/>
  <c r="J387" i="4"/>
  <c r="I387" i="4"/>
  <c r="H387" i="4"/>
  <c r="G387" i="4"/>
  <c r="F387" i="4"/>
  <c r="I409" i="4"/>
  <c r="F409" i="4"/>
  <c r="H409" i="4"/>
  <c r="J409" i="4"/>
  <c r="G409" i="4"/>
  <c r="I491" i="4"/>
  <c r="F491" i="4"/>
  <c r="H491" i="4"/>
  <c r="J491" i="4"/>
  <c r="G491" i="4"/>
  <c r="H662" i="4"/>
  <c r="I662" i="4"/>
  <c r="F662" i="4"/>
  <c r="J662" i="4"/>
  <c r="G662" i="4"/>
  <c r="F670" i="4"/>
  <c r="I670" i="4"/>
  <c r="J670" i="4"/>
  <c r="H670" i="4"/>
  <c r="G670" i="4"/>
  <c r="H691" i="4"/>
  <c r="J691" i="4"/>
  <c r="F691" i="4"/>
  <c r="G691" i="4"/>
  <c r="I691" i="4"/>
  <c r="G769" i="4"/>
  <c r="I769" i="4"/>
  <c r="F769" i="4"/>
  <c r="H769" i="4"/>
  <c r="J769" i="4"/>
  <c r="G774" i="4"/>
  <c r="I774" i="4"/>
  <c r="F774" i="4"/>
  <c r="J774" i="4"/>
  <c r="H774" i="4"/>
  <c r="H781" i="4"/>
  <c r="J781" i="4"/>
  <c r="I781" i="4"/>
  <c r="G781" i="4"/>
  <c r="F781" i="4"/>
  <c r="I821" i="4"/>
  <c r="G821" i="4"/>
  <c r="J821" i="4"/>
  <c r="H821" i="4"/>
  <c r="F821" i="4"/>
  <c r="G854" i="4"/>
  <c r="H854" i="4"/>
  <c r="I854" i="4"/>
  <c r="J854" i="4"/>
  <c r="F854" i="4"/>
  <c r="H914" i="4"/>
  <c r="F914" i="4"/>
  <c r="J914" i="4"/>
  <c r="G914" i="4"/>
  <c r="I914" i="4"/>
  <c r="H955" i="4"/>
  <c r="J955" i="4"/>
  <c r="F955" i="4"/>
  <c r="I955" i="4"/>
  <c r="G955" i="4"/>
  <c r="F837" i="4"/>
  <c r="H837" i="4"/>
  <c r="I837" i="4"/>
  <c r="J837" i="4"/>
  <c r="G837" i="4"/>
  <c r="H799" i="4"/>
  <c r="J799" i="4"/>
  <c r="I799" i="4"/>
  <c r="F799" i="4"/>
  <c r="G799" i="4"/>
  <c r="J494" i="4"/>
  <c r="G494" i="4"/>
  <c r="I494" i="4"/>
  <c r="F494" i="4"/>
  <c r="H494" i="4"/>
  <c r="J950" i="4"/>
  <c r="H950" i="4"/>
  <c r="F950" i="4"/>
  <c r="I950" i="4"/>
  <c r="G950" i="4"/>
  <c r="J227" i="4"/>
  <c r="J229" i="4"/>
  <c r="J296" i="4"/>
  <c r="J320" i="4"/>
  <c r="J349" i="4"/>
  <c r="J378" i="4"/>
  <c r="J415" i="4"/>
  <c r="H415" i="4"/>
  <c r="I415" i="4"/>
  <c r="G415" i="4"/>
  <c r="F415" i="4"/>
  <c r="F426" i="4"/>
  <c r="G426" i="4"/>
  <c r="H426" i="4"/>
  <c r="J426" i="4"/>
  <c r="I426" i="4"/>
  <c r="H446" i="4"/>
  <c r="F446" i="4"/>
  <c r="I446" i="4"/>
  <c r="G446" i="4"/>
  <c r="J446" i="4"/>
  <c r="I455" i="4"/>
  <c r="H455" i="4"/>
  <c r="F455" i="4"/>
  <c r="J455" i="4"/>
  <c r="G455" i="4"/>
  <c r="J517" i="4"/>
  <c r="G517" i="4"/>
  <c r="I517" i="4"/>
  <c r="F517" i="4"/>
  <c r="H517" i="4"/>
  <c r="H520" i="4"/>
  <c r="G520" i="4"/>
  <c r="F520" i="4"/>
  <c r="J520" i="4"/>
  <c r="I520" i="4"/>
  <c r="F537" i="4"/>
  <c r="I537" i="4"/>
  <c r="H537" i="4"/>
  <c r="J537" i="4"/>
  <c r="G537" i="4"/>
  <c r="F563" i="4"/>
  <c r="G563" i="4"/>
  <c r="H563" i="4"/>
  <c r="J563" i="4"/>
  <c r="I563" i="4"/>
  <c r="I570" i="4"/>
  <c r="G570" i="4"/>
  <c r="J570" i="4"/>
  <c r="H570" i="4"/>
  <c r="F570" i="4"/>
  <c r="J588" i="4"/>
  <c r="I588" i="4"/>
  <c r="H588" i="4"/>
  <c r="F588" i="4"/>
  <c r="G588" i="4"/>
  <c r="J619" i="4"/>
  <c r="H619" i="4"/>
  <c r="I619" i="4"/>
  <c r="G619" i="4"/>
  <c r="F619" i="4"/>
  <c r="J628" i="4"/>
  <c r="H628" i="4"/>
  <c r="F628" i="4"/>
  <c r="I628" i="4"/>
  <c r="G628" i="4"/>
  <c r="I644" i="4"/>
  <c r="G644" i="4"/>
  <c r="J644" i="4"/>
  <c r="H644" i="4"/>
  <c r="F644" i="4"/>
  <c r="G660" i="4"/>
  <c r="J660" i="4"/>
  <c r="I660" i="4"/>
  <c r="F660" i="4"/>
  <c r="H660" i="4"/>
  <c r="G692" i="4"/>
  <c r="F692" i="4"/>
  <c r="H692" i="4"/>
  <c r="I692" i="4"/>
  <c r="J692" i="4"/>
  <c r="H740" i="4"/>
  <c r="I740" i="4"/>
  <c r="G740" i="4"/>
  <c r="J740" i="4"/>
  <c r="F740" i="4"/>
  <c r="F752" i="4"/>
  <c r="G752" i="4"/>
  <c r="J752" i="4"/>
  <c r="H752" i="4"/>
  <c r="I752" i="4"/>
  <c r="G785" i="4"/>
  <c r="F785" i="4"/>
  <c r="I785" i="4"/>
  <c r="J785" i="4"/>
  <c r="H785" i="4"/>
  <c r="H808" i="4"/>
  <c r="F808" i="4"/>
  <c r="J808" i="4"/>
  <c r="I808" i="4"/>
  <c r="G808" i="4"/>
  <c r="F866" i="4"/>
  <c r="G866" i="4"/>
  <c r="J866" i="4"/>
  <c r="I866" i="4"/>
  <c r="H866" i="4"/>
  <c r="J413" i="4"/>
  <c r="G413" i="4"/>
  <c r="I413" i="4"/>
  <c r="H413" i="4"/>
  <c r="F413" i="4"/>
  <c r="I524" i="4"/>
  <c r="J524" i="4"/>
  <c r="F524" i="4"/>
  <c r="G524" i="4"/>
  <c r="H524" i="4"/>
  <c r="G875" i="4"/>
  <c r="I875" i="4"/>
  <c r="J875" i="4"/>
  <c r="H875" i="4"/>
  <c r="F875" i="4"/>
  <c r="J908" i="4"/>
  <c r="I908" i="4"/>
  <c r="G908" i="4"/>
  <c r="H908" i="4"/>
  <c r="F908" i="4"/>
  <c r="G883" i="4"/>
  <c r="I883" i="4"/>
  <c r="H883" i="4"/>
  <c r="F883" i="4"/>
  <c r="J883" i="4"/>
  <c r="I480" i="4"/>
  <c r="G480" i="4"/>
  <c r="F480" i="4"/>
  <c r="H480" i="4"/>
  <c r="J480" i="4"/>
  <c r="J667" i="4"/>
  <c r="H667" i="4"/>
  <c r="F667" i="4"/>
  <c r="I667" i="4"/>
  <c r="G667" i="4"/>
  <c r="H809" i="4"/>
  <c r="F809" i="4"/>
  <c r="G809" i="4"/>
  <c r="I809" i="4"/>
  <c r="J809" i="4"/>
  <c r="J365" i="4"/>
  <c r="F919" i="4"/>
  <c r="H919" i="4"/>
  <c r="I919" i="4"/>
  <c r="G919" i="4"/>
  <c r="J919" i="4"/>
  <c r="G706" i="4"/>
  <c r="I706" i="4"/>
  <c r="H706" i="4"/>
  <c r="F706" i="4"/>
  <c r="J706" i="4"/>
  <c r="H392" i="4"/>
  <c r="G392" i="4"/>
  <c r="J392" i="4"/>
  <c r="F392" i="4"/>
  <c r="I392" i="4"/>
  <c r="J363" i="4"/>
  <c r="I631" i="4"/>
  <c r="G631" i="4"/>
  <c r="J631" i="4"/>
  <c r="F631" i="4"/>
  <c r="H631" i="4"/>
  <c r="J266" i="4"/>
  <c r="J261" i="4"/>
  <c r="J589" i="4"/>
  <c r="F589" i="4"/>
  <c r="G589" i="4"/>
  <c r="I589" i="4"/>
  <c r="H589" i="4"/>
  <c r="J263" i="4"/>
  <c r="H719" i="4"/>
  <c r="G719" i="4"/>
  <c r="J719" i="4"/>
  <c r="I719" i="4"/>
  <c r="F719" i="4"/>
  <c r="F407" i="4"/>
  <c r="I407" i="4"/>
  <c r="G407" i="4"/>
  <c r="J407" i="4"/>
  <c r="H407" i="4"/>
  <c r="G737" i="4"/>
  <c r="J737" i="4"/>
  <c r="F737" i="4"/>
  <c r="I737" i="4"/>
  <c r="H737" i="4"/>
  <c r="H744" i="4"/>
  <c r="I744" i="4"/>
  <c r="J744" i="4"/>
  <c r="G744" i="4"/>
  <c r="F744" i="4"/>
  <c r="J287" i="4"/>
  <c r="J309" i="4"/>
  <c r="F910" i="4"/>
  <c r="G910" i="4"/>
  <c r="H910" i="4"/>
  <c r="I910" i="4"/>
  <c r="J910" i="4"/>
  <c r="G935" i="4"/>
  <c r="I935" i="4"/>
  <c r="H935" i="4"/>
  <c r="J935" i="4"/>
  <c r="F935" i="4"/>
  <c r="F733" i="4"/>
  <c r="I733" i="4"/>
  <c r="J733" i="4"/>
  <c r="H733" i="4"/>
  <c r="G733" i="4"/>
  <c r="J625" i="4"/>
  <c r="H625" i="4"/>
  <c r="F625" i="4"/>
  <c r="G625" i="4"/>
  <c r="I625" i="4"/>
  <c r="J344" i="4"/>
  <c r="I763" i="4"/>
  <c r="H763" i="4"/>
  <c r="G763" i="4"/>
  <c r="J763" i="4"/>
  <c r="F763" i="4"/>
  <c r="G598" i="4"/>
  <c r="F598" i="4"/>
  <c r="I598" i="4"/>
  <c r="J598" i="4"/>
  <c r="H598" i="4"/>
  <c r="J840" i="4"/>
  <c r="H840" i="4"/>
  <c r="G840" i="4"/>
  <c r="I840" i="4"/>
  <c r="F840" i="4"/>
  <c r="H686" i="4"/>
  <c r="F686" i="4"/>
  <c r="I686" i="4"/>
  <c r="J686" i="4"/>
  <c r="G686" i="4"/>
  <c r="I723" i="4"/>
  <c r="G723" i="4"/>
  <c r="H723" i="4"/>
  <c r="F723" i="4"/>
  <c r="J723" i="4"/>
  <c r="I782" i="4"/>
  <c r="F782" i="4"/>
  <c r="G782" i="4"/>
  <c r="J782" i="4"/>
  <c r="H782" i="4"/>
  <c r="G545" i="4"/>
  <c r="I545" i="4"/>
  <c r="J545" i="4"/>
  <c r="H545" i="4"/>
  <c r="F545" i="4"/>
  <c r="J303" i="4"/>
  <c r="J372" i="4"/>
  <c r="H465" i="4"/>
  <c r="G465" i="4"/>
  <c r="J465" i="4"/>
  <c r="F465" i="4"/>
  <c r="I465" i="4"/>
  <c r="I651" i="4"/>
  <c r="G651" i="4"/>
  <c r="J651" i="4"/>
  <c r="H651" i="4"/>
  <c r="F651" i="4"/>
  <c r="H748" i="4"/>
  <c r="G748" i="4"/>
  <c r="J748" i="4"/>
  <c r="F748" i="4"/>
  <c r="I748" i="4"/>
  <c r="H891" i="4"/>
  <c r="F891" i="4"/>
  <c r="J891" i="4"/>
  <c r="I891" i="4"/>
  <c r="G891" i="4"/>
  <c r="I542" i="4"/>
  <c r="F542" i="4"/>
  <c r="J542" i="4"/>
  <c r="G542" i="4"/>
  <c r="H542" i="4"/>
  <c r="H607" i="4"/>
  <c r="I607" i="4"/>
  <c r="G607" i="4"/>
  <c r="J607" i="4"/>
  <c r="F607" i="4"/>
  <c r="J337" i="4"/>
  <c r="J490" i="4"/>
  <c r="H490" i="4"/>
  <c r="I490" i="4"/>
  <c r="G490" i="4"/>
  <c r="F490" i="4"/>
  <c r="J319" i="4"/>
  <c r="J323" i="4"/>
  <c r="I393" i="4"/>
  <c r="F393" i="4"/>
  <c r="J393" i="4"/>
  <c r="H393" i="4"/>
  <c r="G393" i="4"/>
  <c r="G444" i="4"/>
  <c r="H444" i="4"/>
  <c r="I444" i="4"/>
  <c r="F444" i="4"/>
  <c r="J444" i="4"/>
  <c r="I464" i="4"/>
  <c r="H464" i="4"/>
  <c r="G464" i="4"/>
  <c r="F464" i="4"/>
  <c r="J464" i="4"/>
  <c r="I492" i="4"/>
  <c r="F492" i="4"/>
  <c r="H492" i="4"/>
  <c r="G492" i="4"/>
  <c r="J492" i="4"/>
  <c r="I533" i="4"/>
  <c r="G533" i="4"/>
  <c r="F533" i="4"/>
  <c r="H533" i="4"/>
  <c r="J533" i="4"/>
  <c r="J308" i="4"/>
  <c r="J294" i="4"/>
  <c r="J355" i="4"/>
  <c r="H414" i="4"/>
  <c r="J414" i="4"/>
  <c r="G414" i="4"/>
  <c r="F414" i="4"/>
  <c r="I414" i="4"/>
  <c r="H538" i="4"/>
  <c r="F538" i="4"/>
  <c r="G538" i="4"/>
  <c r="I538" i="4"/>
  <c r="J538" i="4"/>
  <c r="H593" i="4"/>
  <c r="F593" i="4"/>
  <c r="J593" i="4"/>
  <c r="G593" i="4"/>
  <c r="I593" i="4"/>
  <c r="H634" i="4"/>
  <c r="F634" i="4"/>
  <c r="G634" i="4"/>
  <c r="J634" i="4"/>
  <c r="I634" i="4"/>
  <c r="J674" i="4"/>
  <c r="H674" i="4"/>
  <c r="I674" i="4"/>
  <c r="F674" i="4"/>
  <c r="G674" i="4"/>
  <c r="I904" i="4"/>
  <c r="J904" i="4"/>
  <c r="F904" i="4"/>
  <c r="G904" i="4"/>
  <c r="H904" i="4"/>
  <c r="J307" i="4"/>
  <c r="J401" i="4"/>
  <c r="H401" i="4"/>
  <c r="G401" i="4"/>
  <c r="F401" i="4"/>
  <c r="I401" i="4"/>
  <c r="F411" i="4"/>
  <c r="H411" i="4"/>
  <c r="I411" i="4"/>
  <c r="J411" i="4"/>
  <c r="G411" i="4"/>
  <c r="G430" i="4"/>
  <c r="I430" i="4"/>
  <c r="J430" i="4"/>
  <c r="F430" i="4"/>
  <c r="H430" i="4"/>
  <c r="J439" i="4"/>
  <c r="H439" i="4"/>
  <c r="I439" i="4"/>
  <c r="G439" i="4"/>
  <c r="F439" i="4"/>
  <c r="G555" i="4"/>
  <c r="H555" i="4"/>
  <c r="F555" i="4"/>
  <c r="J555" i="4"/>
  <c r="I555" i="4"/>
  <c r="F587" i="4"/>
  <c r="H587" i="4"/>
  <c r="G587" i="4"/>
  <c r="I587" i="4"/>
  <c r="J587" i="4"/>
  <c r="J638" i="4"/>
  <c r="I638" i="4"/>
  <c r="F638" i="4"/>
  <c r="G638" i="4"/>
  <c r="H638" i="4"/>
  <c r="I642" i="4"/>
  <c r="F642" i="4"/>
  <c r="H642" i="4"/>
  <c r="J642" i="4"/>
  <c r="G642" i="4"/>
  <c r="I682" i="4"/>
  <c r="F682" i="4"/>
  <c r="G682" i="4"/>
  <c r="J682" i="4"/>
  <c r="H682" i="4"/>
  <c r="J697" i="4"/>
  <c r="F697" i="4"/>
  <c r="H697" i="4"/>
  <c r="G697" i="4"/>
  <c r="I697" i="4"/>
  <c r="J713" i="4"/>
  <c r="I713" i="4"/>
  <c r="H713" i="4"/>
  <c r="F713" i="4"/>
  <c r="G713" i="4"/>
  <c r="J800" i="4"/>
  <c r="G800" i="4"/>
  <c r="I800" i="4"/>
  <c r="F800" i="4"/>
  <c r="H800" i="4"/>
  <c r="G849" i="4"/>
  <c r="H849" i="4"/>
  <c r="F849" i="4"/>
  <c r="J849" i="4"/>
  <c r="I849" i="4"/>
  <c r="H870" i="4"/>
  <c r="I870" i="4"/>
  <c r="F870" i="4"/>
  <c r="J870" i="4"/>
  <c r="G870" i="4"/>
  <c r="G557" i="4"/>
  <c r="J557" i="4"/>
  <c r="F557" i="4"/>
  <c r="H557" i="4"/>
  <c r="I557" i="4"/>
  <c r="J379" i="4"/>
  <c r="I552" i="4"/>
  <c r="J552" i="4"/>
  <c r="G552" i="4"/>
  <c r="H552" i="4"/>
  <c r="F552" i="4"/>
  <c r="J322" i="4"/>
  <c r="J368" i="4"/>
  <c r="J469" i="4"/>
  <c r="H469" i="4"/>
  <c r="F469" i="4"/>
  <c r="G469" i="4"/>
  <c r="I469" i="4"/>
  <c r="I576" i="4"/>
  <c r="H576" i="4"/>
  <c r="F576" i="4"/>
  <c r="J576" i="4"/>
  <c r="G576" i="4"/>
  <c r="F609" i="4"/>
  <c r="I609" i="4"/>
  <c r="H609" i="4"/>
  <c r="G609" i="4"/>
  <c r="J609" i="4"/>
  <c r="F635" i="4"/>
  <c r="H635" i="4"/>
  <c r="J635" i="4"/>
  <c r="I635" i="4"/>
  <c r="G635" i="4"/>
  <c r="G787" i="4"/>
  <c r="J787" i="4"/>
  <c r="H787" i="4"/>
  <c r="I787" i="4"/>
  <c r="F787" i="4"/>
  <c r="F816" i="4"/>
  <c r="I816" i="4"/>
  <c r="G816" i="4"/>
  <c r="J816" i="4"/>
  <c r="H816" i="4"/>
  <c r="J839" i="4"/>
  <c r="F839" i="4"/>
  <c r="I839" i="4"/>
  <c r="H839" i="4"/>
  <c r="G839" i="4"/>
  <c r="G958" i="4"/>
  <c r="I958" i="4"/>
  <c r="H958" i="4"/>
  <c r="J958" i="4"/>
  <c r="F958" i="4"/>
  <c r="F590" i="4"/>
  <c r="J590" i="4"/>
  <c r="G590" i="4"/>
  <c r="H590" i="4"/>
  <c r="I590" i="4"/>
  <c r="J532" i="4"/>
  <c r="H532" i="4"/>
  <c r="I532" i="4"/>
  <c r="F532" i="4"/>
  <c r="G532" i="4"/>
  <c r="H902" i="4"/>
  <c r="I902" i="4"/>
  <c r="J902" i="4"/>
  <c r="G902" i="4"/>
  <c r="F902" i="4"/>
  <c r="I583" i="4"/>
  <c r="H583" i="4"/>
  <c r="J583" i="4"/>
  <c r="F583" i="4"/>
  <c r="G583" i="4"/>
  <c r="I707" i="4"/>
  <c r="J707" i="4"/>
  <c r="F707" i="4"/>
  <c r="H707" i="4"/>
  <c r="G707" i="4"/>
  <c r="J277" i="4"/>
  <c r="J311" i="4"/>
  <c r="J375" i="4"/>
  <c r="J419" i="4"/>
  <c r="H419" i="4"/>
  <c r="I419" i="4"/>
  <c r="G419" i="4"/>
  <c r="F419" i="4"/>
  <c r="H534" i="4"/>
  <c r="J534" i="4"/>
  <c r="F534" i="4"/>
  <c r="G534" i="4"/>
  <c r="I534" i="4"/>
  <c r="G709" i="4"/>
  <c r="F709" i="4"/>
  <c r="I709" i="4"/>
  <c r="H709" i="4"/>
  <c r="J709" i="4"/>
  <c r="J718" i="4"/>
  <c r="H718" i="4"/>
  <c r="F718" i="4"/>
  <c r="I718" i="4"/>
  <c r="G718" i="4"/>
  <c r="F734" i="4"/>
  <c r="H734" i="4"/>
  <c r="G734" i="4"/>
  <c r="I734" i="4"/>
  <c r="J734" i="4"/>
  <c r="F796" i="4"/>
  <c r="I796" i="4"/>
  <c r="G796" i="4"/>
  <c r="J796" i="4"/>
  <c r="H796" i="4"/>
  <c r="I822" i="4"/>
  <c r="G822" i="4"/>
  <c r="J822" i="4"/>
  <c r="H822" i="4"/>
  <c r="F822" i="4"/>
  <c r="F845" i="4"/>
  <c r="I845" i="4"/>
  <c r="H845" i="4"/>
  <c r="G845" i="4"/>
  <c r="J845" i="4"/>
  <c r="I850" i="4"/>
  <c r="G850" i="4"/>
  <c r="F850" i="4"/>
  <c r="J850" i="4"/>
  <c r="H850" i="4"/>
  <c r="I880" i="4"/>
  <c r="H880" i="4"/>
  <c r="J880" i="4"/>
  <c r="F880" i="4"/>
  <c r="G880" i="4"/>
  <c r="J383" i="4"/>
  <c r="I403" i="4"/>
  <c r="G403" i="4"/>
  <c r="F403" i="4"/>
  <c r="H403" i="4"/>
  <c r="J403" i="4"/>
  <c r="F515" i="4"/>
  <c r="G515" i="4"/>
  <c r="H515" i="4"/>
  <c r="I515" i="4"/>
  <c r="J515" i="4"/>
  <c r="G869" i="4"/>
  <c r="H869" i="4"/>
  <c r="I869" i="4"/>
  <c r="J869" i="4"/>
  <c r="F869" i="4"/>
  <c r="G780" i="4"/>
  <c r="H780" i="4"/>
  <c r="J780" i="4"/>
  <c r="F780" i="4"/>
  <c r="I780" i="4"/>
  <c r="J331" i="4"/>
  <c r="I894" i="4"/>
  <c r="F894" i="4"/>
  <c r="J894" i="4"/>
  <c r="G894" i="4"/>
  <c r="H894" i="4"/>
  <c r="H584" i="4"/>
  <c r="I584" i="4"/>
  <c r="F584" i="4"/>
  <c r="J584" i="4"/>
  <c r="G584" i="4"/>
  <c r="J432" i="4"/>
  <c r="F432" i="4"/>
  <c r="G432" i="4"/>
  <c r="I432" i="4"/>
  <c r="H432" i="4"/>
  <c r="I695" i="4"/>
  <c r="J695" i="4"/>
  <c r="F695" i="4"/>
  <c r="H695" i="4"/>
  <c r="G695" i="4"/>
  <c r="G544" i="4"/>
  <c r="H544" i="4"/>
  <c r="J544" i="4"/>
  <c r="F544" i="4"/>
  <c r="I544" i="4"/>
  <c r="F578" i="4"/>
  <c r="I578" i="4"/>
  <c r="J578" i="4"/>
  <c r="G578" i="4"/>
  <c r="H578" i="4"/>
  <c r="G624" i="4"/>
  <c r="H624" i="4"/>
  <c r="F624" i="4"/>
  <c r="I624" i="4"/>
  <c r="J624" i="4"/>
  <c r="J339" i="4"/>
  <c r="J326" i="4"/>
  <c r="H388" i="4"/>
  <c r="J388" i="4"/>
  <c r="F388" i="4"/>
  <c r="G388" i="4"/>
  <c r="I388" i="4"/>
  <c r="J530" i="4"/>
  <c r="I530" i="4"/>
  <c r="G530" i="4"/>
  <c r="F530" i="4"/>
  <c r="H530" i="4"/>
  <c r="H788" i="4"/>
  <c r="G788" i="4"/>
  <c r="I788" i="4"/>
  <c r="F788" i="4"/>
  <c r="J788" i="4"/>
  <c r="H424" i="4"/>
  <c r="G424" i="4"/>
  <c r="J424" i="4"/>
  <c r="I424" i="4"/>
  <c r="F424" i="4"/>
  <c r="J380" i="4"/>
  <c r="J343" i="4"/>
  <c r="H399" i="4"/>
  <c r="F399" i="4"/>
  <c r="G399" i="4"/>
  <c r="I399" i="4"/>
  <c r="J399" i="4"/>
  <c r="J779" i="4"/>
  <c r="I779" i="4"/>
  <c r="G779" i="4"/>
  <c r="H779" i="4"/>
  <c r="F779" i="4"/>
  <c r="I416" i="4"/>
  <c r="G416" i="4"/>
  <c r="J416" i="4"/>
  <c r="F416" i="4"/>
  <c r="H416" i="4"/>
  <c r="G608" i="4"/>
  <c r="J608" i="4"/>
  <c r="F608" i="4"/>
  <c r="I608" i="4"/>
  <c r="H608" i="4"/>
  <c r="F868" i="4"/>
  <c r="J868" i="4"/>
  <c r="I868" i="4"/>
  <c r="H868" i="4"/>
  <c r="G868" i="4"/>
  <c r="J924" i="4"/>
  <c r="G924" i="4"/>
  <c r="H924" i="4"/>
  <c r="I924" i="4"/>
  <c r="F924" i="4"/>
  <c r="I550" i="4"/>
  <c r="H550" i="4"/>
  <c r="F550" i="4"/>
  <c r="G550" i="4"/>
  <c r="J550" i="4"/>
  <c r="J527" i="4"/>
  <c r="I527" i="4"/>
  <c r="H527" i="4"/>
  <c r="F527" i="4"/>
  <c r="G527" i="4"/>
  <c r="F860" i="4"/>
  <c r="H860" i="4"/>
  <c r="I860" i="4"/>
  <c r="G860" i="4"/>
  <c r="J860" i="4"/>
  <c r="F906" i="4"/>
  <c r="J906" i="4"/>
  <c r="H906" i="4"/>
  <c r="I906" i="4"/>
  <c r="G906" i="4"/>
  <c r="H927" i="4"/>
  <c r="G927" i="4"/>
  <c r="F927" i="4"/>
  <c r="I927" i="4"/>
  <c r="J927" i="4"/>
  <c r="J259" i="4"/>
  <c r="J571" i="4"/>
  <c r="G571" i="4"/>
  <c r="I571" i="4"/>
  <c r="H571" i="4"/>
  <c r="F571" i="4"/>
  <c r="G499" i="4"/>
  <c r="H499" i="4"/>
  <c r="J499" i="4"/>
  <c r="F499" i="4"/>
  <c r="I499" i="4"/>
  <c r="J230" i="4"/>
  <c r="G616" i="4"/>
  <c r="I616" i="4"/>
  <c r="J616" i="4"/>
  <c r="H616" i="4"/>
  <c r="F616" i="4"/>
  <c r="J941" i="4"/>
  <c r="G941" i="4"/>
  <c r="I941" i="4"/>
  <c r="F941" i="4"/>
  <c r="H941" i="4"/>
  <c r="F531" i="4"/>
  <c r="I531" i="4"/>
  <c r="J531" i="4"/>
  <c r="G531" i="4"/>
  <c r="H531" i="4"/>
  <c r="J873" i="4"/>
  <c r="I873" i="4"/>
  <c r="F873" i="4"/>
  <c r="G873" i="4"/>
  <c r="H873" i="4"/>
  <c r="H441" i="4"/>
  <c r="F441" i="4"/>
  <c r="I441" i="4"/>
  <c r="J441" i="4"/>
  <c r="G441" i="4"/>
  <c r="H825" i="4"/>
  <c r="F825" i="4"/>
  <c r="I825" i="4"/>
  <c r="J825" i="4"/>
  <c r="G825" i="4"/>
  <c r="I915" i="4"/>
  <c r="G915" i="4"/>
  <c r="H915" i="4"/>
  <c r="J915" i="4"/>
  <c r="F915" i="4"/>
  <c r="I727" i="4"/>
  <c r="F727" i="4"/>
  <c r="J727" i="4"/>
  <c r="G727" i="4"/>
  <c r="H727" i="4"/>
</calcChain>
</file>

<file path=xl/sharedStrings.xml><?xml version="1.0" encoding="utf-8"?>
<sst xmlns="http://schemas.openxmlformats.org/spreadsheetml/2006/main" count="17882" uniqueCount="9790">
  <si>
    <t>id</t>
  </si>
  <si>
    <t>FB Profil</t>
  </si>
  <si>
    <t>https://www.facebook.com/mbp.krasnik/</t>
  </si>
  <si>
    <t>Miejska Biblioteka Publiczna w Koninie</t>
  </si>
  <si>
    <t>Miejska Biblioteka Publiczna w Kraśniku</t>
  </si>
  <si>
    <t>Biblioteka na Wodnika Filia nr 18</t>
  </si>
  <si>
    <t>https://www.facebook.com/filianr18MBP/</t>
  </si>
  <si>
    <t>Biblioteka publiczna w Piasecznie</t>
  </si>
  <si>
    <t>https://www.facebook.com/biblioteka.piaseczno/</t>
  </si>
  <si>
    <t>https://www.facebook.com/gbpwyry/</t>
  </si>
  <si>
    <t>Biblioteka Wyry/Biblioteka Gostyń</t>
  </si>
  <si>
    <t>Miejska Biblioteka Publiczna w Złotoryi</t>
  </si>
  <si>
    <t>https://www.facebook.com/MBPZlotoryja/</t>
  </si>
  <si>
    <t>Biblioteka Czterech Kultur</t>
  </si>
  <si>
    <t>https://www.facebook.com/bibliotekaczterechkultur/</t>
  </si>
  <si>
    <t>https://www.facebook.com/MiejskaBibliotekaPublicznaWSzczecinie/</t>
  </si>
  <si>
    <t>Miejska Biblioteka Publiczna w Szczecinie</t>
  </si>
  <si>
    <t>https://www.facebook.com/biblioteka.turek/</t>
  </si>
  <si>
    <t>Miejska Biblioteka Publiczna im. Włodzimierza Pietrzaka w Turku</t>
  </si>
  <si>
    <t>https://www.facebook.com/bibliotekaborow/</t>
  </si>
  <si>
    <t>Gminna Biblioteka Publiczna w Borowie</t>
  </si>
  <si>
    <t>https://www.facebook.com/MultimedialnaFiliaBiblioteczna</t>
  </si>
  <si>
    <t>Biblioteka pod Atlantami Multimedialna Filia Biblioteczna</t>
  </si>
  <si>
    <t>https://www.facebook.com/fajnabiblioteka/</t>
  </si>
  <si>
    <t>Miejsko - Gminna Biblioteka Publiczna w Opolu Lubelskim</t>
  </si>
  <si>
    <t>https://www.facebook.com/mbp.konin/</t>
  </si>
  <si>
    <t>https://www.facebook.com/bpochota/</t>
  </si>
  <si>
    <t>Biblioteka Publiczna w Dzielnicy Ochota m.st. Warszawy</t>
  </si>
  <si>
    <t>opis</t>
  </si>
  <si>
    <t>https://www.facebook.com/Wojew%C3%B3dzka-Biblioteka-Publiczna-im-Marsza%C5%82ka-J%C3%B3zefa-Pi%C5%82sudskiego-w-%C5%81odzi-222287637949745</t>
  </si>
  <si>
    <t>Wojewódzka Biblioteka Publiczna im. Marszałka Józefa Piłsudskiego w Łodzi</t>
  </si>
  <si>
    <t>https://www.facebook.com/Gminna-Biblioteka-Publiczna-w-Czernicach-Borowych-410660082356989/</t>
  </si>
  <si>
    <t>Gminna Biblioteka Publiczna w Czernicach Borowych</t>
  </si>
  <si>
    <t>https://www.facebook.com/bibliotekapublicznawozarowiemazowieckim/</t>
  </si>
  <si>
    <t>Biblioteka Publiczna w Ożarowie Mazowieckim</t>
  </si>
  <si>
    <t>https://www.facebook.com/Powiatowa-i-Miejska-Biblioteka-Publiczna-w-Bochni-571385216231084/</t>
  </si>
  <si>
    <t>Powiatowa i Miejska Biblioteka Publiczna w Bochni</t>
  </si>
  <si>
    <t>https://www.facebook.com/Miejska-Biblioteka-Publiczna-w-Czchowie-1829212584026346/</t>
  </si>
  <si>
    <t>Miejska Biblioteka Publiczna w Czchowie</t>
  </si>
  <si>
    <t>https://www.facebook.com/bibliotekalipowa/</t>
  </si>
  <si>
    <t>Gminna Biblioteka Publiczna w Lipowej</t>
  </si>
  <si>
    <t>https://www.facebook.com/Biblioteka-Publiczna-w-dzielnicy-Wilan%C3%B3w-341753275843175/</t>
  </si>
  <si>
    <t>Biblioteka Publiczna w dzielnicy Wilanów</t>
  </si>
  <si>
    <t>https://www.facebook.com/mbp.chrzanow/</t>
  </si>
  <si>
    <t>Miejska Biblioteka Publiczna w Chrzanowie</t>
  </si>
  <si>
    <t>odpowiedzieli, odezwą się w przyszłym roku. Podałem tel i mail</t>
  </si>
  <si>
    <t>interakcja</t>
  </si>
  <si>
    <t>propozycja spotkania online bezkosztowego</t>
  </si>
  <si>
    <t>https://www.facebook.com/Miejska.Biblioteka.Publiczna.we.Wroclawiu</t>
  </si>
  <si>
    <t>Miejska Biblioteka Publiczna we Wrocławiu</t>
  </si>
  <si>
    <t>Pomyślą. 
Małgorzata Trejtowicz, Dział Marketingu i Promocji Literatury.</t>
  </si>
  <si>
    <t>https://www.facebook.com/BibliotekaGdynia</t>
  </si>
  <si>
    <t>Biblioteka Gdynia</t>
  </si>
  <si>
    <t>Przesłałam Pana propozycję do pani, która zajmuje się organizacją spotkań dla Dyskusyjnych Klubów Książki w woj. łódzkim. Być może ma jeszcze wolne terminy w tym roku. Pozdrawiam Jola Zwierzyńska</t>
  </si>
  <si>
    <t>https://www.facebook.com/MBPKatowiceFilia12</t>
  </si>
  <si>
    <t>Filia nr 12 Miejskiej Biblioteki Publicznej w Katowicach</t>
  </si>
  <si>
    <t>kontakt: promocja@mbp.katowice.pl
Wymiana korespondencji w sprawie spotkania</t>
  </si>
  <si>
    <t>biblioteka.klobuck@interia.pl - wysłąno mail</t>
  </si>
  <si>
    <t>https://www.facebook.com/Biblioteka-Publiczna-Gminy-K%C5%82obuck-im-Jana-D%C5%82ugosza-625687560919937/</t>
  </si>
  <si>
    <t>Biblioteka Publiczna Gminy Kłobuck im. Jana Długosza</t>
  </si>
  <si>
    <t>https://www.facebook.com/bibliotekaczestochowa/</t>
  </si>
  <si>
    <t>Biblioteka Publiczna im. dr. Władysława Biegańskiego w Częstochowie</t>
  </si>
  <si>
    <t>https://www.facebook.com/GBP.Kety/</t>
  </si>
  <si>
    <t>Gminna Biblioteka Publiczna w Kętach</t>
  </si>
  <si>
    <t>https://www.facebook.com/Miejska-i-Powiatowa-Biblioteka-Publiczna-w-B%C4%99dzinie-im-Stefana-%C5%BBeromskiego-124005290972034/</t>
  </si>
  <si>
    <t>Miejska i Powiatowa Biblioteka Publiczna w Będzinie im. Stefana Żeromskiego</t>
  </si>
  <si>
    <t>https://www.facebook.com/bibliotekajastrzebie/</t>
  </si>
  <si>
    <t>Miejska Biblioteka Publiczna w Jastrzębiu-Zdroju</t>
  </si>
  <si>
    <t>https://www.facebook.com/wbplublin/</t>
  </si>
  <si>
    <t>Wojewódzka Biblioteka Publiczna im. Hieronima Łopacińskiego w Lublinie</t>
  </si>
  <si>
    <t>https://www.facebook.com/bibliotekazdwola/</t>
  </si>
  <si>
    <t>Miejska Biblioteka Publiczna w Zduńskiej Woli</t>
  </si>
  <si>
    <t>biblzd@poczta.onet.pl - wysłałem mail</t>
  </si>
  <si>
    <t>https://www.facebook.com/Miejska-Biblioteka-Publiczna-im-Marii-D%C4%85browskiej-w-Ostrowi-Mazowieckiej-223777197690056/</t>
  </si>
  <si>
    <t>Miejska Biblioteka Publiczna im. Marii Dąbrowskiej w Ostrowi Mazowieckiej</t>
  </si>
  <si>
    <t xml:space="preserve">
biblioteka@mbpostrowmaz.pl - wysłano mail</t>
  </si>
  <si>
    <t>https://www.facebook.com/KBPKrotoszyn/</t>
  </si>
  <si>
    <t>Krotoszyńska Biblioteka Publiczna im. Arkadego Fiedlera w Krotoszynie</t>
  </si>
  <si>
    <t>biblioteka@krotoszyn.pl - wysłąno mail</t>
  </si>
  <si>
    <t>https://www.facebook.com/bmijk.inowroclaw/</t>
  </si>
  <si>
    <t>Biblioteka Miejska im. Jana Kasprowicza</t>
  </si>
  <si>
    <t>https://www.facebook.com/mbp.oswiecim/</t>
  </si>
  <si>
    <t>Miejska Biblioteka Publiczna w Oświęcimiu Galeria Książki</t>
  </si>
  <si>
    <t>https://www.facebook.com/Miejska-Biblioteka-Publiczna-w-Czechowicach-Dziedzicach-267555839938163/</t>
  </si>
  <si>
    <t>Miejska Biblioteka Publiczna w Czechowicach-Dziedzicach</t>
  </si>
  <si>
    <t>https://www.facebook.com/BibliotekaMiejskaGrudziadz/</t>
  </si>
  <si>
    <t>Biblioteka Miejska im. W. Kulerskiego</t>
  </si>
  <si>
    <t>https://www.facebook.com/MBPGliwice/</t>
  </si>
  <si>
    <t>Miejska Biblioteka Publiczna w Gliwicach</t>
  </si>
  <si>
    <t>https://www.facebook.com/bibliotekamiejskacieszyn/</t>
  </si>
  <si>
    <t>Biblioteka Miejska w Cieszynie</t>
  </si>
  <si>
    <t>https://www.facebook.com/MBPwCzeladzi/</t>
  </si>
  <si>
    <t>Miejska Biblioteka Publiczna w Czeladzi</t>
  </si>
  <si>
    <t>https://www.facebook.com/mbpdg/</t>
  </si>
  <si>
    <t>Miejska Biblioteka Publiczna w Dąbrowie Górniczej</t>
  </si>
  <si>
    <t>https://www.facebook.com/mbprsl/</t>
  </si>
  <si>
    <t>Miejska Biblioteka Publiczna w Rudzie Śląskiej</t>
  </si>
  <si>
    <t>https://www.facebook.com/mbpswietochlowice/</t>
  </si>
  <si>
    <t>Miejska Biblioteka Publiczna w Świętochłowicach</t>
  </si>
  <si>
    <t>https://www.facebook.com/bibliotekapiekary/</t>
  </si>
  <si>
    <t>Miejska Biblioteka Publiczna im. Teodora Heneczka w Piekarach Śląskich</t>
  </si>
  <si>
    <r>
      <rPr>
        <sz val="11"/>
        <rFont val="Segoe UI Historic"/>
        <family val="2"/>
      </rPr>
      <t xml:space="preserve">Szanowni Państwo, w związku z tym, że kompletnie nie znam rynku bibliotekarskiego zasięgnąć Państwa porady. Moja żona wydała we wrześniu swoją pierwszą powieść. Powieść jest bardzo dobrze odbierana o czym można poczytać w opiniach na lubimy czytać czy też na instagramie pod hastagiem #ostatnirozdział. Z tego co czytam na profilach różnych uznanych autorów biblioteki to bardzo ważny kanał spotkań i promocji książek. Jak samozwańczy agent autorki chciałbym się dowiedzieć jak to działa (zwłaszcza w aktualnej pandemicznej sytuacji). Czy organizują Państwo taki spotkania, na przykład on-line lub ma żywo z zachowaniem standardów ochrony epidemicznej? Byłbym wdzięczny, gdy mogli mi Państwo coś podpowiedzieć. I oczywiście polecam książkę "Ostatni rozdział" - to naprawdę literatura piękna, bardzo dojrzała - aż ciężko uwierzyć, że to debiut. A treść przepełniona miłością do literatury, księgarstwa i trudnej acz niedocenianej pracy tłumaczy zachwyci każdego książkoholika. I piszę to ja, który przez dwa lata podchodził dosyć sceptycznie do tego całego pisania, które wydawało mi się, że pewnie wyląduje w szufladzie, a okazało się, że z pięciu wydawnictw do których żona wysłała rękopis dwa chciały to wydać. Jak w końcu książka wyszła i mogłem ją przeczytać, to pomyślałem sobie, że muszę żonie wynagrodzić mój wcześniejszy sceptycyzm i dlatego proszę o podpowiedź, jak się poruszać w obszarze bibliotek. Na początku przyszłego roku ukaże się kolejna książka, tym razem dla dla dzieci (8-10), tym razem już przeczytałem rękopis i uważam, że jest bardzo dobra, lekka i dowcipna w języku ale mądra i edukacyjna. Pozdrawiam i liczę na Państwa podpowiedź Piotr Kalista </t>
    </r>
    <r>
      <rPr>
        <u/>
        <sz val="11"/>
        <rFont val="Inherit"/>
      </rPr>
      <t>https://lubimyczytac.pl/ksiazka/4937228/ostatni-rozdzial</t>
    </r>
    <r>
      <rPr>
        <sz val="11"/>
        <rFont val="Segoe UI Historic"/>
        <family val="2"/>
      </rPr>
      <t xml:space="preserve"> </t>
    </r>
    <r>
      <rPr>
        <u/>
        <sz val="11"/>
        <rFont val="Inherit"/>
      </rPr>
      <t>https://wielkibuk.com/2020/09/28/ostatni-rozdzial-katarzyna-kalista-recenzja-patronacka/</t>
    </r>
    <r>
      <rPr>
        <sz val="11"/>
        <rFont val="Segoe UI Historic"/>
        <family val="2"/>
      </rPr>
      <t xml:space="preserve"> </t>
    </r>
    <r>
      <rPr>
        <u/>
        <sz val="11"/>
        <rFont val="Inherit"/>
      </rPr>
      <t>https://ladymargot.pl/251-ostatni-rozdzial-katarzyna-kalista/</t>
    </r>
    <r>
      <rPr>
        <sz val="11"/>
        <rFont val="Segoe UI Historic"/>
        <family val="2"/>
      </rPr>
      <t xml:space="preserve"> </t>
    </r>
    <r>
      <rPr>
        <u/>
        <sz val="11"/>
        <rFont val="Inherit"/>
      </rPr>
      <t>https://rudabiblioteczka.blogspot.com/2020/09/katarzyna-kalista-ostatni-rozdzia.html</t>
    </r>
  </si>
  <si>
    <t>Augustów</t>
  </si>
  <si>
    <t>Białystok</t>
  </si>
  <si>
    <t>Bielsk Podlaski</t>
  </si>
  <si>
    <t>Choroszcz</t>
  </si>
  <si>
    <t>Czerwone</t>
  </si>
  <si>
    <t>Dąbrowa Białostocka</t>
  </si>
  <si>
    <t>Gródek</t>
  </si>
  <si>
    <t>Hajnówka</t>
  </si>
  <si>
    <t>Knyszyn</t>
  </si>
  <si>
    <t>Kolno</t>
  </si>
  <si>
    <t>Łapy</t>
  </si>
  <si>
    <t>Mielnik</t>
  </si>
  <si>
    <t>Mońki</t>
  </si>
  <si>
    <t>Narew</t>
  </si>
  <si>
    <t>Podgórze</t>
  </si>
  <si>
    <t>Poświętne</t>
  </si>
  <si>
    <t>Rafałówka</t>
  </si>
  <si>
    <t>Ruda</t>
  </si>
  <si>
    <t>Sejny</t>
  </si>
  <si>
    <t>Siemiatycze</t>
  </si>
  <si>
    <t>Sobolewo</t>
  </si>
  <si>
    <t>Suraż</t>
  </si>
  <si>
    <t>Suwałki</t>
  </si>
  <si>
    <t>Szczuczyn</t>
  </si>
  <si>
    <t>Sztabin</t>
  </si>
  <si>
    <t>Turośń Kościelna</t>
  </si>
  <si>
    <t>Uhowo</t>
  </si>
  <si>
    <t>Wasilków</t>
  </si>
  <si>
    <t>Zambrów</t>
  </si>
  <si>
    <t>Zawady</t>
  </si>
  <si>
    <t>Bydgoszcz</t>
  </si>
  <si>
    <t>Barcin</t>
  </si>
  <si>
    <t>Bukowiec</t>
  </si>
  <si>
    <t>Chełmce</t>
  </si>
  <si>
    <t>Dąbrowa Chełmińska</t>
  </si>
  <si>
    <t>Gąsawa</t>
  </si>
  <si>
    <t>Gostycyn</t>
  </si>
  <si>
    <t>Gnojno</t>
  </si>
  <si>
    <t>Inowrocław</t>
  </si>
  <si>
    <t>Jeżewo</t>
  </si>
  <si>
    <t>Kamień Krajeński</t>
  </si>
  <si>
    <t>Kęsowo</t>
  </si>
  <si>
    <t>Koronowo</t>
  </si>
  <si>
    <t>Kruszwica</t>
  </si>
  <si>
    <t>Laskowice</t>
  </si>
  <si>
    <t>Lniano</t>
  </si>
  <si>
    <t>Łabiszyn</t>
  </si>
  <si>
    <t>Mamlicz</t>
  </si>
  <si>
    <t>Mogilno</t>
  </si>
  <si>
    <t>Nakło</t>
  </si>
  <si>
    <t>Nowe</t>
  </si>
  <si>
    <t>Osie</t>
  </si>
  <si>
    <t>Paterek</t>
  </si>
  <si>
    <t>Piechcin</t>
  </si>
  <si>
    <t>Potulice</t>
  </si>
  <si>
    <t>Pruszcz</t>
  </si>
  <si>
    <t>Rogowo</t>
  </si>
  <si>
    <t>Sępólno Krajeńskie</t>
  </si>
  <si>
    <t>Sicienko</t>
  </si>
  <si>
    <t>Biblioteka Publiczna Miasta i Gminy</t>
  </si>
  <si>
    <t>ul. Wojska Polskiego 4a</t>
  </si>
  <si>
    <t>88-190 Barcin</t>
  </si>
  <si>
    <t>DKK dla dorosłych</t>
  </si>
  <si>
    <t>DKK dla dzieci</t>
  </si>
  <si>
    <t>Gminna Biblioteka Publiczna</t>
  </si>
  <si>
    <t>ul. Dworcowa 7</t>
  </si>
  <si>
    <t>86-122 Bukowiec</t>
  </si>
  <si>
    <t>Wojewódzka i Miejska Biblioteka Publiczna - Filia nr 3</t>
  </si>
  <si>
    <t>ul. Grunwaldzka 33</t>
  </si>
  <si>
    <t>85-239 Bydgoszcz</t>
  </si>
  <si>
    <t>Wojewódzka i Miejska Biblioteka Publiczna - Filia nr 11</t>
  </si>
  <si>
    <t>ul. Czołgistów 8</t>
  </si>
  <si>
    <t>85-532 Bydgoszcz</t>
  </si>
  <si>
    <t>Wojewódzka i Miejska Biblioteka Publiczna - Filia nr 12</t>
  </si>
  <si>
    <t>ul. Ujejskiego 58</t>
  </si>
  <si>
    <t>85-168 Bydgoszcz</t>
  </si>
  <si>
    <t>Wojewódzka i Miejska Biblioteka Publiczna - Filia nr 13</t>
  </si>
  <si>
    <t>ul. Gawędy 1</t>
  </si>
  <si>
    <t>85-792 Bydgoszcz</t>
  </si>
  <si>
    <t>ul. Połczyńska 3</t>
  </si>
  <si>
    <t>85-711 Bydgoszcz</t>
  </si>
  <si>
    <t>Wojewódzka i Miejska Biblioteka Publiczna - Filia nr 14</t>
  </si>
  <si>
    <t>ul. Dworcowa 49</t>
  </si>
  <si>
    <t>85-009 Bydgoszcz</t>
  </si>
  <si>
    <t>ul. Bohaterów Kragujewca 11</t>
  </si>
  <si>
    <t>85-863 Bydgoszcz</t>
  </si>
  <si>
    <t>Wojewódzka i Miejska Biblioteka Publiczna - Filia nr 15</t>
  </si>
  <si>
    <t>ul. Brzęczkowskiego 2</t>
  </si>
  <si>
    <t>85-796 Bydgoszcz</t>
  </si>
  <si>
    <t>Wojewódzka i Miejska Biblioteka Publiczna - Filia nr 16</t>
  </si>
  <si>
    <t>ul. Broniewskiego 1</t>
  </si>
  <si>
    <t>85-316 Bydgoszcz</t>
  </si>
  <si>
    <t>Wojewódzka i Miejska Biblioteka Publiczna - Filia nr 19</t>
  </si>
  <si>
    <t>ul. Powstańców Wielkopolskich 26</t>
  </si>
  <si>
    <t>85-090 Bydgoszcz</t>
  </si>
  <si>
    <t>Wojewódzka i Miejska Biblioteka Publiczna - Filia nr 20</t>
  </si>
  <si>
    <t>ul. Nowotoruńska 2</t>
  </si>
  <si>
    <t>85-840 Bydgoszcz</t>
  </si>
  <si>
    <t>Wojewódzka i Miejska Biblioteka Publiczna - Filia nr 21</t>
  </si>
  <si>
    <t>ul. M. Curie-Skłodowskiej 33a</t>
  </si>
  <si>
    <t>85-733 Bydgoszcz</t>
  </si>
  <si>
    <t>Wojewódzka i Miejska Biblioteka Publiczna - Filia nr 23</t>
  </si>
  <si>
    <t>ul. M. Konopnickiej 28</t>
  </si>
  <si>
    <t>85-124 Bydgoszcz</t>
  </si>
  <si>
    <t>Wojewódzka i Miejska Biblioteka Publiczna - Filia nr 24</t>
  </si>
  <si>
    <t>ul. Pielęgniarska 17</t>
  </si>
  <si>
    <t>85-790 Bydgoszcz</t>
  </si>
  <si>
    <t>Wojewódzka i Miejska Biblioteka Publiczna - Filia nr 25</t>
  </si>
  <si>
    <t>ul. Jeżewska 6</t>
  </si>
  <si>
    <t>85-552 Bydgoszcz</t>
  </si>
  <si>
    <t>Wojewódzka i Miejska Biblioteka Publiczna - Filia nr 32</t>
  </si>
  <si>
    <t>ul. Przyjazna 13</t>
  </si>
  <si>
    <t>85-858 Bydgoszcz</t>
  </si>
  <si>
    <t>Biblioteka Klubu Inspektoratu Wsparcia Sił Zbrojnych</t>
  </si>
  <si>
    <t>ul. Sułkowskiego 52</t>
  </si>
  <si>
    <t>85-915 Bydgoszcz</t>
  </si>
  <si>
    <t>Miejsko-Gminna Biblioteka Publiczna w Kruszwicy – Filia w Chełmcach</t>
  </si>
  <si>
    <t>Chełmce 90</t>
  </si>
  <si>
    <t>88-121 Chełmce</t>
  </si>
  <si>
    <t>Gminna Biblioteka Publiczno-Szkolna</t>
  </si>
  <si>
    <t>ul. Bydgoska 19</t>
  </si>
  <si>
    <t>86-070 Dąbrowa Chełmińska</t>
  </si>
  <si>
    <t>DKK dla młodzieży</t>
  </si>
  <si>
    <t>ul. Żnińska 19</t>
  </si>
  <si>
    <t>88-410 Gąsawa</t>
  </si>
  <si>
    <t>ul. Sępoleńska 12a</t>
  </si>
  <si>
    <t>89-520 Gostycyn</t>
  </si>
  <si>
    <t>Gminna Biblioteka Publiczna w Jaksicach – Filia w Gnojnie</t>
  </si>
  <si>
    <t>Gnojno 33</t>
  </si>
  <si>
    <t>88-110 Inowrocław</t>
  </si>
  <si>
    <t>Biblioteka Miejska - Wypożyczalnia Biblioteki Głównej</t>
  </si>
  <si>
    <t>ul. Kilińskiego 16</t>
  </si>
  <si>
    <t>88-100 Inowrocław</t>
  </si>
  <si>
    <t>Biblioteka Miejska - Filia nr 1</t>
  </si>
  <si>
    <t>ul. Wilkońskiego 32</t>
  </si>
  <si>
    <t>Biblioteka Miejska - Filia nr 3</t>
  </si>
  <si>
    <t>ul. Szarych Szeregów 2</t>
  </si>
  <si>
    <t>Biblioteka Miejska - Filia nr 4</t>
  </si>
  <si>
    <t>ul. Poprzeczna 29</t>
  </si>
  <si>
    <t>Biblioteka Miejska - Filia nr 7</t>
  </si>
  <si>
    <t>ul. Marulewska 7</t>
  </si>
  <si>
    <t>Gminna Biblioteka Publiczna w Jeżewie z siedzibą w Laskowicach – Filia Jeżewo</t>
  </si>
  <si>
    <t>ul. Główna 2a</t>
  </si>
  <si>
    <t>86-131 Jeżewo</t>
  </si>
  <si>
    <t>Miejsko-Gminna Biblioteka Publiczna</t>
  </si>
  <si>
    <t>ul. Leśna 11</t>
  </si>
  <si>
    <t>89-430 Kamień Krajeński</t>
  </si>
  <si>
    <t>ul. Główna 7</t>
  </si>
  <si>
    <t>89-506 Kęsowo</t>
  </si>
  <si>
    <t>Miejska Biblioteka Publiczna</t>
  </si>
  <si>
    <t>ul. Szosa Kotomierska 3</t>
  </si>
  <si>
    <t>86-010 Koronowo</t>
  </si>
  <si>
    <t>ul. Rybacka 22</t>
  </si>
  <si>
    <t>88-150 Kruszwica</t>
  </si>
  <si>
    <t>Gminna Biblioteka Publiczna w Jeżewie z siedzibą w Laskowicach</t>
  </si>
  <si>
    <t>ul. Mickiewicza 3A</t>
  </si>
  <si>
    <t>86-130 Laskowice</t>
  </si>
  <si>
    <t>ul. Wyzwolenia 9</t>
  </si>
  <si>
    <t>86-141 Lniano</t>
  </si>
  <si>
    <t>ul. Parkowa 1</t>
  </si>
  <si>
    <t>89-210 Łabiszyn</t>
  </si>
  <si>
    <t>Biblioteka Publiczna Miasta i Gminy w Barcinie – Filia w Mamliczu</t>
  </si>
  <si>
    <t>Mamlicz 72</t>
  </si>
  <si>
    <t>Rynek 8</t>
  </si>
  <si>
    <t>88-300 Mogilno</t>
  </si>
  <si>
    <t>Powiatowa i Miejska Biblioteka Publiczna</t>
  </si>
  <si>
    <t>ul. Dąbrowskiego 20/22</t>
  </si>
  <si>
    <t>89-100 Nakło</t>
  </si>
  <si>
    <t>Powiatowa i Miejska Biblioteka Publiczna – Filia Ogólna</t>
  </si>
  <si>
    <t>Osiedle Łokietka 15</t>
  </si>
  <si>
    <t>Plac Zamkowy 3</t>
  </si>
  <si>
    <t>86-170 Nowe</t>
  </si>
  <si>
    <t>Rynek 2</t>
  </si>
  <si>
    <t>86-150 Osie</t>
  </si>
  <si>
    <t>Powiatowa i Miejska Biblioteka Publiczna w Nakle – Filia w Paterku</t>
  </si>
  <si>
    <t>ul. Wyzwolenia 3</t>
  </si>
  <si>
    <t>Biblioteka Publiczna Miasta i Gminy w Barcinie – Filia w Piechcinie</t>
  </si>
  <si>
    <t>ul. 11 Listopada 1c</t>
  </si>
  <si>
    <t>88-192 Piechcin</t>
  </si>
  <si>
    <t>Powiatowa i Miejska Biblioteka Publiczna w Nakle – Filia w Potulicach</t>
  </si>
  <si>
    <t>ul. Działkowa 8a</t>
  </si>
  <si>
    <t>89-120 Potulice</t>
  </si>
  <si>
    <t>ul. Sportowa 1</t>
  </si>
  <si>
    <t>86-120 Pruszcz</t>
  </si>
  <si>
    <t>Gminna Biblioteka Publiczna w Gostycynie – Filia w Pruszczu</t>
  </si>
  <si>
    <t>ul. Dworcowa 33</t>
  </si>
  <si>
    <t>Plac Powstańców Wielkopolskich 26</t>
  </si>
  <si>
    <t>88-420 Rogowo</t>
  </si>
  <si>
    <t>Biblioteka Publiczna</t>
  </si>
  <si>
    <t>ul. Wojska Polskiego 22</t>
  </si>
  <si>
    <t>89-400 Sępólno Krajeńskie</t>
  </si>
  <si>
    <t>Biblioteka Publiczna – Filia Miejska</t>
  </si>
  <si>
    <t>ul. T. Kościuszki 11</t>
  </si>
  <si>
    <t>ul. Bydgoska 6</t>
  </si>
  <si>
    <t>86-014 Sicienko</t>
  </si>
  <si>
    <t>Solec Kujawski</t>
  </si>
  <si>
    <t>ul. 23 Stycznia 9</t>
  </si>
  <si>
    <t>86-050 Solec Kujawski</t>
  </si>
  <si>
    <t>DKK dla dorosłych „ZABOOKOWANI”</t>
  </si>
  <si>
    <t>Sośno</t>
  </si>
  <si>
    <t>ul. Jana Pawła II 1</t>
  </si>
  <si>
    <t>89-412 Sośno</t>
  </si>
  <si>
    <t>Szubin</t>
  </si>
  <si>
    <t>Rejonowa Biblioteka Publiczna</t>
  </si>
  <si>
    <t>ul. Kcyńska 11</t>
  </si>
  <si>
    <t>89-200 Szubin</t>
  </si>
  <si>
    <t>Ślesin</t>
  </si>
  <si>
    <t>Powiatowa i Miejska Biblioteka Publiczna w Nakle – Filia w Ślesinie</t>
  </si>
  <si>
    <t>ul. Strażacka 2</t>
  </si>
  <si>
    <t>89-121 Ślesin</t>
  </si>
  <si>
    <t>Świecie</t>
  </si>
  <si>
    <t>ul. Sienkiewicza 4</t>
  </si>
  <si>
    <t>86-100 Świecie</t>
  </si>
  <si>
    <t>Miejska Biblioteka Publiczna - Filia nr 1</t>
  </si>
  <si>
    <t>ul. Wojska Polskiego 5</t>
  </si>
  <si>
    <t>86-105 Świecie</t>
  </si>
  <si>
    <t>Miejska Biblioteka Publiczna – Filia nr 5</t>
  </si>
  <si>
    <t>ul. Ks. Kard. Stefana Wyszyńskiego 15</t>
  </si>
  <si>
    <t>Świekatowo</t>
  </si>
  <si>
    <t>ul. Dworcowa 3</t>
  </si>
  <si>
    <t>86-182 Świekatowo</t>
  </si>
  <si>
    <t>Trzeciewnica</t>
  </si>
  <si>
    <t>Powiatowa i Miejska Biblioteka Publiczna w Nakle – Filia w Trzeciewnicy</t>
  </si>
  <si>
    <t>ul. Powstańców Wielkopolskich 25</t>
  </si>
  <si>
    <t>89-100 Trzeciewnica</t>
  </si>
  <si>
    <t>Tuchola</t>
  </si>
  <si>
    <t>ul. Pocztowa 7B</t>
  </si>
  <si>
    <t>89-500 Tuchola</t>
  </si>
  <si>
    <t>Wielka Klonia</t>
  </si>
  <si>
    <t>Gminna Biblioteka Publiczna w Gostycynie – Filia w Wielkiej Kloni</t>
  </si>
  <si>
    <t>Wielka Klonia 13</t>
  </si>
  <si>
    <t>Więcbork</t>
  </si>
  <si>
    <t>ul. gen. J. Hallera 22</t>
  </si>
  <si>
    <t>89-410 Więcbork</t>
  </si>
  <si>
    <t>Wola Wapowska</t>
  </si>
  <si>
    <t>Miejsko-Gminna Biblioteka Publiczna w Kruszwicy – Filia w Woli Wapowskiej</t>
  </si>
  <si>
    <t>Wola Wapowska 6</t>
  </si>
  <si>
    <t>88-153 Kruszwica</t>
  </si>
  <si>
    <t>Złotniki Kujawskie</t>
  </si>
  <si>
    <t>Biblioteka Publiczna Gminy</t>
  </si>
  <si>
    <t>ul. Powstańców Wielkopolskich 1</t>
  </si>
  <si>
    <t>88-180 Złotniki Kujawskie</t>
  </si>
  <si>
    <t>Żnin</t>
  </si>
  <si>
    <t>Miejska i Powiatowa Biblioteka Publiczna</t>
  </si>
  <si>
    <t>88-400 Żnin</t>
  </si>
  <si>
    <t>Biblioteka</t>
  </si>
  <si>
    <t>Adr 1</t>
  </si>
  <si>
    <t>Adr 2</t>
  </si>
  <si>
    <t>tel</t>
  </si>
  <si>
    <t>email</t>
  </si>
  <si>
    <t>moderatorka</t>
  </si>
  <si>
    <t>dla1</t>
  </si>
  <si>
    <t>dla2</t>
  </si>
  <si>
    <t>Miejscowość</t>
  </si>
  <si>
    <t xml:space="preserve"> 52 383 21 66</t>
  </si>
  <si>
    <t>Renata Grabowska</t>
  </si>
  <si>
    <t/>
  </si>
  <si>
    <t>Joanna Kujawa-Drozdowska</t>
  </si>
  <si>
    <t xml:space="preserve"> 52 332 25 71</t>
  </si>
  <si>
    <t>Anna Kruczyńska</t>
  </si>
  <si>
    <t xml:space="preserve"> 512 301 087</t>
  </si>
  <si>
    <t>Joanna Kmiecik</t>
  </si>
  <si>
    <t xml:space="preserve"> 573 313 567</t>
  </si>
  <si>
    <t>Magdalena Dzierla</t>
  </si>
  <si>
    <t xml:space="preserve"> 52 371 89 68</t>
  </si>
  <si>
    <t>Grażyna Gierszewska</t>
  </si>
  <si>
    <t xml:space="preserve"> 52 343 32 35</t>
  </si>
  <si>
    <t>Joanna Gałat</t>
  </si>
  <si>
    <t xml:space="preserve"> 52 342 82 24</t>
  </si>
  <si>
    <t>Agnieszka Ewleszyn</t>
  </si>
  <si>
    <t xml:space="preserve"> 52 323 80 05</t>
  </si>
  <si>
    <t>Lucyna Matczyńska</t>
  </si>
  <si>
    <t xml:space="preserve"> 512 319 079</t>
  </si>
  <si>
    <t>Agnieszka Kuklińska</t>
  </si>
  <si>
    <t xml:space="preserve"> 52 348 52 25</t>
  </si>
  <si>
    <t>Joanna Albrecht</t>
  </si>
  <si>
    <t>Izabela Dekowska</t>
  </si>
  <si>
    <t xml:space="preserve"> 52 348 75 34</t>
  </si>
  <si>
    <t>Ewa Guzik</t>
  </si>
  <si>
    <t xml:space="preserve"> 52 340 07 96</t>
  </si>
  <si>
    <t>Agnieszka Wrzos</t>
  </si>
  <si>
    <t xml:space="preserve"> 52 372 63 20</t>
  </si>
  <si>
    <t>Daniel B. Rudnicki</t>
  </si>
  <si>
    <t xml:space="preserve"> 52 371 84 98</t>
  </si>
  <si>
    <t>Małgorzata Prusak</t>
  </si>
  <si>
    <t xml:space="preserve"> 52 379 57 70</t>
  </si>
  <si>
    <t>Dominika Sokowska</t>
  </si>
  <si>
    <t xml:space="preserve"> 52 343 73 53</t>
  </si>
  <si>
    <t>Jakub Węglerski</t>
  </si>
  <si>
    <t xml:space="preserve"> 512 984 879</t>
  </si>
  <si>
    <t>Weronika Frommholz</t>
  </si>
  <si>
    <t xml:space="preserve"> 52 362 12 52</t>
  </si>
  <si>
    <t>Magdalena Kiełpińska</t>
  </si>
  <si>
    <t xml:space="preserve"> 261 413 563</t>
  </si>
  <si>
    <t>Zdzisława Gajownik</t>
  </si>
  <si>
    <t xml:space="preserve"> 52 351 68 28</t>
  </si>
  <si>
    <t>Marta Pietrzak</t>
  </si>
  <si>
    <t xml:space="preserve"> 52 381 60 46</t>
  </si>
  <si>
    <t>Anna Wilska</t>
  </si>
  <si>
    <t>Hanna Klarkowska</t>
  </si>
  <si>
    <t xml:space="preserve"> 52 303 62 45</t>
  </si>
  <si>
    <t>Wiesława Janiszewska</t>
  </si>
  <si>
    <t xml:space="preserve"> 52 334 62 51</t>
  </si>
  <si>
    <t>Klaudia Kwasigroch</t>
  </si>
  <si>
    <t xml:space="preserve"> 52 353 07 04</t>
  </si>
  <si>
    <t>Barbara Zięba</t>
  </si>
  <si>
    <t xml:space="preserve"> 52 357 93 89</t>
  </si>
  <si>
    <t>Marlena Sobczyńska</t>
  </si>
  <si>
    <t xml:space="preserve"> 52 357 64 70</t>
  </si>
  <si>
    <t>Anna Krzysztoszek</t>
  </si>
  <si>
    <t xml:space="preserve"> 52 352 19 03</t>
  </si>
  <si>
    <t xml:space="preserve">Anna Mikołajczak </t>
  </si>
  <si>
    <t xml:space="preserve"> 52 357 51 08</t>
  </si>
  <si>
    <t>Dorota Kubska</t>
  </si>
  <si>
    <t xml:space="preserve"> 52 357 32 45</t>
  </si>
  <si>
    <t>Lidia Kubczak</t>
  </si>
  <si>
    <t xml:space="preserve"> 789 133 559</t>
  </si>
  <si>
    <t>Natalia Poćwiardowska</t>
  </si>
  <si>
    <t xml:space="preserve"> 52 388 60 95</t>
  </si>
  <si>
    <t>Dorota Kortas-Punder</t>
  </si>
  <si>
    <t xml:space="preserve"> 52 334 40 92</t>
  </si>
  <si>
    <t>Kamila Zimorska</t>
  </si>
  <si>
    <t xml:space="preserve"> 52 382 42 73</t>
  </si>
  <si>
    <t>Anna Smużna, Joanna Pantkowska</t>
  </si>
  <si>
    <t xml:space="preserve"> 52 351 53 86</t>
  </si>
  <si>
    <t>Izabela Sieradzka</t>
  </si>
  <si>
    <t xml:space="preserve"> 52 331 81 68</t>
  </si>
  <si>
    <t>Ewa Koniarska</t>
  </si>
  <si>
    <t xml:space="preserve"> 52 332 30 59</t>
  </si>
  <si>
    <t>Anna Kaczerzewska</t>
  </si>
  <si>
    <t xml:space="preserve"> 52 384 41 26</t>
  </si>
  <si>
    <t>Marzena Sikora</t>
  </si>
  <si>
    <t xml:space="preserve"> 52 383 61 82</t>
  </si>
  <si>
    <t>Agata Piątkiewicz-Borowiak</t>
  </si>
  <si>
    <t xml:space="preserve"> 52 315 25 94</t>
  </si>
  <si>
    <t>Danuta Krajewska</t>
  </si>
  <si>
    <t xml:space="preserve"> 52 386 08 65</t>
  </si>
  <si>
    <t>Justyna Widawska</t>
  </si>
  <si>
    <t xml:space="preserve"> 52 385 13 20</t>
  </si>
  <si>
    <t>Stefania Bielecka</t>
  </si>
  <si>
    <t xml:space="preserve"> 52 332 70 81</t>
  </si>
  <si>
    <t>Dorota Kortas</t>
  </si>
  <si>
    <t xml:space="preserve"> 52 332 95 68</t>
  </si>
  <si>
    <t xml:space="preserve">Maria Siekierkowska </t>
  </si>
  <si>
    <t xml:space="preserve"> 52 522 21 85</t>
  </si>
  <si>
    <t>Katarzyna Hass</t>
  </si>
  <si>
    <t xml:space="preserve"> 52 511 47 34</t>
  </si>
  <si>
    <t>Mariola Zelek</t>
  </si>
  <si>
    <t xml:space="preserve"> 52 586 32 41</t>
  </si>
  <si>
    <t>Alina Kloska</t>
  </si>
  <si>
    <t xml:space="preserve"> 52 521 27 38</t>
  </si>
  <si>
    <t>Aleksandra Rosińska-Burek</t>
  </si>
  <si>
    <t>Katarzyna Pipowska</t>
  </si>
  <si>
    <t>Angelika Lamparska</t>
  </si>
  <si>
    <t>Ewa Grzeca</t>
  </si>
  <si>
    <t xml:space="preserve"> 52 302 41 77</t>
  </si>
  <si>
    <t>Alina Rogowa</t>
  </si>
  <si>
    <t xml:space="preserve"> 52 388 02 20</t>
  </si>
  <si>
    <t>Lucyna Welka</t>
  </si>
  <si>
    <t xml:space="preserve"> 52 328 40 80</t>
  </si>
  <si>
    <t>Joanna Jelińska</t>
  </si>
  <si>
    <t xml:space="preserve"> 52 587 05 60</t>
  </si>
  <si>
    <t>Anna Rychławska</t>
  </si>
  <si>
    <t xml:space="preserve"> 52 387 01 52</t>
  </si>
  <si>
    <t>Ilona Siodłowska-Spasiuk</t>
  </si>
  <si>
    <t>Iwona Lichocka</t>
  </si>
  <si>
    <t xml:space="preserve"> 52 389 12 25</t>
  </si>
  <si>
    <t>Elżbieta Ozimek</t>
  </si>
  <si>
    <t xml:space="preserve"> 52 384 21 60</t>
  </si>
  <si>
    <t>Hanna Werbicka</t>
  </si>
  <si>
    <t xml:space="preserve"> 52 385 77 68</t>
  </si>
  <si>
    <t>Wioletta Sęk</t>
  </si>
  <si>
    <t xml:space="preserve"> 52 333 48 13</t>
  </si>
  <si>
    <t>Marcin Warmke</t>
  </si>
  <si>
    <t>Izabela Feddek</t>
  </si>
  <si>
    <t xml:space="preserve"> 52 331 51 10</t>
  </si>
  <si>
    <t>Magdalena Kaszubowska</t>
  </si>
  <si>
    <t xml:space="preserve"> 52 332 20 22</t>
  </si>
  <si>
    <t>Monika Piekarska</t>
  </si>
  <si>
    <t xml:space="preserve"> 52 522 20 90</t>
  </si>
  <si>
    <t xml:space="preserve"> 52 334 50 38</t>
  </si>
  <si>
    <t>Grażyna Zielińska-Woźna</t>
  </si>
  <si>
    <t>Anna Kozłowska</t>
  </si>
  <si>
    <t xml:space="preserve"> 788 753 989</t>
  </si>
  <si>
    <t>Paulina Olejnik</t>
  </si>
  <si>
    <t xml:space="preserve"> 52 389 86 22</t>
  </si>
  <si>
    <t>Ludmiła Piekałkiewicz-Geruzel</t>
  </si>
  <si>
    <t>Kamila Pankanin</t>
  </si>
  <si>
    <t xml:space="preserve"> 52 351 67 54</t>
  </si>
  <si>
    <t>Monika Pacholska</t>
  </si>
  <si>
    <t xml:space="preserve"> 52 351 71 21</t>
  </si>
  <si>
    <t>Hanna Obiała</t>
  </si>
  <si>
    <t>Katarzyna Bożek</t>
  </si>
  <si>
    <t xml:space="preserve"> 52 302 05 16</t>
  </si>
  <si>
    <t>Halina Jarzembowska</t>
  </si>
  <si>
    <t>Miejska Biblioteka Publiczna w Augustowie</t>
  </si>
  <si>
    <t>ul. Hoża 7</t>
  </si>
  <si>
    <t>16-300 Augustów</t>
  </si>
  <si>
    <t>ul. Witosa 34</t>
  </si>
  <si>
    <t>15-660 Białystok</t>
  </si>
  <si>
    <t>ul. Dziesięciny 41B</t>
  </si>
  <si>
    <t>15-815 Białystok</t>
  </si>
  <si>
    <t>Miejska Biblioteka Publiczna w Bielsku Podlaskim</t>
  </si>
  <si>
    <t>Miejsko-Gminne Centrum Kultury. Biblioteka Publiczna w Choroszczy</t>
  </si>
  <si>
    <t>Gminna Biblioteka Publiczna w Kolnie z siedzibą w Czerwonem</t>
  </si>
  <si>
    <t>Miejsko-Gminny Ośrodek Kultury. Biblioteka Publiczna w Dąbrowie Białostockiej</t>
  </si>
  <si>
    <t>Biblioteka Publiczna w Gródku</t>
  </si>
  <si>
    <t>ul. A. i G. Chodkiewiczów 4</t>
  </si>
  <si>
    <t>16-040 Gródek</t>
  </si>
  <si>
    <t>Miejska Biblioteka Publiczna w Hajnówce</t>
  </si>
  <si>
    <t>ul. 3 Maja 45</t>
  </si>
  <si>
    <t>17-200 Hajnówka</t>
  </si>
  <si>
    <t>Miejsko-Gminna Biblioteka Publiczna w Knyszynie</t>
  </si>
  <si>
    <t>Miejska Biblioteka Publiczna w Kolnie</t>
  </si>
  <si>
    <t>Biblioteka Publiczna Miasta i Gminy Łapy</t>
  </si>
  <si>
    <t>ul. Nowy Rynek 15</t>
  </si>
  <si>
    <t>18-100 Łapy</t>
  </si>
  <si>
    <t>Łomża</t>
  </si>
  <si>
    <t>Miejska Biblioteka Publiczna w Łomży</t>
  </si>
  <si>
    <t>Michałowo</t>
  </si>
  <si>
    <t>Gminna Biblioteka Publiczna w Michałowie</t>
  </si>
  <si>
    <t>Gminna Biblioteka Publiczna w Mielniku</t>
  </si>
  <si>
    <t>Biblioteka Publiczna w Mońkach</t>
  </si>
  <si>
    <t>Gminna Biblioteka Publiczna w Narwi</t>
  </si>
  <si>
    <t>Nowinka Biblioteka Publiczna Gminy Nowinka</t>
  </si>
  <si>
    <t>Centrum Kultury i Rekreacji w Supraślu</t>
  </si>
  <si>
    <t>Biblioteka Publiczna – Filia Biblioteczna w Ogrodniczkach</t>
  </si>
  <si>
    <t>ul. Białostocka 57</t>
  </si>
  <si>
    <t>16-030 Supraśl</t>
  </si>
  <si>
    <t>Biblioteka Gminy Łomża z/s w Podgórzu</t>
  </si>
  <si>
    <t>Gminna Biblioteka Publiczna w Poświętnem</t>
  </si>
  <si>
    <t>Rafałówka Miejska Biblioteka Publiczna w Zabłudowie – Filia w Rafałówce</t>
  </si>
  <si>
    <t>16-060 Zabłudów</t>
  </si>
  <si>
    <t>Gminna Biblioteka Publiczna Gminy Grajewo z/s w Rudzie</t>
  </si>
  <si>
    <t>Ryboły Miejska Biblioteka Publiczna w Zabłudowie – Filia w Rybołach</t>
  </si>
  <si>
    <t>Ryboły 129</t>
  </si>
  <si>
    <t>16-060 Ryboły</t>
  </si>
  <si>
    <t>Miejska Biblioteka Publiczna w Sejnach</t>
  </si>
  <si>
    <t>Miejska Biblioteka Publiczna w Siemiatyczach</t>
  </si>
  <si>
    <t>Centrum Kultury i Rekreacji w Supraślu - Biblioteka Publiczna - Filia Biblioteczna w Sobolewie</t>
  </si>
  <si>
    <t>DKK dla dzieci i młodzieży Sokółka</t>
  </si>
  <si>
    <t>Biblioteka Publiczna w Sokółce - Filia nr 1</t>
  </si>
  <si>
    <t>Studzianki Miejska Biblioteka Publiczna w Wasilkowie – Filia w Studziankach</t>
  </si>
  <si>
    <t>ul. Podleśna 3</t>
  </si>
  <si>
    <t>16-016 Studzianki</t>
  </si>
  <si>
    <t>Miejsko-Gminny Ośrodek Kultury. Biblioteka Publiczna w Surażu</t>
  </si>
  <si>
    <t>ul. Bielska 4</t>
  </si>
  <si>
    <t>18-105 Suraż</t>
  </si>
  <si>
    <t>Biblioteka Publiczna w Suwałkach</t>
  </si>
  <si>
    <t>Biblioteka – Centrum Kultury w Szczuczynie</t>
  </si>
  <si>
    <t>ul. Łomżyńska 11</t>
  </si>
  <si>
    <t>19-230 Szczuczyn</t>
  </si>
  <si>
    <t>Gminna Biblioteka Publiczna w Sztabinie</t>
  </si>
  <si>
    <t>Gminny Ośrodek Kultury. Biblioteka Publiczna w Turośni Kościelnej</t>
  </si>
  <si>
    <t>Biblioteka Publiczna Miasta i Gminy Łapy – Filia w Uhowie</t>
  </si>
  <si>
    <t>ul. Kościelna 42</t>
  </si>
  <si>
    <t>Miejska Biblioteka Publiczna w Wasilkowie</t>
  </si>
  <si>
    <t>ul. Białostocka 19</t>
  </si>
  <si>
    <t>16-010 Wasilków</t>
  </si>
  <si>
    <t>Miejski Ośrodek Kultury w Zambrowie. Miejska Biblioteka Publiczna</t>
  </si>
  <si>
    <t>Miejski Ośrodek Kultury w Zambrowie. Filia Miejskiej Biblioteki Publicznej</t>
  </si>
  <si>
    <t>Aleja Wojska Polskiego 25</t>
  </si>
  <si>
    <t>Biblioteka Publiczna Gminy Zawady</t>
  </si>
  <si>
    <t>DKK dla dzieci i młodzieży</t>
  </si>
  <si>
    <t xml:space="preserve">ul. Marii Skłodowskiej-Curie 14 A </t>
  </si>
  <si>
    <t>15-097 Białystok</t>
  </si>
  <si>
    <t>ul. Kozłowa 4</t>
  </si>
  <si>
    <t xml:space="preserve"> 15-868 Białystok</t>
  </si>
  <si>
    <t xml:space="preserve">ul. Ciepła 15 </t>
  </si>
  <si>
    <t>15-472 Białystok</t>
  </si>
  <si>
    <t xml:space="preserve">ul. Komisji Edukacji Narodowej 36 lok. 4 </t>
  </si>
  <si>
    <t>15-687 Białystok</t>
  </si>
  <si>
    <t xml:space="preserve">ul. Zielonogórska 2 </t>
  </si>
  <si>
    <t>15-674 Białystok</t>
  </si>
  <si>
    <t xml:space="preserve">ul. Gajowa 73 </t>
  </si>
  <si>
    <t>15-794 Białystok</t>
  </si>
  <si>
    <t>ul. Doilidy Górne 48</t>
  </si>
  <si>
    <t xml:space="preserve"> 15-572 Białystok</t>
  </si>
  <si>
    <t xml:space="preserve">ul. Broniewskiego 4 </t>
  </si>
  <si>
    <t>15-748 Białystok</t>
  </si>
  <si>
    <t xml:space="preserve">ul. Marii Skłodowskiej-Curie 14B </t>
  </si>
  <si>
    <t xml:space="preserve">ul. Kazimierzowska 14 </t>
  </si>
  <si>
    <t>17-100 Bielsk Podlaski</t>
  </si>
  <si>
    <t xml:space="preserve">ul. Sienkiewicza 29 </t>
  </si>
  <si>
    <t>16-070 Choroszcz</t>
  </si>
  <si>
    <t xml:space="preserve">Czerwone 50 </t>
  </si>
  <si>
    <t>18-500 Kolno</t>
  </si>
  <si>
    <t xml:space="preserve">ul. 1000-lecia Państwa Polskiego 4 </t>
  </si>
  <si>
    <t>16-200 Dąbrowa Białostocka</t>
  </si>
  <si>
    <t xml:space="preserve">ul. 3 Maja 45 </t>
  </si>
  <si>
    <t xml:space="preserve">ul. Rynek 39 </t>
  </si>
  <si>
    <t>19-120 Knyszyn</t>
  </si>
  <si>
    <t xml:space="preserve">ul. Konopnickiej 4 </t>
  </si>
  <si>
    <t>ul. Długa 13</t>
  </si>
  <si>
    <t xml:space="preserve"> 18-400 Łomża</t>
  </si>
  <si>
    <t xml:space="preserve"> DKK dla dorosłych</t>
  </si>
  <si>
    <t xml:space="preserve">ul. Białostocka 30 A </t>
  </si>
  <si>
    <t>16-050 Michałowo</t>
  </si>
  <si>
    <t xml:space="preserve">ul. Zaszkolna 1 </t>
  </si>
  <si>
    <t>17-307 Mielnik</t>
  </si>
  <si>
    <t xml:space="preserve">ul. Białostocka 25 </t>
  </si>
  <si>
    <t>19-100 Mońki</t>
  </si>
  <si>
    <t xml:space="preserve">ul. Mickiewicza 18 </t>
  </si>
  <si>
    <t>17-210 Narew</t>
  </si>
  <si>
    <t xml:space="preserve">Nowinka 26 a </t>
  </si>
  <si>
    <t>16-304 Nowinka</t>
  </si>
  <si>
    <t xml:space="preserve">ul. Łomżyńska 30 </t>
  </si>
  <si>
    <t>18-400 Podgórze</t>
  </si>
  <si>
    <t xml:space="preserve">Poświętne 21a </t>
  </si>
  <si>
    <t>18-112 Poświętne</t>
  </si>
  <si>
    <t xml:space="preserve">ul. Szkolna 1 </t>
  </si>
  <si>
    <t>19-200 Ruda</t>
  </si>
  <si>
    <t>Dolnośląskie</t>
  </si>
  <si>
    <t>Dolnośląska Biblioteka Publiczna im. Tadeusza Mikulskiego we Wrocławiu</t>
  </si>
  <si>
    <t>Rynek 58, 50-116 Wrocław</t>
  </si>
  <si>
    <t>koordynatorzy: Wioleta Solnica, Renata Słonik, Izabela Drapała</t>
  </si>
  <si>
    <t>mail: wsolnica@wbp.wroc.pl, rslonik@wbp.wroc.pl, idrapala@wbp.wroc.pl</t>
  </si>
  <si>
    <t>tel.: 71 335 22 06, 71 335 22 37</t>
  </si>
  <si>
    <t>www.wbp.wroc.pl</t>
  </si>
  <si>
    <t>Kujawsko-pomorskie</t>
  </si>
  <si>
    <t>Wojewódzka i Miejska Biblioteka Publiczna im. dr. Witolda Bełzy w Bydgoszczy</t>
  </si>
  <si>
    <t>ul. Długa 39, 85-034 Bydgoszcz</t>
  </si>
  <si>
    <t>koordynator: Lucyna Partyka</t>
  </si>
  <si>
    <t>mail: lucyna.partyka@wimbp.bydgoszcz.pl</t>
  </si>
  <si>
    <t>tel.: 52 339 92 28</t>
  </si>
  <si>
    <t>www.biblioteka.bydgoszcz.pl</t>
  </si>
  <si>
    <t>Wojewódzka Biblioteka Publiczna – Książnica Kopernikańska w Toruniu</t>
  </si>
  <si>
    <t>ul. Słowackiego 8, 87-100 Toruń</t>
  </si>
  <si>
    <t>koordynator: Przemysław Chudzik</t>
  </si>
  <si>
    <t>mail: p.chudzik@ksiaznica.torun.pl</t>
  </si>
  <si>
    <t>tel.: 56 622 59 19</t>
  </si>
  <si>
    <t>www.ksiaznica.torun.pl</t>
  </si>
  <si>
    <t>Lubelskie</t>
  </si>
  <si>
    <t>ul. Narutowicza 4, 20-950 Lublin</t>
  </si>
  <si>
    <t>koordynatorzy: Joanna Chapska, Marzena Targońska</t>
  </si>
  <si>
    <t>mail: dkk@poczta.wbp.lublin.pl</t>
  </si>
  <si>
    <t>tel.: 81 52 87 422</t>
  </si>
  <si>
    <t>hl.wbp.lublin.pl</t>
  </si>
  <si>
    <t>Lubuskie</t>
  </si>
  <si>
    <t>Wojewódzka i Miejska Biblioteka Publiczna im. C. Norwida w Zielonej Górze</t>
  </si>
  <si>
    <t>al. Wojska Polskiego 9, 65-077 Zielona Góra</t>
  </si>
  <si>
    <t>koordynator: Justyna Hak</t>
  </si>
  <si>
    <t>mail: j.hak@wimbp.zgora.pl</t>
  </si>
  <si>
    <t>tel.: 68 45 32 611</t>
  </si>
  <si>
    <t>www.wimbp.zgora.pl</t>
  </si>
  <si>
    <t>Wojewódzka i Miejska Biblioteka Publiczna im. Zbigniewa Herberta w Gorzowie</t>
  </si>
  <si>
    <t>Wielkopolskim</t>
  </si>
  <si>
    <t>ul. Sikorskiego 107, 66-400 Gorzów Wlkp.</t>
  </si>
  <si>
    <t>koordynator: Elżbieta Niewiadomska, Mariola Merxmüller-Jakubik</t>
  </si>
  <si>
    <t>mail: niewiadomska@wimbp.gorzow.pl, m.merxmuller@wimbp.gorzow.pl</t>
  </si>
  <si>
    <t>tel.: 95 727 80 56</t>
  </si>
  <si>
    <t>www.wimbp.gorzow.pl</t>
  </si>
  <si>
    <t>Łódzkie</t>
  </si>
  <si>
    <t>Wojewódzka Biblioteka Publiczna im. Marszałka Józefa Piłsudskiego</t>
  </si>
  <si>
    <t>ul. Gdańska 100/102, 90-508 Łódź</t>
  </si>
  <si>
    <t>koordynator: Kinga Siekierska</t>
  </si>
  <si>
    <t>mail: kinga@hiacynt.wimbp.lodz.pl</t>
  </si>
  <si>
    <t>tel.: 42 637 68 35</t>
  </si>
  <si>
    <t>www.wbp.lodz.pl</t>
  </si>
  <si>
    <t>Małopolskie</t>
  </si>
  <si>
    <t>Wojewódzka Biblioteka Publiczna w Krakowie</t>
  </si>
  <si>
    <t>ul. Rajska 1, 31-124 Kraków</t>
  </si>
  <si>
    <t>koordynator: Elżbieta Skrzydlewska</t>
  </si>
  <si>
    <t>mail: elzbieta.skrzydlewska@rajska.info</t>
  </si>
  <si>
    <t>tel.: 12 37 52 204</t>
  </si>
  <si>
    <t>www.rajska.info</t>
  </si>
  <si>
    <t>Mazowieckie</t>
  </si>
  <si>
    <t>Biblioteka Publiczna m. st. Warszawy</t>
  </si>
  <si>
    <t>Biblioteka Główna Województwa Mazowieckiego</t>
  </si>
  <si>
    <t>ul. Koszykowa 26/28, 00-950 Warszawa</t>
  </si>
  <si>
    <t>koordynator: Agnieszka Kursa</t>
  </si>
  <si>
    <t>mail: dkkmazowsze@gmail.com</t>
  </si>
  <si>
    <t>tel.: 22 537 41 15</t>
  </si>
  <si>
    <t>www.koszykowa.pl</t>
  </si>
  <si>
    <t>Opolskie</t>
  </si>
  <si>
    <t>Wojewódzka Biblioteka Publiczna w Opolu</t>
  </si>
  <si>
    <t>ul. Piastowska 20, 45-081 Opole</t>
  </si>
  <si>
    <t>koordynatorzy: Łukasz Brudnik, Kamilla Wójt</t>
  </si>
  <si>
    <t>mail: l.brudnik@wbp.opole.pl, k.wojt@wbp.opole.pl</t>
  </si>
  <si>
    <t>tel.: 77 40 66 425, 77 40 66 427</t>
  </si>
  <si>
    <t>www.wbp.opole.pl</t>
  </si>
  <si>
    <t>Podkarpackie</t>
  </si>
  <si>
    <t>Wojewódzka i Miejska Biblioteka Publiczna w Rzeszowie</t>
  </si>
  <si>
    <t>ul. Sokoła 13, 35-010 Rzeszów</t>
  </si>
  <si>
    <t>koordynator: Małgorzata Augustyn</t>
  </si>
  <si>
    <t>mail: augustyn@wimbp.rzeszow.pl</t>
  </si>
  <si>
    <t>tel.: 17 866 94 23</t>
  </si>
  <si>
    <t>www.wimbp.rzeszow.pl</t>
  </si>
  <si>
    <t>Podlaskie</t>
  </si>
  <si>
    <t>Książnica Podlaska im. Łukasza Górnickiego</t>
  </si>
  <si>
    <t>ul. Marii Skłodowskiej-Curie 14A, 15-097 Białystok</t>
  </si>
  <si>
    <t>koordynatorzy: Joanna Trusiuk, Małgorzata Rokicka-Szymańska</t>
  </si>
  <si>
    <t>mail: bpb@ksiaznicapodlaska.pl, instrukcyjny@ksiaznicapodlaska.pl</t>
  </si>
  <si>
    <t>tel.: 85 67 67 267</t>
  </si>
  <si>
    <t>www.ksiaznicapodlaska.pl</t>
  </si>
  <si>
    <t>Pomorskie</t>
  </si>
  <si>
    <t>Wojewódzka i Miejska Biblioteka Publiczna w Gdańsku</t>
  </si>
  <si>
    <t>Targ Rakowy 5/6, 80-806 Gdańsk</t>
  </si>
  <si>
    <t>koordynatorzy: Monika Górecka, Karolina Prusik, Agnieszka Piłot</t>
  </si>
  <si>
    <t>mail: monika_gorecka@wbpg.org.pl</t>
  </si>
  <si>
    <t>tel.: 58 301 38 18</t>
  </si>
  <si>
    <t>www.wbpg.org.pl</t>
  </si>
  <si>
    <t>Śląskie</t>
  </si>
  <si>
    <t>Biblioteka Śląska</t>
  </si>
  <si>
    <t>Plac Rady Europy 1, 40-021 Katowice</t>
  </si>
  <si>
    <t>koordynatorzy: Magdalena Madejska, Lidia Przybylska</t>
  </si>
  <si>
    <t>mail: magdalena.madejska@bs.katowice.pl, lidia.przybylska@bs.katowice.pl</t>
  </si>
  <si>
    <t>tel. 32 20 83 761</t>
  </si>
  <si>
    <t>www.bs.katowice.pl</t>
  </si>
  <si>
    <t>Świętokrzyskie</t>
  </si>
  <si>
    <t>Wojewódzka Biblioteka Publiczna w Kielcach</t>
  </si>
  <si>
    <t>ul. Ściegiennego 13, 25-033 Kielce</t>
  </si>
  <si>
    <t>koordynator: Małgorzata Winkler</t>
  </si>
  <si>
    <t>mail: instrukcyjny@wbp.kielce.pl, dkk@wbp.kielce.pl</t>
  </si>
  <si>
    <t>tel.: 41 361 53 51 wewn. 206</t>
  </si>
  <si>
    <t>www.wbp.kielce.pl</t>
  </si>
  <si>
    <t>Warmińsko-mazurskie</t>
  </si>
  <si>
    <t>Wojewódzka Biblioteka Publiczna w Olsztynie</t>
  </si>
  <si>
    <t>ul. 1 Maja 5, 10-117 Olsztyn</t>
  </si>
  <si>
    <t>koordynatorzy: Adrianna Walendziak, Elżbieta Maruszczak</t>
  </si>
  <si>
    <t>mail: wspolpraca@wbp.olsztyn.pl</t>
  </si>
  <si>
    <t>tel.: 89 524 90 37</t>
  </si>
  <si>
    <t>www.wbp.olsztyn.pl</t>
  </si>
  <si>
    <t>Wielkopolskie</t>
  </si>
  <si>
    <t>Wojewódzka Biblioteka Publiczna i Centrum Animacji Kultury</t>
  </si>
  <si>
    <t>ul. B. Prusa 3, 60- 819 Poznań</t>
  </si>
  <si>
    <t>koordynatorzy: Anna Sabiłło, Małgorzata Bochińska</t>
  </si>
  <si>
    <t>mail: dkk@wbp.poznan.pl</t>
  </si>
  <si>
    <t>tel.: 61 664 08 62</t>
  </si>
  <si>
    <t>www.wbp.poznan.pl</t>
  </si>
  <si>
    <t>Zachodniopomorskie</t>
  </si>
  <si>
    <t>Książnica Pomorska im. Stanisława Staszica w Szczecinie</t>
  </si>
  <si>
    <t>ul. Podgórna 15/16, 70-205 Szczecin</t>
  </si>
  <si>
    <t>koordynator: Przemysław Nowaczek</t>
  </si>
  <si>
    <t>mail: p.nowaczek@ksiaznica.szczecin.pl</t>
  </si>
  <si>
    <t>tel.: 91 481 92 41</t>
  </si>
  <si>
    <t>www.ksiaznica.szczecin.pl</t>
  </si>
  <si>
    <t>wypozyczalnia@biblioteka.barcin.pl</t>
  </si>
  <si>
    <t>oddzial@biblioteka.barcin.pl</t>
  </si>
  <si>
    <t>gbp.bukowiec@wp.pl</t>
  </si>
  <si>
    <t>filiaf3@wimbp.bydgoszcz.pl</t>
  </si>
  <si>
    <t>filiaf11@wimbp.bydgoszcz.pl</t>
  </si>
  <si>
    <t>filiaf12@wimbp.bydgoszcz.pl</t>
  </si>
  <si>
    <t>filiaf13@wimbp.bydgoszcz.pl</t>
  </si>
  <si>
    <t>filiam13@wimbp.bydgoszcz.pl</t>
  </si>
  <si>
    <t>filiaf14@wimbp.bydgoszcz.pl</t>
  </si>
  <si>
    <t>filiam14@wimbp.bydgoszcz.pl</t>
  </si>
  <si>
    <t>filiaf15@wimbp.bydgoszcz.pl</t>
  </si>
  <si>
    <t>filiaf16@wimbp.bydgoszcz.pl</t>
  </si>
  <si>
    <t>filiaf19@wimbp.bydgoszcz.pl</t>
  </si>
  <si>
    <t>filiaf20@wimbp.bydgoszcz.pl</t>
  </si>
  <si>
    <t>filiaf21@wimbp.bydgoszcz.pl</t>
  </si>
  <si>
    <t>filiaf23@wimbp.bydgoszcz.pl</t>
  </si>
  <si>
    <t>filiaf24@wimbp.bydgoszcz.pl</t>
  </si>
  <si>
    <t>filiaf25@wimbp.bydgoszcz.pl</t>
  </si>
  <si>
    <t>filiaf32@wimbp.bydgoszcz.pl</t>
  </si>
  <si>
    <t>klubiwspsz.biblioteka@ron.mil.pl</t>
  </si>
  <si>
    <t>mgbpchelmce@o2.pl</t>
  </si>
  <si>
    <t>gbpsdabrowa@interia.pl</t>
  </si>
  <si>
    <t>biblioteka@gasawa.pl</t>
  </si>
  <si>
    <t>klaudiakwasigroch@wp.pl</t>
  </si>
  <si>
    <t>filiagnojno@bibjak.pl</t>
  </si>
  <si>
    <t>wypozyczalnia@bmino.pl</t>
  </si>
  <si>
    <t>filia1@bmino.pl</t>
  </si>
  <si>
    <t>filia3@bmino.pl</t>
  </si>
  <si>
    <t>filia4@bmino.pl</t>
  </si>
  <si>
    <t>filia7@bmino.pl</t>
  </si>
  <si>
    <t>biblioteka_jezewo@interia.pl</t>
  </si>
  <si>
    <t>bibliotekakamien@poczta.onet.pl</t>
  </si>
  <si>
    <t>gbpkesowo@op.pl</t>
  </si>
  <si>
    <t>mbp@bibliotekakoronowo.pl</t>
  </si>
  <si>
    <t>biblioteka.laskowice@op.pl</t>
  </si>
  <si>
    <t>bibliotekalniano@gmail.com</t>
  </si>
  <si>
    <t>bibliotekalabiszyn@op.pl</t>
  </si>
  <si>
    <t>filia.mamlicz@biblioteka.barcin.pl</t>
  </si>
  <si>
    <t>biblioteka@mbp.mogilno.pl</t>
  </si>
  <si>
    <t>filia.ogolna@biblioteka-naklo.pl</t>
  </si>
  <si>
    <t>biblioteka@gminanowe.pl</t>
  </si>
  <si>
    <t>biuro@gokosie.pl</t>
  </si>
  <si>
    <t>filia.piechcin@biblioteka.barcin.pl</t>
  </si>
  <si>
    <t>gbppruszcz@wp.pl</t>
  </si>
  <si>
    <t>gostycyngbp@wp.pl</t>
  </si>
  <si>
    <t>bibliotekarogowo@wp.pl</t>
  </si>
  <si>
    <t>lucyna.welka@biblioteka-sepolno.pl</t>
  </si>
  <si>
    <t>joanna.jelinska@biblioteka-sepolno.pl</t>
  </si>
  <si>
    <t>biblioteka.sicienko@op.pl</t>
  </si>
  <si>
    <t>dorosli@biblioteka.soleckujawski.pl</t>
  </si>
  <si>
    <t>dyrektor@biblioteka.soleckujawski.pl</t>
  </si>
  <si>
    <t>gbp.sosno1@wp.pl</t>
  </si>
  <si>
    <t>biblioteka@biblioteka.szubin.pl</t>
  </si>
  <si>
    <t>kontakt@bibliotekaswiecie.pl</t>
  </si>
  <si>
    <t>mbpfiliadladoroslych1@gmail.com</t>
  </si>
  <si>
    <t>mbpmarianki@gmail.com</t>
  </si>
  <si>
    <t>biblioteka@swiekatowo.naszabiblioteka.com</t>
  </si>
  <si>
    <t>wypozyczalniambp@tuchola.pl</t>
  </si>
  <si>
    <t>dziecieca_mbp@tuchola.pl</t>
  </si>
  <si>
    <t>paulina.olejnik@biblioteka.gostycyn.pl</t>
  </si>
  <si>
    <t>bibliotekawiecbork@wp.pl</t>
  </si>
  <si>
    <t>monikapacholska@wp.pl</t>
  </si>
  <si>
    <t>kontakt@zlotniki.naszabiblioteka.com</t>
  </si>
  <si>
    <t>bibliotekaznin@wp.pl</t>
  </si>
  <si>
    <t xml:space="preserve">ul. Łąkowa 1 </t>
  </si>
  <si>
    <t>16-500 Sejny</t>
  </si>
  <si>
    <t>ul. Górna 23 A</t>
  </si>
  <si>
    <t xml:space="preserve"> 17-300 Siemiatycze</t>
  </si>
  <si>
    <t xml:space="preserve">ul. Szosa Baranowicka 94 </t>
  </si>
  <si>
    <t>15-509 Sobolewo</t>
  </si>
  <si>
    <t xml:space="preserve">Osiedle Zielone 4 </t>
  </si>
  <si>
    <t>16-100 Sokółka</t>
  </si>
  <si>
    <t xml:space="preserve">ul. E. Plater 33 a </t>
  </si>
  <si>
    <t>16-400 Suwałki</t>
  </si>
  <si>
    <t xml:space="preserve">Pl. K. Brzostowskiego 8 </t>
  </si>
  <si>
    <t>16-310 Sztabin</t>
  </si>
  <si>
    <t xml:space="preserve">ul. Lipowa 4 </t>
  </si>
  <si>
    <t>18-106 Turośń Kościelna</t>
  </si>
  <si>
    <t xml:space="preserve">18-100 Łapy Uhowo </t>
  </si>
  <si>
    <t xml:space="preserve">ul. Wyszyńskiego 2 </t>
  </si>
  <si>
    <t>18-300 Zambrów</t>
  </si>
  <si>
    <t>Bibliotek</t>
  </si>
  <si>
    <t xml:space="preserve">18-300 Zambrów  </t>
  </si>
  <si>
    <t xml:space="preserve">ul. Plac Wolności 12 </t>
  </si>
  <si>
    <t>16-075 Zawady</t>
  </si>
  <si>
    <t xml:space="preserve"> 87 643 39 22  </t>
  </si>
  <si>
    <t>Anna Kołodziejska</t>
  </si>
  <si>
    <t xml:space="preserve"> 85 67 67 273  </t>
  </si>
  <si>
    <t>Izabela Szymańska</t>
  </si>
  <si>
    <t xml:space="preserve"> 85 651 44 26 </t>
  </si>
  <si>
    <t>Beata Huszcza</t>
  </si>
  <si>
    <t xml:space="preserve"> 85 67 61 450  </t>
  </si>
  <si>
    <t>Katarzyna Węcławska</t>
  </si>
  <si>
    <t xml:space="preserve"> 85 67 92 141 </t>
  </si>
  <si>
    <t>Jolanta Gawryluk</t>
  </si>
  <si>
    <t xml:space="preserve"> 85 66 17 442  </t>
  </si>
  <si>
    <t xml:space="preserve">Grażyna Knap </t>
  </si>
  <si>
    <t xml:space="preserve"> 85 661 62 05</t>
  </si>
  <si>
    <t>Katarzyna Kropiwnicka</t>
  </si>
  <si>
    <t xml:space="preserve"> 85 65 32 437 D</t>
  </si>
  <si>
    <t>Adrianna Buzun</t>
  </si>
  <si>
    <t xml:space="preserve"> 85 74 19 144  </t>
  </si>
  <si>
    <t>Joanna Majdaniuk</t>
  </si>
  <si>
    <t xml:space="preserve"> 85 65 13 298  </t>
  </si>
  <si>
    <t>Jolanta Syty</t>
  </si>
  <si>
    <t xml:space="preserve"> 85 742 59 53  </t>
  </si>
  <si>
    <t>Elżbieta Papiernik</t>
  </si>
  <si>
    <t xml:space="preserve"> 85 654 14 24</t>
  </si>
  <si>
    <t>Ewa Jarmołowicz</t>
  </si>
  <si>
    <t xml:space="preserve"> 85 730 21 07  </t>
  </si>
  <si>
    <t>Urszula Falkowska</t>
  </si>
  <si>
    <t xml:space="preserve"> 85 710 23 93 </t>
  </si>
  <si>
    <t xml:space="preserve">Elżbieta Wróblewska </t>
  </si>
  <si>
    <t xml:space="preserve"> 86 262 34 56 </t>
  </si>
  <si>
    <t xml:space="preserve">Teresa Alina Skrodzka </t>
  </si>
  <si>
    <t xml:space="preserve"> 85 712 13 22 </t>
  </si>
  <si>
    <t>Anna Lewkowicz</t>
  </si>
  <si>
    <t xml:space="preserve"> 85 718 44 25</t>
  </si>
  <si>
    <t>Katarzyna Rogacz</t>
  </si>
  <si>
    <t xml:space="preserve"> 85 682 29 69 </t>
  </si>
  <si>
    <t>Joanna Kisielewicz</t>
  </si>
  <si>
    <t xml:space="preserve"> 85 682 29 69</t>
  </si>
  <si>
    <t>Maria Kuryło</t>
  </si>
  <si>
    <t xml:space="preserve"> 85 727 99 98 </t>
  </si>
  <si>
    <t xml:space="preserve">Krystyna Piszczatowska </t>
  </si>
  <si>
    <t xml:space="preserve"> 86 278 25 14 </t>
  </si>
  <si>
    <t xml:space="preserve">Małgorzata Sielawa </t>
  </si>
  <si>
    <t xml:space="preserve"> 85 715 23 49 </t>
  </si>
  <si>
    <t xml:space="preserve">Hanna Nikin, Urszula Bujno </t>
  </si>
  <si>
    <t xml:space="preserve"> 86 216 54 81</t>
  </si>
  <si>
    <t xml:space="preserve">Justyna Kozicka </t>
  </si>
  <si>
    <t xml:space="preserve"> 85 718 92 00 </t>
  </si>
  <si>
    <t>Teresa Rybińska</t>
  </si>
  <si>
    <t xml:space="preserve"> 85 657 70 15 </t>
  </si>
  <si>
    <t xml:space="preserve">Irena Wysocka </t>
  </si>
  <si>
    <t xml:space="preserve"> 85 716 27 43 </t>
  </si>
  <si>
    <t xml:space="preserve">Wiesława Filipkowska, Katarzyna Grzegorczyk </t>
  </si>
  <si>
    <t xml:space="preserve"> 85 681 68 70 </t>
  </si>
  <si>
    <t xml:space="preserve">Alla Siotkowska </t>
  </si>
  <si>
    <t xml:space="preserve"> 87 641 96 75 </t>
  </si>
  <si>
    <t xml:space="preserve">Wiesława Stosio </t>
  </si>
  <si>
    <t xml:space="preserve"> 85 718 35 59</t>
  </si>
  <si>
    <t>Joanna Czaban</t>
  </si>
  <si>
    <t xml:space="preserve"> 86 217 82 23</t>
  </si>
  <si>
    <t xml:space="preserve">Ewelina Góralczyk </t>
  </si>
  <si>
    <t xml:space="preserve"> 504 926 534</t>
  </si>
  <si>
    <t>Katarzyna Pietryńczak</t>
  </si>
  <si>
    <t xml:space="preserve"> 533 633 723</t>
  </si>
  <si>
    <t>Monika Turecka</t>
  </si>
  <si>
    <t xml:space="preserve"> 86 273 87 64 </t>
  </si>
  <si>
    <t xml:space="preserve">Renata Żebrowska </t>
  </si>
  <si>
    <t xml:space="preserve"> 512 542 106</t>
  </si>
  <si>
    <t>Elżbieta Bonifatiuk</t>
  </si>
  <si>
    <t xml:space="preserve"> 87 516 21 03 </t>
  </si>
  <si>
    <t>Anna Ludorf</t>
  </si>
  <si>
    <t xml:space="preserve"> 85 655 23 18 </t>
  </si>
  <si>
    <t>Elżbieta Smorczewska</t>
  </si>
  <si>
    <t xml:space="preserve"> 668 303 430 </t>
  </si>
  <si>
    <t xml:space="preserve">Mariola Borowa </t>
  </si>
  <si>
    <t xml:space="preserve"> 85 711 92 11 </t>
  </si>
  <si>
    <t xml:space="preserve">Iwona Oleńska </t>
  </si>
  <si>
    <t xml:space="preserve"> 85 663 22 39</t>
  </si>
  <si>
    <t>Hubert Piętka</t>
  </si>
  <si>
    <t xml:space="preserve"> 85 650 31 81 </t>
  </si>
  <si>
    <t>Marzanna Chodorowska</t>
  </si>
  <si>
    <t xml:space="preserve"> 87 565 62 46 </t>
  </si>
  <si>
    <t xml:space="preserve">Maria Kołodziejska </t>
  </si>
  <si>
    <t>Edyta Krzyżanowska</t>
  </si>
  <si>
    <t xml:space="preserve"> 86 262 10 36</t>
  </si>
  <si>
    <t>Anna Wojsław</t>
  </si>
  <si>
    <t xml:space="preserve"> 87 641 20 69 </t>
  </si>
  <si>
    <t>Iwona Zawiślak</t>
  </si>
  <si>
    <t xml:space="preserve"> 85 650 54 01  </t>
  </si>
  <si>
    <t xml:space="preserve">Alina Kowalczuk </t>
  </si>
  <si>
    <t xml:space="preserve"> 857153597 </t>
  </si>
  <si>
    <t>Marta Mierzwińska</t>
  </si>
  <si>
    <t xml:space="preserve"> 85 718-52-32 </t>
  </si>
  <si>
    <t xml:space="preserve">Magdalena Kowalczuk </t>
  </si>
  <si>
    <t xml:space="preserve"> 86 271 37 47 </t>
  </si>
  <si>
    <t>Ewelina Kulczyńska</t>
  </si>
  <si>
    <t xml:space="preserve"> 86 271 06 02</t>
  </si>
  <si>
    <t>Jolanta Chrostowska-Sufa</t>
  </si>
  <si>
    <t xml:space="preserve"> 85 714 00 28 w</t>
  </si>
  <si>
    <t xml:space="preserve">Iwona Wądołowska </t>
  </si>
  <si>
    <t>Barcino</t>
  </si>
  <si>
    <t>Biblioteka Publiczna Miasta i Gminy Kępice – Filia w Barcinie</t>
  </si>
  <si>
    <t>Barcino 39c</t>
  </si>
  <si>
    <t>77-232 Barcino</t>
  </si>
  <si>
    <t>Bolszewo</t>
  </si>
  <si>
    <t>Biblioteka i Centrum Kultury Gminy Wejherowo – Filia w Bolszewie</t>
  </si>
  <si>
    <t>ul. Reja 9</t>
  </si>
  <si>
    <t>Brusy</t>
  </si>
  <si>
    <t>Charzykowy</t>
  </si>
  <si>
    <t>Gminny Ośrodek Kultury w Chojnicach – Gminna Biblioteka Publiczna w Charzykowach</t>
  </si>
  <si>
    <t>ul. Długa 54</t>
  </si>
  <si>
    <t>89-606 Charzykowy</t>
  </si>
  <si>
    <t>Chojnice</t>
  </si>
  <si>
    <t>Czarne</t>
  </si>
  <si>
    <t>Czersk</t>
  </si>
  <si>
    <t>Człuchów</t>
  </si>
  <si>
    <t>80-244 Gdańsk – Wrzeszcz</t>
  </si>
  <si>
    <t>ul. Pilotów 3</t>
  </si>
  <si>
    <t>80-460 Gdańsk</t>
  </si>
  <si>
    <t>Wojewódzka i Miejska Biblioteka Publiczna w Gdańsku Biblioteka pod Kotem i Myszą – Filia nr 7</t>
  </si>
  <si>
    <t>ul. Lelewela 21/22 80-442 Gdańsk</t>
  </si>
  <si>
    <t>Wojewódzka i Miejska Biblioteka Publiczna w Gdańsku Biblioteka dla Dzieci – Filia nr 25</t>
  </si>
  <si>
    <t>Wojewódzka i Miejska Biblioteka Publiczna w Gdańsku Biblioteka Suchanino – Filia nr 50</t>
  </si>
  <si>
    <t>Gdynia</t>
  </si>
  <si>
    <t>ul. Boisko 6</t>
  </si>
  <si>
    <t>81-183 Gdynia</t>
  </si>
  <si>
    <t>Główczyce</t>
  </si>
  <si>
    <t>Biblioteka Publiczna Gminy Główczyce</t>
  </si>
  <si>
    <t>ul. Kościuszki 15</t>
  </si>
  <si>
    <t>76-220 Główczyce</t>
  </si>
  <si>
    <t>Gniew</t>
  </si>
  <si>
    <t>Gościcino</t>
  </si>
  <si>
    <t>Biblioteka i Centrum Kultury Gminy Wejherowo – Biblioteka w Gościcinie</t>
  </si>
  <si>
    <t>ul. Drzewiarza 2</t>
  </si>
  <si>
    <t>Kaliska</t>
  </si>
  <si>
    <t>ul. Długa 18</t>
  </si>
  <si>
    <t>83-260 Kaliska</t>
  </si>
  <si>
    <t>Kartuzy</t>
  </si>
  <si>
    <t>Kąty Rybackie</t>
  </si>
  <si>
    <t>Biblioteka Publiczna Gminy Sztutowo – Filia biblioteczna w Kątach Rybackich</t>
  </si>
  <si>
    <t>ul. Rybacka 41</t>
  </si>
  <si>
    <t>82-110 Kąty Rybackie</t>
  </si>
  <si>
    <t>Kobylnica</t>
  </si>
  <si>
    <t>Kościerzyna</t>
  </si>
  <si>
    <t>Krynica Morska</t>
  </si>
  <si>
    <t>Kwakowo</t>
  </si>
  <si>
    <t>Kwidzyn</t>
  </si>
  <si>
    <t>Lębork</t>
  </si>
  <si>
    <t>Luzino</t>
  </si>
  <si>
    <t>Łęczyce</t>
  </si>
  <si>
    <t>Mikołajki Pomorskie</t>
  </si>
  <si>
    <t>Biblioteka Publiczna Gminy Mikołajki Pomorskie</t>
  </si>
  <si>
    <t>Objazda</t>
  </si>
  <si>
    <t>Centrum Kultury Gminy Ustka, Biblioteka Publiczna w Objeździe</t>
  </si>
  <si>
    <t>ul. Objazda 77</t>
  </si>
  <si>
    <t>76-211 Objazda</t>
  </si>
  <si>
    <t>Pelplin</t>
  </si>
  <si>
    <t>Pobłocie</t>
  </si>
  <si>
    <t>Gminna Biblioteka Publiczna w Główczycach – Filia w Pobłociu</t>
  </si>
  <si>
    <t>Pobłocie 10</t>
  </si>
  <si>
    <t>Pruszcz Gdański</t>
  </si>
  <si>
    <t>Przodkowo</t>
  </si>
  <si>
    <t>Pszczółki</t>
  </si>
  <si>
    <t>Reda</t>
  </si>
  <si>
    <t>Rumia</t>
  </si>
  <si>
    <t>Ryjewo</t>
  </si>
  <si>
    <t>Rytel</t>
  </si>
  <si>
    <t>Słupsk</t>
  </si>
  <si>
    <t>Miejska Biblioteka Publiczna w Słupsku – Filia nr 5</t>
  </si>
  <si>
    <t>ul. Jana Kazimierza 19/5</t>
  </si>
  <si>
    <t>76-200 Słupsk</t>
  </si>
  <si>
    <t>Somonino</t>
  </si>
  <si>
    <t>Sopot</t>
  </si>
  <si>
    <t>Starogard Gdański</t>
  </si>
  <si>
    <t>Stężyca</t>
  </si>
  <si>
    <t>Straszyn</t>
  </si>
  <si>
    <t>Ośrodek Kultury, Sportu i Biblioteka Publiczna Gminy Pruszcz Gdański w Cieplewie – Filia w Straszynie</t>
  </si>
  <si>
    <t>ul. Dworcowa 6a</t>
  </si>
  <si>
    <t>83-010 Straszyn</t>
  </si>
  <si>
    <t>Strzebielino</t>
  </si>
  <si>
    <t>Gminna Biblioteka Publiczna w Łęczycach – Filia w Strzebielinie</t>
  </si>
  <si>
    <t>ul. Marii Curie-Skłodowskiej 1</t>
  </si>
  <si>
    <t>84-220 Strzebielino</t>
  </si>
  <si>
    <t>Sztum</t>
  </si>
  <si>
    <t>Sztutowo</t>
  </si>
  <si>
    <t>Szymbark</t>
  </si>
  <si>
    <t>Gminna Biblioteka Publiczna w Stężycy – Filia w Szymbarku</t>
  </si>
  <si>
    <t>ul. Długa 25</t>
  </si>
  <si>
    <t>Tczew</t>
  </si>
  <si>
    <t>Miejska Biblioteka Publiczna – Filia nr 8</t>
  </si>
  <si>
    <t>ul. Kościuszki 2</t>
  </si>
  <si>
    <t>83-110 Tczew</t>
  </si>
  <si>
    <t>Trąbki Wielkie</t>
  </si>
  <si>
    <t>DKK młodzieży</t>
  </si>
  <si>
    <t>Trzebielino</t>
  </si>
  <si>
    <t>Biblioteka Gminna w Trzebielinie</t>
  </si>
  <si>
    <t>ul. Pomorska 24</t>
  </si>
  <si>
    <t>77-235 Trzebielino</t>
  </si>
  <si>
    <t>Ustka</t>
  </si>
  <si>
    <t>Wejherowo</t>
  </si>
  <si>
    <t>Powiatowa Biblioteka Publiczna w Wejherowie</t>
  </si>
  <si>
    <t>Władysławowo</t>
  </si>
  <si>
    <t>Gminna Biblioteka Publiczna w Kobylnicy – Filia we Wrzącej</t>
  </si>
  <si>
    <t>Wrząca 53</t>
  </si>
  <si>
    <t>76-251 Kobylnica</t>
  </si>
  <si>
    <t>Gminny Ośrodek Kultury - Biblioteka</t>
  </si>
  <si>
    <t xml:space="preserve">84-239 Bolszewo </t>
  </si>
  <si>
    <t>moderator</t>
  </si>
  <si>
    <t xml:space="preserve">Centrum Kultury i Biblioteki w Brusach </t>
  </si>
  <si>
    <t>ul. Dworcowa 18</t>
  </si>
  <si>
    <t xml:space="preserve"> 89-632 Brusy  </t>
  </si>
  <si>
    <t xml:space="preserve">Miejska Biblioteka Publiczna w Chojnicach </t>
  </si>
  <si>
    <t>ul. Wysoka 3</t>
  </si>
  <si>
    <t xml:space="preserve"> 89-600 Chojnice </t>
  </si>
  <si>
    <t xml:space="preserve">ul. Wysoka 3 </t>
  </si>
  <si>
    <t xml:space="preserve">89-600 Chojnice </t>
  </si>
  <si>
    <t xml:space="preserve">Czarneńskie Centrum Kultury, Biblioteka w Czarnem </t>
  </si>
  <si>
    <t xml:space="preserve">ul. Moniuszki 12 </t>
  </si>
  <si>
    <t xml:space="preserve">77-330 Czarne </t>
  </si>
  <si>
    <t xml:space="preserve">Ośrodek Kultury, Biblioteka Publiczna w Czersku </t>
  </si>
  <si>
    <t xml:space="preserve">ul. Dworcowa 31 </t>
  </si>
  <si>
    <t xml:space="preserve">89-650 Czersk </t>
  </si>
  <si>
    <t xml:space="preserve">Miejska Biblioteka Publiczna </t>
  </si>
  <si>
    <t xml:space="preserve">ul. Szczecińska 5 </t>
  </si>
  <si>
    <t xml:space="preserve">77-300 Człuchów </t>
  </si>
  <si>
    <t xml:space="preserve">Gdańsk Wojewódzka i Miejska Biblioteka Publiczna w Gdańsku Biblioteka Manhattan – Filia nr 1 </t>
  </si>
  <si>
    <t xml:space="preserve">Al. Grunwaldzka 82 </t>
  </si>
  <si>
    <t xml:space="preserve">80-244 Gdańsk – Wrzeszcz </t>
  </si>
  <si>
    <t xml:space="preserve">Wojewódzka i Miejska Biblioteka Publiczna w Gdańsku Biblioteka Manhattan – Filia nr 1 </t>
  </si>
  <si>
    <t>Al. Grunwaldzka 82</t>
  </si>
  <si>
    <t>Wojewódzka i Miejska Biblioteka Publiczna w Gdańsku Biblioteka Pilotów – Filia nr 6</t>
  </si>
  <si>
    <t>80-442 Gdańsk</t>
  </si>
  <si>
    <t>ul. Lelewela 21/22</t>
  </si>
  <si>
    <t xml:space="preserve"> 80-442 Gdańsk</t>
  </si>
  <si>
    <t xml:space="preserve">Wojewódzka I Miejska Biblioteka Publiczna w Gdańsku Biblioteka pod Kotem i Myszą – Filia nr 7 </t>
  </si>
  <si>
    <t xml:space="preserve">Wojewódzka i Miejska Biblioteka Publiczna w Gdańsku Biblioteka na Fali – Filia nr 9 </t>
  </si>
  <si>
    <t xml:space="preserve">ul. Jagiellońska 8 </t>
  </si>
  <si>
    <t xml:space="preserve">80-371 Gdańsk </t>
  </si>
  <si>
    <t xml:space="preserve">Wojewódzka i Miejska Biblioteka Publiczna w Gdańsku Biblioteka przy Rynku – Filia nr 11 </t>
  </si>
  <si>
    <t xml:space="preserve">ul. Czerwony Dwór 21 </t>
  </si>
  <si>
    <t xml:space="preserve">80-376 Gdańsk Przymorze </t>
  </si>
  <si>
    <t xml:space="preserve">Wojewódzka i Miejska Biblioteka Publiczna w Gdańsku Biblioteka pod Żółwiem – Filia nr 13 </t>
  </si>
  <si>
    <t xml:space="preserve">ul. Św. Ducha 111/113 </t>
  </si>
  <si>
    <t xml:space="preserve">80-834 Gdańsk </t>
  </si>
  <si>
    <t xml:space="preserve">Wojewódzka i Miejska Biblioteka Publiczna w Gdańsku Biblioteka Brzeźno – Filia nr 16 </t>
  </si>
  <si>
    <t xml:space="preserve">ul. Dworska 27 </t>
  </si>
  <si>
    <t>80-506 Gdańsk</t>
  </si>
  <si>
    <t xml:space="preserve">80-506 Gdańsk </t>
  </si>
  <si>
    <t xml:space="preserve">Wojewódzka i Miejska Biblioteka Publiczna w Gdańsku Biblioteka Kolonia – Filia nr 18 </t>
  </si>
  <si>
    <t xml:space="preserve">ul. Manifestu Połanieckiego 32/34 </t>
  </si>
  <si>
    <t xml:space="preserve">80-406 Gdańsk </t>
  </si>
  <si>
    <t xml:space="preserve">ul. Targ Rakowy 5/6 </t>
  </si>
  <si>
    <t xml:space="preserve">80-806 Gdańsk </t>
  </si>
  <si>
    <t xml:space="preserve">DKK dla młodzieży </t>
  </si>
  <si>
    <t>Wojewódzka i Miejska Biblioteka Publiczna Biblioteka Główna – Filia nr 28</t>
  </si>
  <si>
    <t xml:space="preserve">Wojewódzka i Miejska Biblioteka Publiczna w Gdańsku – Filia nr 33 </t>
  </si>
  <si>
    <t xml:space="preserve">ul. Diamentowa 10 </t>
  </si>
  <si>
    <t xml:space="preserve">80-028 Gdańsk </t>
  </si>
  <si>
    <t xml:space="preserve">Wojewódzka i Miejska Biblioteka Publiczna w Gdańsku Biblioteka Morenowa – Filia nr 44 </t>
  </si>
  <si>
    <t xml:space="preserve">ul. Wyrobka 3a </t>
  </si>
  <si>
    <t xml:space="preserve">80-288 Gdańsk </t>
  </si>
  <si>
    <t xml:space="preserve">Wojewódzka i Miejska Biblioteka Publiczna w Gdańsku Filia Gdańska – Filia nr 65 </t>
  </si>
  <si>
    <t xml:space="preserve">ul. Mariacka 42 </t>
  </si>
  <si>
    <t xml:space="preserve">80-833 Gdańsk </t>
  </si>
  <si>
    <t xml:space="preserve">Miejska Biblioteka Publiczna w Gdyni, Biblioteka z Pasją </t>
  </si>
  <si>
    <t>al. Zwycięstwa 96/98 (PPNT – bud. I)</t>
  </si>
  <si>
    <t xml:space="preserve">81-451 Gdynia </t>
  </si>
  <si>
    <t>81-451 Gdynia</t>
  </si>
  <si>
    <t>„LiterCzarka” Miejska Biblioteka Publiczna w Gdyni – Filia nr 1</t>
  </si>
  <si>
    <t xml:space="preserve">ul. I. Paderewskiego 11 </t>
  </si>
  <si>
    <t xml:space="preserve">80-169 Gdańsk </t>
  </si>
  <si>
    <t xml:space="preserve">Wojewódzka i Miejska Biblioteka Publiczna w Gdańsku Biblioteka na Stogach – Filia nr 63 </t>
  </si>
  <si>
    <t xml:space="preserve">ul. Stryjewskiego 29 </t>
  </si>
  <si>
    <t xml:space="preserve">80-631 Gdańsk </t>
  </si>
  <si>
    <t xml:space="preserve">Miejska Biblioteka Publiczna w Gdyni – Filia nr 2, Biblioteka Śródmieście </t>
  </si>
  <si>
    <t xml:space="preserve">ul. Władysława IV 7-15 </t>
  </si>
  <si>
    <t xml:space="preserve">81-353 Gdynia </t>
  </si>
  <si>
    <t xml:space="preserve">Miejska Biblioteka Publiczna w Gdyni – Filia nr 6, Biblioteka Cisowa </t>
  </si>
  <si>
    <t xml:space="preserve">ul. Kcyńska 2 </t>
  </si>
  <si>
    <t xml:space="preserve">81-005 Gdynia </t>
  </si>
  <si>
    <t xml:space="preserve">Miejska Biblioteka Publiczna w Gdyni – Filia nr 10, Biblioteka Wzgórze </t>
  </si>
  <si>
    <t xml:space="preserve">ul. bpa Dominika 3 </t>
  </si>
  <si>
    <t xml:space="preserve">81-402 Gdynia </t>
  </si>
  <si>
    <t xml:space="preserve">Miejska Biblioteka Publiczna w Gdyni – Filia nr 12, Biblioteka Chylonia </t>
  </si>
  <si>
    <t>ul. Opata Hackiego 33</t>
  </si>
  <si>
    <t xml:space="preserve">81-62 Gdynia </t>
  </si>
  <si>
    <t xml:space="preserve">Powiatowa i Miejska Biblioteka Publiczna w Gniewie </t>
  </si>
  <si>
    <t xml:space="preserve">Plac Grunwaldzki 16/17 </t>
  </si>
  <si>
    <t xml:space="preserve">83-140 Gniew </t>
  </si>
  <si>
    <t xml:space="preserve">84-241 Gościcino </t>
  </si>
  <si>
    <t xml:space="preserve">Miejska i Powiatowa Biblioteka Publiczna w Kartuzach </t>
  </si>
  <si>
    <t xml:space="preserve">ul. Dworzec 4 </t>
  </si>
  <si>
    <t xml:space="preserve">83-300 Kartuzy </t>
  </si>
  <si>
    <t xml:space="preserve">Gminna Biblioteka Publiczna w Kobylnicy </t>
  </si>
  <si>
    <t xml:space="preserve">ul. Wodna 20/4 </t>
  </si>
  <si>
    <t xml:space="preserve">76-251 Kobylnica </t>
  </si>
  <si>
    <t xml:space="preserve">Biblioteka Miejska w Kościerzynie </t>
  </si>
  <si>
    <t>Rynek 21</t>
  </si>
  <si>
    <t xml:space="preserve">83-400 Kościerzyna </t>
  </si>
  <si>
    <t xml:space="preserve">ul. Gdańska 108 </t>
  </si>
  <si>
    <t xml:space="preserve">82-120 Krynica Morska </t>
  </si>
  <si>
    <t xml:space="preserve">Gminna Biblioteka Publiczna w Kobylnicy – Filia w Kwakowie </t>
  </si>
  <si>
    <t xml:space="preserve">ul. Słupska 5 </t>
  </si>
  <si>
    <t xml:space="preserve">76-251 Kwakowo </t>
  </si>
  <si>
    <t xml:space="preserve">Biblioteka Publiczna Gminy Kwidzyn z siedzibą w Marezie </t>
  </si>
  <si>
    <t xml:space="preserve">ul. Długa 5 </t>
  </si>
  <si>
    <t xml:space="preserve">82-500 Kwidzyn </t>
  </si>
  <si>
    <t xml:space="preserve"> ul. Kościuszki 54 </t>
  </si>
  <si>
    <t xml:space="preserve">DKK dla dorosłych </t>
  </si>
  <si>
    <t>Biblioteka Miejsko-Powiatowa w Kwidzynie</t>
  </si>
  <si>
    <t xml:space="preserve">ul. Armii Krajowej 16 </t>
  </si>
  <si>
    <t xml:space="preserve">84-300 Lębork </t>
  </si>
  <si>
    <t xml:space="preserve">Gminna Biblioteka Publiczna w Luzinie </t>
  </si>
  <si>
    <t xml:space="preserve">ul. Ofiar Stutthofu 56 </t>
  </si>
  <si>
    <t xml:space="preserve">84-242 Luzino </t>
  </si>
  <si>
    <t xml:space="preserve">Gminna Biblioteka Publiczna w </t>
  </si>
  <si>
    <t xml:space="preserve">Luzinie ul. Ofiar Stutthofu 56 </t>
  </si>
  <si>
    <t xml:space="preserve">Gminna Biblioteka Publiczna w Łęczycach </t>
  </si>
  <si>
    <t xml:space="preserve">ul. Topolowa 1 </t>
  </si>
  <si>
    <t xml:space="preserve">84-218 Łęczyce </t>
  </si>
  <si>
    <t xml:space="preserve">ul. Szreibera 12 </t>
  </si>
  <si>
    <t xml:space="preserve">82-433 Mikołajki Pomorskie </t>
  </si>
  <si>
    <t xml:space="preserve">Miejska Biblioteka Pelplin w Pelplinie </t>
  </si>
  <si>
    <t xml:space="preserve">ul. Sambora 5a </t>
  </si>
  <si>
    <t xml:space="preserve">83-130 Pelplin </t>
  </si>
  <si>
    <t xml:space="preserve">Powiatowa i Miejska Biblioteka Publiczna </t>
  </si>
  <si>
    <t xml:space="preserve">ul. Wojska Polskiego 34 </t>
  </si>
  <si>
    <t xml:space="preserve">83-000 Pruszcz Gdański </t>
  </si>
  <si>
    <t>83-000 Pruszcz Gdański</t>
  </si>
  <si>
    <t xml:space="preserve">Biblioteka Publiczna Gminy Przodkowo </t>
  </si>
  <si>
    <t xml:space="preserve">ul. Gdańska 3 </t>
  </si>
  <si>
    <t xml:space="preserve">83-304 Przodkowo </t>
  </si>
  <si>
    <t xml:space="preserve">Gminna Biblioteka Publiczna w Pszczółkach </t>
  </si>
  <si>
    <t xml:space="preserve">ul. Kościelna 8A </t>
  </si>
  <si>
    <t xml:space="preserve">83-032 Pszczółki </t>
  </si>
  <si>
    <t xml:space="preserve">ul. H. Derdowskiego 3 </t>
  </si>
  <si>
    <t xml:space="preserve">84-240 Reda </t>
  </si>
  <si>
    <t xml:space="preserve">ul. Starowiejska 2 </t>
  </si>
  <si>
    <t>84-30 Rumia</t>
  </si>
  <si>
    <t xml:space="preserve">Gminna Biblioteka Publiczna w Ryjewie </t>
  </si>
  <si>
    <t xml:space="preserve">ul. Grunwaldzka 63 A </t>
  </si>
  <si>
    <t xml:space="preserve">82-420 Ryjewo </t>
  </si>
  <si>
    <t xml:space="preserve">Gminna Biblioteka Publiczna w Ryjewie  </t>
  </si>
  <si>
    <t xml:space="preserve">Ośrodek Kultury Biblioteka w Rytlu </t>
  </si>
  <si>
    <t xml:space="preserve">ul. ks. Antoniego Kowalkowskiego 11 </t>
  </si>
  <si>
    <t xml:space="preserve">89-642 Rytel </t>
  </si>
  <si>
    <t xml:space="preserve">Miejska Biblioteka Publiczna w Słupsku </t>
  </si>
  <si>
    <t xml:space="preserve">ul. Grodzka 3 </t>
  </si>
  <si>
    <t xml:space="preserve">76-200 Słupsk </t>
  </si>
  <si>
    <t xml:space="preserve">Miejska Biblioteka Publiczna w Słupsku – Filia nr 3 </t>
  </si>
  <si>
    <t xml:space="preserve">ul. Zygmunta Augusta 14 </t>
  </si>
  <si>
    <t xml:space="preserve">Miejska Biblioteka Publiczna w Słupsku – Filia nr 6 </t>
  </si>
  <si>
    <t xml:space="preserve">ul. Romera 6 </t>
  </si>
  <si>
    <t xml:space="preserve">Gminna Biblioteka Publiczna w Somoninie </t>
  </si>
  <si>
    <t xml:space="preserve">ul. Ceynowy 1 A </t>
  </si>
  <si>
    <t xml:space="preserve">83-314 Somonino </t>
  </si>
  <si>
    <t xml:space="preserve">Miejska Biblioteka Publiczna, Sopoteka Galeria Kultury Multimedialnej </t>
  </si>
  <si>
    <t xml:space="preserve">ul. Tadeusza Kościuszki 14 </t>
  </si>
  <si>
    <t xml:space="preserve">81-704 Sopot </t>
  </si>
  <si>
    <t xml:space="preserve">ul. Paderewskiego 1 </t>
  </si>
  <si>
    <t xml:space="preserve">83-200 Starogard Gdański </t>
  </si>
  <si>
    <t xml:space="preserve">Miejska Biblioteka Publiczna w Starogardzie Gdańskim, filia nr 2 </t>
  </si>
  <si>
    <t xml:space="preserve">ul. Reymonta 1 </t>
  </si>
  <si>
    <t xml:space="preserve">Gminna Biblioteka Publiczna w Stężycy </t>
  </si>
  <si>
    <t xml:space="preserve">ul. J. III Sobieskiego 15 </t>
  </si>
  <si>
    <t xml:space="preserve">83-322 Stężyca </t>
  </si>
  <si>
    <t xml:space="preserve">Sztumskie Centrum Kultury Dział Bibliotek </t>
  </si>
  <si>
    <t xml:space="preserve">ul. Mickiewicza 23 </t>
  </si>
  <si>
    <t xml:space="preserve">Biblioteka Publiczna Gminy Sztutowo </t>
  </si>
  <si>
    <t>ul. Szkolna 13</t>
  </si>
  <si>
    <t xml:space="preserve">ul. Szkolna 13 </t>
  </si>
  <si>
    <t xml:space="preserve">82-110 Sztutowo </t>
  </si>
  <si>
    <t>82-110 Sztutowo</t>
  </si>
  <si>
    <t xml:space="preserve">83-315 Szymbark </t>
  </si>
  <si>
    <t>Miejska Biblioteka Publiczna – Filia nr 2</t>
  </si>
  <si>
    <t>ul. Konarskiego 15</t>
  </si>
  <si>
    <t xml:space="preserve">83-110 Tczew </t>
  </si>
  <si>
    <t xml:space="preserve">Gminna Biblioteka Publiczna </t>
  </si>
  <si>
    <t xml:space="preserve">ul. Sportowa 4 </t>
  </si>
  <si>
    <t xml:space="preserve">83-034 Trąbki Wielkie </t>
  </si>
  <si>
    <t>DKK dziecięcy</t>
  </si>
  <si>
    <t xml:space="preserve">ul. Sportowa 4  </t>
  </si>
  <si>
    <t>83-034 Trąbki Wielkie</t>
  </si>
  <si>
    <t xml:space="preserve">Biblioteka Miejska </t>
  </si>
  <si>
    <t xml:space="preserve">ul. Kopernika 22 </t>
  </si>
  <si>
    <t xml:space="preserve">76-270 Ustka </t>
  </si>
  <si>
    <t xml:space="preserve">Miejska Biblioteka Publiczna w Wejherowie </t>
  </si>
  <si>
    <t xml:space="preserve">ul. Kaszubska 14 </t>
  </si>
  <si>
    <t xml:space="preserve">84-200 Wejherowo </t>
  </si>
  <si>
    <t xml:space="preserve">ul. Dworcowa 7 </t>
  </si>
  <si>
    <t xml:space="preserve">ul. Gen. Józefa Hallera 19 </t>
  </si>
  <si>
    <t xml:space="preserve">84-120 Władysławowo </t>
  </si>
  <si>
    <t xml:space="preserve"> 509 329 062 </t>
  </si>
  <si>
    <t xml:space="preserve">Ewa Szynal </t>
  </si>
  <si>
    <t xml:space="preserve"> 58 796 66 50</t>
  </si>
  <si>
    <t>Violetta Wiśniewska</t>
  </si>
  <si>
    <t xml:space="preserve">Violetta Wiśniewska </t>
  </si>
  <si>
    <t xml:space="preserve"> 52 396 93 30</t>
  </si>
  <si>
    <t xml:space="preserve">Anna Orlikowska </t>
  </si>
  <si>
    <t xml:space="preserve"> 533 343 497</t>
  </si>
  <si>
    <t>Karolina Zyglarska-Werner</t>
  </si>
  <si>
    <t xml:space="preserve"> 52 397 28 07</t>
  </si>
  <si>
    <t>Anna Maria Zdrenka, Małgorzata Guzelak</t>
  </si>
  <si>
    <t xml:space="preserve">Wioletta Karpiak, Malwina Miszewska </t>
  </si>
  <si>
    <t xml:space="preserve"> 59 833 23 08 </t>
  </si>
  <si>
    <t xml:space="preserve">Natalia Puzyr, Anna Rynkiewicz </t>
  </si>
  <si>
    <t xml:space="preserve"> 52 398 43 10 </t>
  </si>
  <si>
    <t xml:space="preserve">Anna Brzezińska </t>
  </si>
  <si>
    <t xml:space="preserve">Beata Machajewska </t>
  </si>
  <si>
    <t xml:space="preserve"> 59 834 11 16</t>
  </si>
  <si>
    <t>Ewa Meger</t>
  </si>
  <si>
    <t xml:space="preserve"> 58 500 00 80 </t>
  </si>
  <si>
    <t>Małgorzata Smyl, Jolanta Turowska</t>
  </si>
  <si>
    <t xml:space="preserve"> 58 500 00 80</t>
  </si>
  <si>
    <t>Magdalena Litwin</t>
  </si>
  <si>
    <t>Magdalena Puto</t>
  </si>
  <si>
    <t xml:space="preserve"> 58 556 57 02</t>
  </si>
  <si>
    <t>Iwona Giermak</t>
  </si>
  <si>
    <t xml:space="preserve"> 58 341 27 21 </t>
  </si>
  <si>
    <t xml:space="preserve">Leokadia Panasiuk </t>
  </si>
  <si>
    <t>Marcelina Bieszke  młodzieży</t>
  </si>
  <si>
    <t xml:space="preserve"> 58 553 05 51 </t>
  </si>
  <si>
    <t xml:space="preserve">Beata Snarska </t>
  </si>
  <si>
    <t xml:space="preserve"> 58 553 20 12 </t>
  </si>
  <si>
    <t xml:space="preserve">Maria Krajewska </t>
  </si>
  <si>
    <t xml:space="preserve"> 58 301 10 28 </t>
  </si>
  <si>
    <t xml:space="preserve">Martyna Tymrowska, Małgorzata Kornecka </t>
  </si>
  <si>
    <t xml:space="preserve"> 58 343 40 07 </t>
  </si>
  <si>
    <t>Joanna Redmann-Żukowska</t>
  </si>
  <si>
    <t xml:space="preserve"> 58 343 40 07</t>
  </si>
  <si>
    <t>Anna Sumarzyńska</t>
  </si>
  <si>
    <t xml:space="preserve"> 58 344 02 59 </t>
  </si>
  <si>
    <t>Małgorzata Hinc</t>
  </si>
  <si>
    <t xml:space="preserve"> 58 301 48 11 </t>
  </si>
  <si>
    <t xml:space="preserve">Daria Tatol, Sabina Romanowska </t>
  </si>
  <si>
    <t>Liliana Antonik, Marta Ossowska</t>
  </si>
  <si>
    <t xml:space="preserve"> 58 309 41 16 </t>
  </si>
  <si>
    <t xml:space="preserve">Anna Walkowiak </t>
  </si>
  <si>
    <t xml:space="preserve"> 58 348 70 06 </t>
  </si>
  <si>
    <t xml:space="preserve">Joanna Wachowicz </t>
  </si>
  <si>
    <t xml:space="preserve"> 58 306 17 37 </t>
  </si>
  <si>
    <t xml:space="preserve">Wanda Lemanowicz </t>
  </si>
  <si>
    <t xml:space="preserve"> 58 324 59 43 </t>
  </si>
  <si>
    <t xml:space="preserve">Anna Paradzińska </t>
  </si>
  <si>
    <t xml:space="preserve"> 58 301 03 62 </t>
  </si>
  <si>
    <t xml:space="preserve">Zbigniew Walczak, Maria Szukszta </t>
  </si>
  <si>
    <t xml:space="preserve"> 58 664 84 70 </t>
  </si>
  <si>
    <t>Izabela Rutkowska</t>
  </si>
  <si>
    <t xml:space="preserve"> 58 664 84 70</t>
  </si>
  <si>
    <t>Karolina Guttek</t>
  </si>
  <si>
    <t xml:space="preserve"> 58 625 08 16</t>
  </si>
  <si>
    <t>Martyna Lejman-Kołczyńska</t>
  </si>
  <si>
    <t xml:space="preserve"> 58 661 66 48 </t>
  </si>
  <si>
    <t xml:space="preserve">Aleksandra Łapińska </t>
  </si>
  <si>
    <t xml:space="preserve"> 58 623 60 29 </t>
  </si>
  <si>
    <t>Ewa Jank</t>
  </si>
  <si>
    <t xml:space="preserve"> 58 622 18 51 </t>
  </si>
  <si>
    <t>Zofia Bajer e-mail: filianr10[at]bibliotekagdynia.pl DKK dla</t>
  </si>
  <si>
    <t xml:space="preserve">Bogusława Jasek </t>
  </si>
  <si>
    <t xml:space="preserve"> 502 960 890 </t>
  </si>
  <si>
    <t xml:space="preserve">Anna Flores-Janiszewska </t>
  </si>
  <si>
    <t xml:space="preserve"> 59 811 67 83</t>
  </si>
  <si>
    <t>Bożena Szymańska</t>
  </si>
  <si>
    <t xml:space="preserve"> 58 535 25 62 </t>
  </si>
  <si>
    <t xml:space="preserve">Karolina Jarzembowska-Żyła </t>
  </si>
  <si>
    <t xml:space="preserve"> 58 736 47 85</t>
  </si>
  <si>
    <t xml:space="preserve"> 58 560 92 45</t>
  </si>
  <si>
    <t>Anna Bojar</t>
  </si>
  <si>
    <t xml:space="preserve"> 58 681 15 15 </t>
  </si>
  <si>
    <t xml:space="preserve">Wiesława Paczoska </t>
  </si>
  <si>
    <t xml:space="preserve"> 55 247 87 66</t>
  </si>
  <si>
    <t>Marzena Kozak</t>
  </si>
  <si>
    <t xml:space="preserve"> 59 848 59 46 </t>
  </si>
  <si>
    <t xml:space="preserve">Małgorzata Żarna </t>
  </si>
  <si>
    <t xml:space="preserve"> 58 686 21 48</t>
  </si>
  <si>
    <t xml:space="preserve">Joanna Czecholińska, Anna Kerlin </t>
  </si>
  <si>
    <t xml:space="preserve"> 55 247 65 07</t>
  </si>
  <si>
    <t xml:space="preserve">Ilona Hagedorn </t>
  </si>
  <si>
    <t xml:space="preserve"> 609 526 951 </t>
  </si>
  <si>
    <t xml:space="preserve">Alicja Tołoczko </t>
  </si>
  <si>
    <t xml:space="preserve"> 55 279 33 22 </t>
  </si>
  <si>
    <t xml:space="preserve">Małgorzata Lasota </t>
  </si>
  <si>
    <t xml:space="preserve"> 55 279 33 50 </t>
  </si>
  <si>
    <t xml:space="preserve">Agnieszka Wentowska </t>
  </si>
  <si>
    <t xml:space="preserve"> 59 862 23 07 </t>
  </si>
  <si>
    <t xml:space="preserve">Kamila Iwosa </t>
  </si>
  <si>
    <t xml:space="preserve"> 58 678 20 86 </t>
  </si>
  <si>
    <t>Renata Szkoła-Penkowska</t>
  </si>
  <si>
    <t xml:space="preserve">Renata Szkoła-Penkowska </t>
  </si>
  <si>
    <t xml:space="preserve"> 58 572 80 13 </t>
  </si>
  <si>
    <t>Agnieszka Laskowska</t>
  </si>
  <si>
    <t xml:space="preserve"> 55 277 00 90 m</t>
  </si>
  <si>
    <t>Jadwiga Stępniak</t>
  </si>
  <si>
    <t xml:space="preserve"> 59 814 24 24</t>
  </si>
  <si>
    <t>Alicja Mieliwodzka</t>
  </si>
  <si>
    <t>Beata Bednarczyk, Alicja Mieliwodzka</t>
  </si>
  <si>
    <t xml:space="preserve"> 58 536 33 43 </t>
  </si>
  <si>
    <t xml:space="preserve">Agnieszka Pokacka </t>
  </si>
  <si>
    <t xml:space="preserve">Dorota Sakowska </t>
  </si>
  <si>
    <t xml:space="preserve"> 59 811 65 63</t>
  </si>
  <si>
    <t>Justyna Marcinkowska</t>
  </si>
  <si>
    <t xml:space="preserve"> 58 682 34 79 </t>
  </si>
  <si>
    <t xml:space="preserve">Anna Krawycińska </t>
  </si>
  <si>
    <t>Anita Kotwa-Kąkol, Joanna Łabasiewicz</t>
  </si>
  <si>
    <t>Joanna Łabasiewicz</t>
  </si>
  <si>
    <t xml:space="preserve"> 504 513 135  </t>
  </si>
  <si>
    <t>Danuta Rzepka</t>
  </si>
  <si>
    <t xml:space="preserve"> 506 280 387 </t>
  </si>
  <si>
    <t xml:space="preserve">Bogumiła Tuźnik, Małgorzata Ćwikałowska </t>
  </si>
  <si>
    <t xml:space="preserve"> 506 280 387</t>
  </si>
  <si>
    <t xml:space="preserve"> 58 678 33 48 </t>
  </si>
  <si>
    <t>Katarzyna Zielińska</t>
  </si>
  <si>
    <t xml:space="preserve">Mariusz Hybiak </t>
  </si>
  <si>
    <t xml:space="preserve"> 55 255 32 26 </t>
  </si>
  <si>
    <t>Justyna Pytlarczyk</t>
  </si>
  <si>
    <t xml:space="preserve"> 52 398 52 46 </t>
  </si>
  <si>
    <t xml:space="preserve">Małgorzata Kowalewska-Remisz </t>
  </si>
  <si>
    <t xml:space="preserve"> 59 840 58 35 </t>
  </si>
  <si>
    <t xml:space="preserve">Kinga Dziwisz </t>
  </si>
  <si>
    <t xml:space="preserve"> 59 843 38 78 </t>
  </si>
  <si>
    <t>Elżbieta Marszałek</t>
  </si>
  <si>
    <t xml:space="preserve">Elżbieta Marszałek </t>
  </si>
  <si>
    <t xml:space="preserve"> 59 843 39 01</t>
  </si>
  <si>
    <t>Wojciech Juszczak</t>
  </si>
  <si>
    <t xml:space="preserve"> (59) 845 22 85</t>
  </si>
  <si>
    <t xml:space="preserve">Jolanta Stefaniak </t>
  </si>
  <si>
    <t xml:space="preserve"> 58 684 11 26 </t>
  </si>
  <si>
    <t xml:space="preserve">Karolina Szmołda </t>
  </si>
  <si>
    <t xml:space="preserve"> 58 684 11 26</t>
  </si>
  <si>
    <t>Marta Skrzypkowska</t>
  </si>
  <si>
    <t xml:space="preserve"> 609 680 756 </t>
  </si>
  <si>
    <t xml:space="preserve">Sabina Uraczyńska </t>
  </si>
  <si>
    <t xml:space="preserve"> 58 719 21 70 w</t>
  </si>
  <si>
    <t xml:space="preserve">Joanna Miloch, Karolina Szreider </t>
  </si>
  <si>
    <t xml:space="preserve"> 58 56 28 994 </t>
  </si>
  <si>
    <t xml:space="preserve">Jadwiga Peplińska </t>
  </si>
  <si>
    <t xml:space="preserve"> 58 684 33 54 </t>
  </si>
  <si>
    <t xml:space="preserve">Elżbieta Płotka </t>
  </si>
  <si>
    <t xml:space="preserve">Gabriela Formela </t>
  </si>
  <si>
    <t xml:space="preserve"> 883 833 958</t>
  </si>
  <si>
    <t>Izabela Papała</t>
  </si>
  <si>
    <t>Grażyna Goszczyńska, Wioletta Toruńczak, Zuzanna Ludka</t>
  </si>
  <si>
    <t xml:space="preserve"> 58 676 25 07</t>
  </si>
  <si>
    <t>Małgorzata Mazur</t>
  </si>
  <si>
    <t xml:space="preserve">Justyna Czernicka </t>
  </si>
  <si>
    <t xml:space="preserve">Krystyna Dróżdż, Urszula Parol </t>
  </si>
  <si>
    <t xml:space="preserve"> 55 247 84 14 </t>
  </si>
  <si>
    <t>Krystyna Dróżdż, Urszula Parol</t>
  </si>
  <si>
    <t xml:space="preserve"> 58 684 38 60 </t>
  </si>
  <si>
    <t xml:space="preserve">Sonia Formela </t>
  </si>
  <si>
    <t xml:space="preserve"> 58 531 09 21 </t>
  </si>
  <si>
    <t xml:space="preserve">Adrianna Zakrzewska </t>
  </si>
  <si>
    <t xml:space="preserve"> 58 531 35 50</t>
  </si>
  <si>
    <t xml:space="preserve">Aleksandra Libera </t>
  </si>
  <si>
    <t xml:space="preserve"> 58 683 71 15 </t>
  </si>
  <si>
    <t xml:space="preserve">Katarzyna Mądraszewska </t>
  </si>
  <si>
    <t xml:space="preserve">Anna Chmielewska </t>
  </si>
  <si>
    <t xml:space="preserve"> 509 166 567</t>
  </si>
  <si>
    <t>Leszek Orczykowski</t>
  </si>
  <si>
    <t xml:space="preserve"> 59 858 02 29</t>
  </si>
  <si>
    <t>Iwona Szczęsna</t>
  </si>
  <si>
    <t xml:space="preserve"> 59 81 46 083 </t>
  </si>
  <si>
    <t xml:space="preserve">Weronika Głowacka, Monika Ogrodnik </t>
  </si>
  <si>
    <t xml:space="preserve"> 59 814 22 58 </t>
  </si>
  <si>
    <t>Monika Nanhybida, Alicja Gołubowska</t>
  </si>
  <si>
    <t xml:space="preserve"> 58 677 65 70 </t>
  </si>
  <si>
    <t xml:space="preserve">Ewelina Roszman </t>
  </si>
  <si>
    <t xml:space="preserve"> 58 677 65 72</t>
  </si>
  <si>
    <t xml:space="preserve">Celestyna Taube </t>
  </si>
  <si>
    <t xml:space="preserve"> 535 555 937 </t>
  </si>
  <si>
    <t xml:space="preserve">Wanda Kantecka </t>
  </si>
  <si>
    <t xml:space="preserve"> 58 674 11 31 </t>
  </si>
  <si>
    <t xml:space="preserve">Grażyna Szymańska </t>
  </si>
  <si>
    <t xml:space="preserve"> 570 452 627</t>
  </si>
  <si>
    <t>Paulina Olszewska</t>
  </si>
  <si>
    <t>Gdańsk</t>
  </si>
  <si>
    <t>zwrot</t>
  </si>
  <si>
    <t xml:space="preserve"> 58 721 47 52 </t>
  </si>
  <si>
    <t xml:space="preserve">82-400 Sztum </t>
  </si>
  <si>
    <t xml:space="preserve">ul. Armii Krajowej 16  </t>
  </si>
  <si>
    <t>84-300 Lębork</t>
  </si>
  <si>
    <t xml:space="preserve"> 59 862 23 07</t>
  </si>
  <si>
    <t xml:space="preserve">Emilia Wenta </t>
  </si>
  <si>
    <t xml:space="preserve"> 55 277 25 39 </t>
  </si>
  <si>
    <t>Alwernia</t>
  </si>
  <si>
    <t>Miejsko-Gminna Biblioteka Publiczna w Alwerni</t>
  </si>
  <si>
    <t>ul. Gęsikowskiego 7</t>
  </si>
  <si>
    <t>Andrychów</t>
  </si>
  <si>
    <t>Miejska Biblioteka Publiczna w Andrychowie</t>
  </si>
  <si>
    <t>Berest</t>
  </si>
  <si>
    <t>Biblioteka Publiczna Gminy Krynicy-Zdroju – Filia w Bereście</t>
  </si>
  <si>
    <t>Dom Ludowy</t>
  </si>
  <si>
    <t>33-380 Berest</t>
  </si>
  <si>
    <t>Bibice</t>
  </si>
  <si>
    <t>Biblioteka Publiczna w Zielonkach – Kulturoteka w Bibicach</t>
  </si>
  <si>
    <t>32-087 Bibice</t>
  </si>
  <si>
    <t>Bochnia</t>
  </si>
  <si>
    <t>Powiatowa i Miejska Biblioteka Publiczna w Bochni – Filia nr 4</t>
  </si>
  <si>
    <t>ul. Brzeźnicka 19</t>
  </si>
  <si>
    <t>32-700 Bochnia</t>
  </si>
  <si>
    <t>Bolechowice</t>
  </si>
  <si>
    <t>Gminna Biblioteka Publiczna w Zabierzowie – Filia w Bolechowicach</t>
  </si>
  <si>
    <t>ul. Jurajska 334</t>
  </si>
  <si>
    <t>32-082 Bolechowice</t>
  </si>
  <si>
    <t>Borek Szlachecki</t>
  </si>
  <si>
    <t>Miejska Biblioteka Publiczna w Skawinie – Filia w Borku Szlacheckim</t>
  </si>
  <si>
    <t>ul. Szkolna 20</t>
  </si>
  <si>
    <t>32-050 Borek Szlachecki</t>
  </si>
  <si>
    <t>Bratucice</t>
  </si>
  <si>
    <t>Gminna Biblioteka Publiczna w Rzezawie – Filia w Bratucicach</t>
  </si>
  <si>
    <t>Bratucice 35</t>
  </si>
  <si>
    <t>32-712 Bratucice</t>
  </si>
  <si>
    <t>Brzesko</t>
  </si>
  <si>
    <t>Brzeszcze</t>
  </si>
  <si>
    <t>Biblioteka Publiczna Ośrodka Kultury w Brzeszczach</t>
  </si>
  <si>
    <t>Brzeźnica</t>
  </si>
  <si>
    <t>Gminna Biblioteka Publiczna w Brzeźnicy</t>
  </si>
  <si>
    <t>Rynek 1</t>
  </si>
  <si>
    <t>Bukowno</t>
  </si>
  <si>
    <t>Miejska Biblioteka Publiczna w Bukownie</t>
  </si>
  <si>
    <t>ul. Kolejowa 3</t>
  </si>
  <si>
    <t>32-332 Bukowno</t>
  </si>
  <si>
    <t>Bystra Podhalańska</t>
  </si>
  <si>
    <t>Gminna Biblioteka Publiczna w Sidzinie – Filia Biblioteczna w Bystrej Podhalańskiej</t>
  </si>
  <si>
    <t>Bystra Podh. 467</t>
  </si>
  <si>
    <t>34-235 BYSTRA PODHALANSKA</t>
  </si>
  <si>
    <t>Chełmek</t>
  </si>
  <si>
    <t>Biblioteka Publiczna MOKSiR</t>
  </si>
  <si>
    <t>ul. Topolowa 8</t>
  </si>
  <si>
    <t>32-660 Chełmek</t>
  </si>
  <si>
    <t>Chrzanów</t>
  </si>
  <si>
    <t>Ciężkowice</t>
  </si>
  <si>
    <t>Miejsko-Gminna Biblioteka Publiczna w Ciężkowicach</t>
  </si>
  <si>
    <t>Czernichów</t>
  </si>
  <si>
    <t>Gminna Biblioteka Publiczna w Czernichowie</t>
  </si>
  <si>
    <t>Dąbrowa Tarnowska</t>
  </si>
  <si>
    <t>Miejska Biblioteka Publiczna w Dąbrowie Tarnowskiej</t>
  </si>
  <si>
    <t>Gołcza</t>
  </si>
  <si>
    <t>Biblioteka i Ośrodek Animacji Kultury Gminy Gołcza</t>
  </si>
  <si>
    <t>Miejska Biblioteka Publiczna w Gorlicach</t>
  </si>
  <si>
    <t>Grojec</t>
  </si>
  <si>
    <t>Gminna Biblioteka Publiczna w Oświęcimiu z/s w Grojcu</t>
  </si>
  <si>
    <t>Gródek nad Dunajcem</t>
  </si>
  <si>
    <t>Gminna Biblioteka Publiczna w Gródku nad Dunajcem</t>
  </si>
  <si>
    <t>Gródek n/Dunajcem 28</t>
  </si>
  <si>
    <t>33-318 Gródek n/Dunajcem</t>
  </si>
  <si>
    <t>Jastrzębia</t>
  </si>
  <si>
    <t>Miejsko-Gminna Biblioteka Publiczna w Ciężkowicach – Filia w Jastrzębi</t>
  </si>
  <si>
    <t>Jastrzębia 17</t>
  </si>
  <si>
    <t>33-191 Jastrzębia</t>
  </si>
  <si>
    <t>Jerzmanowice</t>
  </si>
  <si>
    <t>Powiatowa i Gminna Biblioteka Publiczna w Jerzmanowicach</t>
  </si>
  <si>
    <t>Kalwaria Zebrzydowska</t>
  </si>
  <si>
    <t>Biblioteka Publiczna w Kalwarii Zebrzydowskiej</t>
  </si>
  <si>
    <t>ul. Jana Pawła II 24</t>
  </si>
  <si>
    <t>34-130 Kalwaria Zebrzydowska</t>
  </si>
  <si>
    <t>Kęty</t>
  </si>
  <si>
    <t>Kraków</t>
  </si>
  <si>
    <t>Biblioteka Ośrodka Kultury im. Norwida w Krakowie</t>
  </si>
  <si>
    <t>Biblioteka Klubu KUŹNIA OK. im Norwida w Krakowie</t>
  </si>
  <si>
    <t>Os. Złotego Wieku 14</t>
  </si>
  <si>
    <t>31-616 Kraków</t>
  </si>
  <si>
    <t>Biblioteka Kraków – Filia nr 2</t>
  </si>
  <si>
    <t>Biblioteka Kraków – Filia nr 15</t>
  </si>
  <si>
    <t>Biblioteka Kraków – Filia nr 48</t>
  </si>
  <si>
    <t>Biblioteka Kraków – Filia nr 49</t>
  </si>
  <si>
    <t>os. Tysiąclecia 42</t>
  </si>
  <si>
    <t>31-610 Kraków</t>
  </si>
  <si>
    <t>Królówka</t>
  </si>
  <si>
    <t>Miejska Biblioteka Publiczna w Nowym Wiśniczu – Filia w Królówce</t>
  </si>
  <si>
    <t>Krynica-Zdrój</t>
  </si>
  <si>
    <t>Biblioteka Publiczna Gminy Krynicy–Zdroju</t>
  </si>
  <si>
    <t>Biblioteka Publiczna Gminy Krynicy-Zdroju – Filia nr 3</t>
  </si>
  <si>
    <t>ul. Źródlana 39</t>
  </si>
  <si>
    <t>33-380 Krynica-Zdrój</t>
  </si>
  <si>
    <t>Krzeszowice</t>
  </si>
  <si>
    <t>Miejsko Gminna Biblioteka Publiczna w Krzeszowicach</t>
  </si>
  <si>
    <t>Krzęcin</t>
  </si>
  <si>
    <t>Miejska Biblioteka Publiczna w Skawinie – Filia w Krzęcinie</t>
  </si>
  <si>
    <t>ul. św. Floriana 83</t>
  </si>
  <si>
    <t>32-051 Krzęcin</t>
  </si>
  <si>
    <t>Libiąż</t>
  </si>
  <si>
    <t>Libusza</t>
  </si>
  <si>
    <t>Miejska i Gminna Biblioteka Publiczna w Bieczu – Filia w Libuszy</t>
  </si>
  <si>
    <t>Limanowa</t>
  </si>
  <si>
    <t>Miejska Biblioteka Publiczna w Limanowej</t>
  </si>
  <si>
    <t>Lipnica Murowana</t>
  </si>
  <si>
    <t>Gminna Biblioteka Publiczna w Lipnicy Murowanej</t>
  </si>
  <si>
    <t>Łęg Tarnowski</t>
  </si>
  <si>
    <t>Miejsko Gminna Biblioteka Publiczna w Żabnie – Filia w Łęgu Tarnowskim</t>
  </si>
  <si>
    <t>Mędrzechów</t>
  </si>
  <si>
    <t>Gminna Biblioteka Publiczna w Mędrzechowie</t>
  </si>
  <si>
    <t>Mędrzechów 9</t>
  </si>
  <si>
    <t>33-221 Mędrzechów</t>
  </si>
  <si>
    <t>Michałowice</t>
  </si>
  <si>
    <t>Biblioteka Publiczna Gminy Michałowice</t>
  </si>
  <si>
    <t>Plac Józefa Piłsudskiego 2</t>
  </si>
  <si>
    <t>32-091 Michałowice</t>
  </si>
  <si>
    <t>Miechów</t>
  </si>
  <si>
    <t>Myślenice</t>
  </si>
  <si>
    <t>Miejska Biblioteka Publiczna w Myślenicach</t>
  </si>
  <si>
    <t>ul. Mickiewicza 17</t>
  </si>
  <si>
    <t>32-400 Myślenice</t>
  </si>
  <si>
    <t>Nieciecza</t>
  </si>
  <si>
    <t>Miejsko-Gminna Biblioteka Publiczna w Żabnie – Filia w Niecieczy</t>
  </si>
  <si>
    <t>Niedomice</t>
  </si>
  <si>
    <t>Miejsko Gminna Biblioteka Publiczna w Żabnie – Filia w Niedomicach</t>
  </si>
  <si>
    <t>Niedźwiedź</t>
  </si>
  <si>
    <t>Miejska Biblioteka Publiczna w Słomnikach – Filia w Niedźwiedziu</t>
  </si>
  <si>
    <t>Nowy Sącz</t>
  </si>
  <si>
    <t>Sądecka Biblioteka Publiczna</t>
  </si>
  <si>
    <t>Sądecka Biblioteka Publiczna – Oddział dla Dzieci</t>
  </si>
  <si>
    <t>Nowy Targ</t>
  </si>
  <si>
    <t>Miejska Biblioteka Publiczna w Nowym Targu</t>
  </si>
  <si>
    <t>al. Tysiąclecia 37</t>
  </si>
  <si>
    <t>34-400 Nowy Targ</t>
  </si>
  <si>
    <t>Miejska Biblioteka Publiczna w Nowym Targu – Filia nr 1</t>
  </si>
  <si>
    <t>al. Kopernika 12</t>
  </si>
  <si>
    <t>Nowa Wieś</t>
  </si>
  <si>
    <t>Gminna Biblioteka Publiczna w Kętach – Filia w Nowej Wsi</t>
  </si>
  <si>
    <t>ul. Dworska 7</t>
  </si>
  <si>
    <t>32-651 Nowa Wieś</t>
  </si>
  <si>
    <t>Nowy Wiśnicz</t>
  </si>
  <si>
    <t>Miejska Biblioteka Publiczna w Nowym Wiśniczu</t>
  </si>
  <si>
    <t>Olesno</t>
  </si>
  <si>
    <t>Gminna Biblioteka Publiczna w Oleśnie</t>
  </si>
  <si>
    <t>Olkusz</t>
  </si>
  <si>
    <t>Pedagogiczna Biblioteka Wojewódzka – Filia w Olkuszu</t>
  </si>
  <si>
    <t>Powiatowa i Miejska Biblioteka Publiczna w Olkuszu</t>
  </si>
  <si>
    <t>Ostrów</t>
  </si>
  <si>
    <t>Powiatowa i Miejska Biblioteka Publiczna w Proszowicach – Filia w Ostrowie</t>
  </si>
  <si>
    <t>Oświęcim</t>
  </si>
  <si>
    <t>Miejska Biblioteka Publiczna GALERIA KSIĄŻKI w Oświęcimiu</t>
  </si>
  <si>
    <t>Otfinów</t>
  </si>
  <si>
    <t>Miejsko Gminna Biblioteka Publiczna w Żabnie – Filia w Otfinowie</t>
  </si>
  <si>
    <t>Otfinów 259</t>
  </si>
  <si>
    <t>Piwniczna</t>
  </si>
  <si>
    <t>Biblioteka Publiczna Miasta i Gminy Piwnicznej-Zdroju</t>
  </si>
  <si>
    <t>Rynek 11</t>
  </si>
  <si>
    <t>33-350 Piwniczna-Zdrój</t>
  </si>
  <si>
    <t>Pleśna</t>
  </si>
  <si>
    <t>Gminna Biblioteka Publiczna w Pleśnej</t>
  </si>
  <si>
    <t>Pleśna 228 a</t>
  </si>
  <si>
    <t>33-171 Pleśna</t>
  </si>
  <si>
    <t>Polanka Hallera</t>
  </si>
  <si>
    <t>Miejska Biblioteka Publiczna w Skawinie</t>
  </si>
  <si>
    <t>Polanka Wielka</t>
  </si>
  <si>
    <t>Biblioteka Publiczna Gminnego Centrum Kultury w Polance Wielkiej</t>
  </si>
  <si>
    <t>Poręba Spytkowska</t>
  </si>
  <si>
    <t>Powiatowa i Miejska Biblioteka Publiczna w Brzesku – Filia w Porębie Spytkowskiej</t>
  </si>
  <si>
    <t>Poręba Żegoty</t>
  </si>
  <si>
    <t>Miejsko-Gminna Biblioteka Publiczna w Alwerni – Filia w Porębie Żegoty</t>
  </si>
  <si>
    <t>Proszowice</t>
  </si>
  <si>
    <t>Miejska Biblioteka Publiczna w Proszowicach</t>
  </si>
  <si>
    <t>Przeginia</t>
  </si>
  <si>
    <t>Powiatowa i Gminna Biblioteka Publiczna w Jerzmanowicach – Filia w Przegini</t>
  </si>
  <si>
    <t>Przybysławice</t>
  </si>
  <si>
    <t>Biblioteka Publiczna w Zielonkach – Filia w Przybysławicach</t>
  </si>
  <si>
    <t>Racławice</t>
  </si>
  <si>
    <t>Powiatowa i Gminna Biblioteka Publiczna w Jerzmanowicach – Filia w Racławicach</t>
  </si>
  <si>
    <t>Racławice 54 A</t>
  </si>
  <si>
    <t>Rajbrot</t>
  </si>
  <si>
    <t>Gminna Biblioteka Publiczna w Lipnicy Murowanej – Filia w Rajbrocie</t>
  </si>
  <si>
    <t>Radgoszcz</t>
  </si>
  <si>
    <t>Gminna Biblioteka Publiczna w Radgoszczy</t>
  </si>
  <si>
    <t>Radziemice</t>
  </si>
  <si>
    <t>Radziemice 89</t>
  </si>
  <si>
    <t>32-107 Radziemice</t>
  </si>
  <si>
    <t>Roczyny</t>
  </si>
  <si>
    <t>Miejska Biblioteka Publiczna w Andrychowie – Filia w Roczynach</t>
  </si>
  <si>
    <t>Rzepiennik Strzyżewski</t>
  </si>
  <si>
    <t>Rzepiennik Suchy 200</t>
  </si>
  <si>
    <t>33-163 Rzepiennik Strzyżewski</t>
  </si>
  <si>
    <t>Rzeszotary</t>
  </si>
  <si>
    <t>Biblioteka Miejska w Świątnikach Górnych – Filia Rzeszotary</t>
  </si>
  <si>
    <t>Rzezawa</t>
  </si>
  <si>
    <t>Gminna Biblioteka Publiczna w Rzezawie</t>
  </si>
  <si>
    <t>ul. Kościelna 6</t>
  </si>
  <si>
    <t>32-765 Rzezawa</t>
  </si>
  <si>
    <t>Siedliska</t>
  </si>
  <si>
    <t>Biblioteka Publiczna w Tuchowie – Filia w Siedliskach</t>
  </si>
  <si>
    <t>Skawina</t>
  </si>
  <si>
    <t>ul. Mickiewicza 26</t>
  </si>
  <si>
    <t>32-050 Skawina</t>
  </si>
  <si>
    <t>Słomniki</t>
  </si>
  <si>
    <t>Miejska Biblioteka Publiczna w Słomnikach</t>
  </si>
  <si>
    <t>Stary Sącz</t>
  </si>
  <si>
    <t>Powiatowa i Miejsko–Gminna Biblioteka w Starym Sączu</t>
  </si>
  <si>
    <t>Stary Wiśnicz</t>
  </si>
  <si>
    <t>Miejska Biblioteka Publiczna Nowy Wiśnicz – Filia w Starym Wiśniczu</t>
  </si>
  <si>
    <t>Sułoszowa</t>
  </si>
  <si>
    <t>Centrum Kultury Gminna Biblioteka Publiczna w Sułoszowej</t>
  </si>
  <si>
    <t>Szczepanowice</t>
  </si>
  <si>
    <t>Gminna Biblioteka Publiczna w Pleśnej – Filia w Szczepanowicach</t>
  </si>
  <si>
    <t>Szczepanowice 107 a</t>
  </si>
  <si>
    <t>33-114 Rzuchowa</t>
  </si>
  <si>
    <t>Szczucin</t>
  </si>
  <si>
    <t>Biblioteka Publiczna w Szczucinie</t>
  </si>
  <si>
    <t>ul. Piłsudskiego 7</t>
  </si>
  <si>
    <t>33-230 Szczucin</t>
  </si>
  <si>
    <t>Szyce</t>
  </si>
  <si>
    <t>Gminna Biblioteka Publiczna w Wielkiej Wsi</t>
  </si>
  <si>
    <t>Targanice</t>
  </si>
  <si>
    <t>Tarnów</t>
  </si>
  <si>
    <t>Miejska Biblioteka Publiczna w Tarnowie</t>
  </si>
  <si>
    <t>ul. Staszica 6</t>
  </si>
  <si>
    <t>33-100 Tarnów</t>
  </si>
  <si>
    <t>Tuchów</t>
  </si>
  <si>
    <t>Biblioteka Publiczna w Tuchowie</t>
  </si>
  <si>
    <t>Tylicz</t>
  </si>
  <si>
    <t>Biblioteka Publiczna Gminy Krynicy-Zdroju – Filia w Tyliczu</t>
  </si>
  <si>
    <t>33-383 Tylicz</t>
  </si>
  <si>
    <t>Wadowice</t>
  </si>
  <si>
    <t>Wadowicka Biblioteka Publiczna</t>
  </si>
  <si>
    <t>Węgrzce</t>
  </si>
  <si>
    <t>Biblioteka Publiczna w Zielonkach – Filia w Węgrzcach</t>
  </si>
  <si>
    <t>Wieliczka</t>
  </si>
  <si>
    <t>Powiatowa i Miejska Biblioteka Publiczna w Wieliczce</t>
  </si>
  <si>
    <t>Wielkie Drogi</t>
  </si>
  <si>
    <t>Miejska Biblioteka Publiczna w Skawinie – Filia w Wielkich Drogach</t>
  </si>
  <si>
    <t>Wierzchosławice</t>
  </si>
  <si>
    <t>Gminna Biblioteka Publiczna w Wierzchosławicach</t>
  </si>
  <si>
    <t>Wiśniowa</t>
  </si>
  <si>
    <t>Wola Radziszowska</t>
  </si>
  <si>
    <t>Miejska Biblioteka Publiczna w Skawinie – Filia w Woli Radziszowskiej</t>
  </si>
  <si>
    <t>Zalasowa</t>
  </si>
  <si>
    <t>Gmina Biblioteka Publiczna w Ryglicach – Filia w Zalasowej</t>
  </si>
  <si>
    <t>Zawoja Gminna Biblioteka Publiczna w Zawoi</t>
  </si>
  <si>
    <t>Zawoja Centrum</t>
  </si>
  <si>
    <t>34-222 Zawoja</t>
  </si>
  <si>
    <t>Zielonki</t>
  </si>
  <si>
    <t>Biblioteka Publiczna w Zielonkach</t>
  </si>
  <si>
    <t>Żabno</t>
  </si>
  <si>
    <t>Żegocina</t>
  </si>
  <si>
    <t xml:space="preserve">32-566 Alwernia </t>
  </si>
  <si>
    <t>DKK dla dzieci przedszkolnych</t>
  </si>
  <si>
    <t>DKK dla dorosłych DKK dla dzieci</t>
  </si>
  <si>
    <t xml:space="preserve">ul. Krakowska 74 </t>
  </si>
  <si>
    <t xml:space="preserve">34-120 Andrychów </t>
  </si>
  <si>
    <t xml:space="preserve">DKK dla dzieci przedszkolnych </t>
  </si>
  <si>
    <t>Biblioteka - Szkoła Podstawowa nr 3 w Andrychowie</t>
  </si>
  <si>
    <t xml:space="preserve">ul. Daszyńskiego 14 </t>
  </si>
  <si>
    <t xml:space="preserve">Powiatowa i Miejska Biblioteka Publiczna w Bochni </t>
  </si>
  <si>
    <t xml:space="preserve">ul. Mickiewicza 5 </t>
  </si>
  <si>
    <t xml:space="preserve">32-700 Bochnia </t>
  </si>
  <si>
    <t>DKK dla dorosłych słuchaczy audiobooków</t>
  </si>
  <si>
    <t>Powiatowa i Miejska Biblioteka Publiczna w Brzesku Pl</t>
  </si>
  <si>
    <t xml:space="preserve">ac Targowy 10 </t>
  </si>
  <si>
    <t xml:space="preserve">32-800 Brzesko </t>
  </si>
  <si>
    <t xml:space="preserve">Powiatowa i Miejska Biblioteka Publiczna w Brzesku </t>
  </si>
  <si>
    <t xml:space="preserve">Plac Targowy 10 </t>
  </si>
  <si>
    <t xml:space="preserve">ul. Narutowicza 1 </t>
  </si>
  <si>
    <t xml:space="preserve">32-620 Brzeszcze </t>
  </si>
  <si>
    <t xml:space="preserve">34-114 Brzeźnica </t>
  </si>
  <si>
    <t xml:space="preserve">ul. Broniewskiego 10 c </t>
  </si>
  <si>
    <t xml:space="preserve">32-500 Chrzanów </t>
  </si>
  <si>
    <t>Biblioteka - Zespól Szkół nr 3 w Chrzanowie</t>
  </si>
  <si>
    <t xml:space="preserve">Al. Henryka 43-45 </t>
  </si>
  <si>
    <t xml:space="preserve">Rynek-Ratusz 1 </t>
  </si>
  <si>
    <t xml:space="preserve">33-190 Ciężkowice </t>
  </si>
  <si>
    <t xml:space="preserve">Czernichów 2 </t>
  </si>
  <si>
    <t xml:space="preserve">32-070 Czernichów </t>
  </si>
  <si>
    <t xml:space="preserve">ul. Polna 13 </t>
  </si>
  <si>
    <t xml:space="preserve">33-200 Dąbrowa Tarnowska </t>
  </si>
  <si>
    <t>32-075</t>
  </si>
  <si>
    <t xml:space="preserve">Gołcza 69 </t>
  </si>
  <si>
    <t xml:space="preserve">ul. Jagiełły 1 </t>
  </si>
  <si>
    <t xml:space="preserve">38-300 Gorlice </t>
  </si>
  <si>
    <t xml:space="preserve">ul. Główna 1 </t>
  </si>
  <si>
    <t xml:space="preserve">32-615 Grojec </t>
  </si>
  <si>
    <t xml:space="preserve">ul. Centralna 97 </t>
  </si>
  <si>
    <t xml:space="preserve">32-048 Jerzmanowice </t>
  </si>
  <si>
    <t xml:space="preserve">Klucze </t>
  </si>
  <si>
    <t>Gminna Biblioteka Publiczna w Kluczach</t>
  </si>
  <si>
    <t xml:space="preserve">ul. Reymonta 2 </t>
  </si>
  <si>
    <t xml:space="preserve">32-650 Kęty </t>
  </si>
  <si>
    <t xml:space="preserve">ul. Rudnicka 2A </t>
  </si>
  <si>
    <t xml:space="preserve">32-310 Klucze </t>
  </si>
  <si>
    <t xml:space="preserve">ul. Rajska 1 </t>
  </si>
  <si>
    <t xml:space="preserve">31-124 Kraków </t>
  </si>
  <si>
    <t xml:space="preserve">Os. Górali 5 </t>
  </si>
  <si>
    <t xml:space="preserve">31-959 Kraków </t>
  </si>
  <si>
    <t xml:space="preserve">ul. Krakowska 29 </t>
  </si>
  <si>
    <t xml:space="preserve">31-062 Kraków </t>
  </si>
  <si>
    <t xml:space="preserve">ul. Dobrego Pasterza 100 </t>
  </si>
  <si>
    <t xml:space="preserve">31-416 Kraków </t>
  </si>
  <si>
    <t xml:space="preserve">os. Bohaterów Września 26 </t>
  </si>
  <si>
    <t xml:space="preserve">31-621 Kraków </t>
  </si>
  <si>
    <t>Biblioteka - Zespół Szkolno-Przedszkolny nr 5 w Krakowie</t>
  </si>
  <si>
    <t xml:space="preserve">Os. Oświecenia 30 </t>
  </si>
  <si>
    <t xml:space="preserve">31-636 Kraków </t>
  </si>
  <si>
    <t>Biblioteka - Szkoła Podstawowa nr 93 w Krakowie</t>
  </si>
  <si>
    <t xml:space="preserve">ul. Szlachtowskiego 31 </t>
  </si>
  <si>
    <t xml:space="preserve">30-132 Kraków </t>
  </si>
  <si>
    <t xml:space="preserve">Królówka 25 </t>
  </si>
  <si>
    <t xml:space="preserve">32-722 Królówka </t>
  </si>
  <si>
    <t xml:space="preserve">al. Nowotarskiego 1 </t>
  </si>
  <si>
    <t xml:space="preserve">33-380 Krynica-Zdrój </t>
  </si>
  <si>
    <t xml:space="preserve">Plac Kulczyckiego 1 </t>
  </si>
  <si>
    <t xml:space="preserve">32-065 Krzeszowice </t>
  </si>
  <si>
    <t xml:space="preserve">Miejska Biblioteka Publiczna w Libiążu </t>
  </si>
  <si>
    <t xml:space="preserve">ul. Górnicza 11 </t>
  </si>
  <si>
    <t xml:space="preserve">32-590 Libiąż </t>
  </si>
  <si>
    <t xml:space="preserve">Libusza 688, I p. (Dom Strażaka) </t>
  </si>
  <si>
    <t xml:space="preserve">ul. Matki Boskiej Bolesnej 13 </t>
  </si>
  <si>
    <t xml:space="preserve">38-306 Libusza </t>
  </si>
  <si>
    <t xml:space="preserve">34-600 Limanowa  </t>
  </si>
  <si>
    <t xml:space="preserve">Lipnica Murowana 83 </t>
  </si>
  <si>
    <t xml:space="preserve">32-724 Lipnica Murowana </t>
  </si>
  <si>
    <t xml:space="preserve">ul. Witosa 187 A </t>
  </si>
  <si>
    <t xml:space="preserve">33-131 Łęg Tarnowski </t>
  </si>
  <si>
    <t xml:space="preserve">Powiatowa i Miejska Biblioteka Publiczna w Miechowie </t>
  </si>
  <si>
    <t xml:space="preserve">Pl. Kościuszki 7 </t>
  </si>
  <si>
    <t xml:space="preserve">32-200 Miechów </t>
  </si>
  <si>
    <t xml:space="preserve">Nieciecza 102 </t>
  </si>
  <si>
    <t xml:space="preserve">33-240 Żabno </t>
  </si>
  <si>
    <t xml:space="preserve">ul. 1000-lecia 26 </t>
  </si>
  <si>
    <t xml:space="preserve">33-132 Niedomice </t>
  </si>
  <si>
    <t xml:space="preserve">Niedźwiedź 3 </t>
  </si>
  <si>
    <t xml:space="preserve">32-090 Słomniki </t>
  </si>
  <si>
    <t xml:space="preserve">ul. Franciszkańska 11 </t>
  </si>
  <si>
    <t xml:space="preserve">33-300 Nowy Sącz </t>
  </si>
  <si>
    <t xml:space="preserve">ul. Lwowska 21 </t>
  </si>
  <si>
    <t xml:space="preserve">Polanka Hallera 128 </t>
  </si>
  <si>
    <t xml:space="preserve">32-052 Radziszów </t>
  </si>
  <si>
    <t xml:space="preserve">ul. Długa 61 </t>
  </si>
  <si>
    <t xml:space="preserve">32-607 Polanka Wielka </t>
  </si>
  <si>
    <t xml:space="preserve">ul. Kasztelana Spytka </t>
  </si>
  <si>
    <t>93 32-800 Brzesko</t>
  </si>
  <si>
    <t xml:space="preserve">Rynek 1 </t>
  </si>
  <si>
    <t xml:space="preserve">32-720 Nowy Wiśnicz </t>
  </si>
  <si>
    <t xml:space="preserve">ul. Leśna 11 A </t>
  </si>
  <si>
    <t xml:space="preserve">33-210 Olesno </t>
  </si>
  <si>
    <t xml:space="preserve">ul. Króla Kazimierza Wielkiego 43 </t>
  </si>
  <si>
    <t xml:space="preserve">32-300 Olkusz </t>
  </si>
  <si>
    <t xml:space="preserve">ul. Francesco Nullo 29 b </t>
  </si>
  <si>
    <t xml:space="preserve">32-112 Klimontów </t>
  </si>
  <si>
    <t xml:space="preserve">ul. Nojego 2b </t>
  </si>
  <si>
    <t xml:space="preserve">32-600 Oświęcim </t>
  </si>
  <si>
    <t xml:space="preserve">33-250 Otfinów </t>
  </si>
  <si>
    <t>Poręba Żegoty ul. Szembeków 24</t>
  </si>
  <si>
    <t xml:space="preserve"> 32-566 Alwernia</t>
  </si>
  <si>
    <t xml:space="preserve">Rynek 16 </t>
  </si>
  <si>
    <t xml:space="preserve">32-100 Proszowice </t>
  </si>
  <si>
    <t xml:space="preserve">Przeginia 116 a </t>
  </si>
  <si>
    <t xml:space="preserve">32-049 Przeginia </t>
  </si>
  <si>
    <t xml:space="preserve">ul. Krakowska 37 </t>
  </si>
  <si>
    <t xml:space="preserve">32-088 Przybysławice </t>
  </si>
  <si>
    <t xml:space="preserve">Rajbrot 541 </t>
  </si>
  <si>
    <t xml:space="preserve">32-724 Rajbrot </t>
  </si>
  <si>
    <t xml:space="preserve">ul. W. Witosa 24 </t>
  </si>
  <si>
    <t xml:space="preserve">33-207 Radgoszcz </t>
  </si>
  <si>
    <t xml:space="preserve">pl. Św. Kazimierza 10 </t>
  </si>
  <si>
    <t>Biblioteka - Zespół Szkolno-Przedszkolny w Radgoszczy</t>
  </si>
  <si>
    <t>Gminny Ośrodek Kultury w Radziemicach Biblioteka</t>
  </si>
  <si>
    <t>Gminne Centrum Kultury Czytelnictwa i Promocji w Rzepienniku Strzyżewskim Biblioteka</t>
  </si>
  <si>
    <t xml:space="preserve">32-040 Rzeszotary </t>
  </si>
  <si>
    <t>Górny Rynek 4</t>
  </si>
  <si>
    <t>DKK dla przedszkolaków</t>
  </si>
  <si>
    <t xml:space="preserve">Siedliska 229 </t>
  </si>
  <si>
    <t xml:space="preserve">33-172 Siedliska </t>
  </si>
  <si>
    <t xml:space="preserve">ul. Mickiewicza 26 </t>
  </si>
  <si>
    <t xml:space="preserve">32-050 Skawina </t>
  </si>
  <si>
    <t xml:space="preserve">ul. T. Kościuszki 26 </t>
  </si>
  <si>
    <t xml:space="preserve">ul. Mickiewicza 33 </t>
  </si>
  <si>
    <t xml:space="preserve">33-340 Stary Sącz </t>
  </si>
  <si>
    <t xml:space="preserve">32-720 Nowy Wiśnicz  </t>
  </si>
  <si>
    <t xml:space="preserve"> </t>
  </si>
  <si>
    <t>ul. Szkolna 5 3</t>
  </si>
  <si>
    <t xml:space="preserve">2-045 Sułoszowa </t>
  </si>
  <si>
    <t xml:space="preserve">Plac Wspólnoty 1 </t>
  </si>
  <si>
    <t xml:space="preserve">32-085 Szyce </t>
  </si>
  <si>
    <t xml:space="preserve">ul. Beskidzka 46 </t>
  </si>
  <si>
    <t>Zespół Szkół Samorządowych w Targanicach - Biblioteka</t>
  </si>
  <si>
    <t xml:space="preserve">ul. Krakowska 4 </t>
  </si>
  <si>
    <t xml:space="preserve">33-100 Tarnów </t>
  </si>
  <si>
    <t xml:space="preserve">ul. Chopina 10 </t>
  </si>
  <si>
    <t xml:space="preserve">33-170 Tuchów </t>
  </si>
  <si>
    <t xml:space="preserve">ul. Legionów 1 </t>
  </si>
  <si>
    <t xml:space="preserve">34-100 Wadowice </t>
  </si>
  <si>
    <t xml:space="preserve">ul. A3/1 Węgrzce </t>
  </si>
  <si>
    <t xml:space="preserve">32-086 Węgrzce </t>
  </si>
  <si>
    <t xml:space="preserve">pl. M. Skulimowskiego 3 </t>
  </si>
  <si>
    <t xml:space="preserve">32-020 Wieliczka </t>
  </si>
  <si>
    <t>Wielkie Drogi 192</t>
  </si>
  <si>
    <t xml:space="preserve">32-051 Wielkie Drogi </t>
  </si>
  <si>
    <t xml:space="preserve">Wierzchosławice 678 </t>
  </si>
  <si>
    <t xml:space="preserve">33-122 Wierzchosławice </t>
  </si>
  <si>
    <t xml:space="preserve">Gminna Biblioteka Publiczna w Wiśniowej </t>
  </si>
  <si>
    <t xml:space="preserve">Wiśniowa 301 </t>
  </si>
  <si>
    <t xml:space="preserve">32-412 Wiśniowa </t>
  </si>
  <si>
    <t>Wola Radziszowska 330</t>
  </si>
  <si>
    <t xml:space="preserve">32-053 Wola Radziszowska  </t>
  </si>
  <si>
    <t xml:space="preserve">ul. Kościelna 3 </t>
  </si>
  <si>
    <t xml:space="preserve">33-159 Zalasowa </t>
  </si>
  <si>
    <t xml:space="preserve">ul. Galicyjska 17 a </t>
  </si>
  <si>
    <t xml:space="preserve">Miejsko-Gminna Biblioteka Publiczna w Żabnie </t>
  </si>
  <si>
    <t xml:space="preserve">ul. W. Jagiełły 16 </t>
  </si>
  <si>
    <t>Miejsko-Gminna Biblioteka Publiczna w Żabnie u</t>
  </si>
  <si>
    <t xml:space="preserve">l. W. Jagiełły 16 </t>
  </si>
  <si>
    <t xml:space="preserve">Żegocina 50 </t>
  </si>
  <si>
    <t>Zespół Szkół w Żegocinie - Biblioteka</t>
  </si>
  <si>
    <t xml:space="preserve">32-731 Żegocina </t>
  </si>
  <si>
    <t>32-082 Zielonki</t>
  </si>
  <si>
    <t xml:space="preserve"> 12 283 21 21 </t>
  </si>
  <si>
    <t xml:space="preserve">Magdalena Świątek-Ryba </t>
  </si>
  <si>
    <t xml:space="preserve"> 12 283 21 21</t>
  </si>
  <si>
    <t xml:space="preserve">Małgorzata Jeleń </t>
  </si>
  <si>
    <t xml:space="preserve"> 33 875 25 52 </t>
  </si>
  <si>
    <t xml:space="preserve">Renata Ćwiertnia e-mail: biblioteka[at]andrychow.eu DKK dla </t>
  </si>
  <si>
    <t>Alicja Krupnik</t>
  </si>
  <si>
    <t xml:space="preserve"> 33 875 22 95 </t>
  </si>
  <si>
    <t xml:space="preserve">Katarzyna Pikoń </t>
  </si>
  <si>
    <t xml:space="preserve"> 18 474 15 60</t>
  </si>
  <si>
    <t>Agnieszka Banaś</t>
  </si>
  <si>
    <t xml:space="preserve"> 519 756 780</t>
  </si>
  <si>
    <t>Milena Węgrzyn</t>
  </si>
  <si>
    <t xml:space="preserve"> 14 612 22 32 </t>
  </si>
  <si>
    <t xml:space="preserve">Alicja Imiołek </t>
  </si>
  <si>
    <t xml:space="preserve"> 14 612 45 34 </t>
  </si>
  <si>
    <t>Beata Truś-Gierczyk</t>
  </si>
  <si>
    <t xml:space="preserve"> 12 285 19 19</t>
  </si>
  <si>
    <t>Zofia Walczak</t>
  </si>
  <si>
    <t xml:space="preserve"> 12 444 54 24</t>
  </si>
  <si>
    <t>Anna Stępień-Grześ</t>
  </si>
  <si>
    <t xml:space="preserve"> 14 68 51 200</t>
  </si>
  <si>
    <t>Teresa Rachfał</t>
  </si>
  <si>
    <t xml:space="preserve"> 14 663 12 02 w</t>
  </si>
  <si>
    <t xml:space="preserve">Karolina Smoleń-Możgin </t>
  </si>
  <si>
    <t>Agata Nalepka, Agnieszka Ostapska</t>
  </si>
  <si>
    <t xml:space="preserve"> 32 211 14 90 </t>
  </si>
  <si>
    <t xml:space="preserve">Beata Majka-Fajferek, Magdalena Skowronek </t>
  </si>
  <si>
    <t xml:space="preserve"> 33 87 92 472 </t>
  </si>
  <si>
    <t xml:space="preserve">Wiesława Jarguz </t>
  </si>
  <si>
    <t xml:space="preserve"> 32 642 12 62</t>
  </si>
  <si>
    <t>Barbara Maj</t>
  </si>
  <si>
    <t xml:space="preserve"> 18 268 10 95</t>
  </si>
  <si>
    <t>Grażyna Sutor</t>
  </si>
  <si>
    <t xml:space="preserve"> 33 846 13 36</t>
  </si>
  <si>
    <t>Urszula Bialik</t>
  </si>
  <si>
    <t>Boguslawa Cygan</t>
  </si>
  <si>
    <t xml:space="preserve"> 32 763 27 55 </t>
  </si>
  <si>
    <t xml:space="preserve">Olga Nowicka, Ewelina Deluga </t>
  </si>
  <si>
    <t xml:space="preserve"> 32 623 37 57 </t>
  </si>
  <si>
    <t xml:space="preserve">Bożena Walczak </t>
  </si>
  <si>
    <t xml:space="preserve"> 14 651 01 78 </t>
  </si>
  <si>
    <t xml:space="preserve">Katarzyna Zych </t>
  </si>
  <si>
    <t xml:space="preserve"> 12 270 20 76 </t>
  </si>
  <si>
    <t xml:space="preserve">Ewa Pajor </t>
  </si>
  <si>
    <t xml:space="preserve"> 14 655 93 03 w</t>
  </si>
  <si>
    <t xml:space="preserve">Krystyna Minorczyk </t>
  </si>
  <si>
    <t>Anna Miodowska-Zawiślak</t>
  </si>
  <si>
    <t xml:space="preserve"> 12 388 60 44</t>
  </si>
  <si>
    <t>Agnieszka Skotnicka</t>
  </si>
  <si>
    <t xml:space="preserve"> 18 352 19 62 </t>
  </si>
  <si>
    <t xml:space="preserve">Katarzyna Marchwica </t>
  </si>
  <si>
    <t xml:space="preserve">Beata Mituś </t>
  </si>
  <si>
    <t xml:space="preserve"> 33 84 28 132 </t>
  </si>
  <si>
    <t xml:space="preserve">Katarzyna Chowaniec-Bakalarska </t>
  </si>
  <si>
    <t xml:space="preserve"> 18 440 15 60</t>
  </si>
  <si>
    <t>Halina Zyzak</t>
  </si>
  <si>
    <t xml:space="preserve"> 14 65 12 408</t>
  </si>
  <si>
    <t>Małgorzata Waza-Zięcina</t>
  </si>
  <si>
    <t xml:space="preserve"> 12 389 50 43 </t>
  </si>
  <si>
    <t xml:space="preserve">Dorota Furman </t>
  </si>
  <si>
    <t xml:space="preserve">Joanna Smogulecka-Mokrzycka </t>
  </si>
  <si>
    <t xml:space="preserve"> 33 87 66 429</t>
  </si>
  <si>
    <t>Jolanta Paluchowska-Pępek</t>
  </si>
  <si>
    <t>Anna Bogunia</t>
  </si>
  <si>
    <t xml:space="preserve"> 33 845 31 02 </t>
  </si>
  <si>
    <t xml:space="preserve">Anna Jaworska, Urszula Dybał </t>
  </si>
  <si>
    <t xml:space="preserve"> 32 642 92 83 </t>
  </si>
  <si>
    <t xml:space="preserve">Elżbieta Szatan </t>
  </si>
  <si>
    <t xml:space="preserve"> 12 37 52 204 </t>
  </si>
  <si>
    <t>Elżbieta Skrzydlewska</t>
  </si>
  <si>
    <t xml:space="preserve"> 12 642 25 94 w</t>
  </si>
  <si>
    <t>Ewa Wawerska</t>
  </si>
  <si>
    <t xml:space="preserve">Beata Oczoś </t>
  </si>
  <si>
    <t xml:space="preserve"> 12 641 68 75</t>
  </si>
  <si>
    <t>Katarzyna Kosowska, Małgorzata Mokrzycka</t>
  </si>
  <si>
    <t xml:space="preserve"> 12 422 92 43 </t>
  </si>
  <si>
    <t xml:space="preserve">Renata Kruczek </t>
  </si>
  <si>
    <t xml:space="preserve"> 12 417 22 73 </t>
  </si>
  <si>
    <t xml:space="preserve">Katarzyna Pajda </t>
  </si>
  <si>
    <t xml:space="preserve"> 12 645 95 27 </t>
  </si>
  <si>
    <t xml:space="preserve">Aneta Habas </t>
  </si>
  <si>
    <t xml:space="preserve">Magdalena Jakóbczak </t>
  </si>
  <si>
    <t xml:space="preserve"> 12 648 50 69 /</t>
  </si>
  <si>
    <t>Halina Szurdyga, Anna Szczepaniak</t>
  </si>
  <si>
    <t xml:space="preserve"> 12 649 77 73 </t>
  </si>
  <si>
    <t xml:space="preserve">Katarzyna Sęczkowska </t>
  </si>
  <si>
    <t xml:space="preserve"> 603 688 599 </t>
  </si>
  <si>
    <t xml:space="preserve">Agnieszka Przykowska </t>
  </si>
  <si>
    <t xml:space="preserve"> 888 353 044</t>
  </si>
  <si>
    <t xml:space="preserve">Kinga Sysło </t>
  </si>
  <si>
    <t xml:space="preserve"> 18 471 22 03 </t>
  </si>
  <si>
    <t xml:space="preserve">Joanna Moskała </t>
  </si>
  <si>
    <t xml:space="preserve"> 18 471 17 40</t>
  </si>
  <si>
    <t>Agnieszka Liana</t>
  </si>
  <si>
    <t xml:space="preserve"> 12 282 15 13 </t>
  </si>
  <si>
    <t xml:space="preserve">Barbara Grabowska </t>
  </si>
  <si>
    <t xml:space="preserve"> 12 444 54 25</t>
  </si>
  <si>
    <t>Natalia Radwańska</t>
  </si>
  <si>
    <t xml:space="preserve"> 32 624 20 05 </t>
  </si>
  <si>
    <t xml:space="preserve">Bernarda Mędela </t>
  </si>
  <si>
    <t xml:space="preserve"> 13 44 75 007 </t>
  </si>
  <si>
    <t xml:space="preserve">Ewelina Skrzypiec </t>
  </si>
  <si>
    <t xml:space="preserve"> 18 337 21 40</t>
  </si>
  <si>
    <t>Danuta Kądziołka, Monika Bieda</t>
  </si>
  <si>
    <t xml:space="preserve"> 14 685 26 17 </t>
  </si>
  <si>
    <t xml:space="preserve">Beata Sowa </t>
  </si>
  <si>
    <t xml:space="preserve"> 14 657 50 33 </t>
  </si>
  <si>
    <t xml:space="preserve">Jolanta Słupek </t>
  </si>
  <si>
    <t xml:space="preserve"> 14 643 74 89</t>
  </si>
  <si>
    <t>Edyta Jurczyk</t>
  </si>
  <si>
    <t xml:space="preserve"> 12 388 50 37</t>
  </si>
  <si>
    <t>Judyta Janeczek-Łysoń / Iwona Dyląg</t>
  </si>
  <si>
    <t xml:space="preserve"> 41 230 98 16 </t>
  </si>
  <si>
    <t xml:space="preserve">Danuta Grygiel, Dorota Hołda, Aneta Roch </t>
  </si>
  <si>
    <t xml:space="preserve"> 12 272 03 49</t>
  </si>
  <si>
    <t>Anna Ruśkowska</t>
  </si>
  <si>
    <t xml:space="preserve"> 14 645 53 54 </t>
  </si>
  <si>
    <t xml:space="preserve">Małgorzata Pytka-Prażuch </t>
  </si>
  <si>
    <t xml:space="preserve"> 14 625 94 49 </t>
  </si>
  <si>
    <t>Renata Gniadkowska</t>
  </si>
  <si>
    <t xml:space="preserve"> 12 388 13 54 </t>
  </si>
  <si>
    <t xml:space="preserve">Halina Warchołek </t>
  </si>
  <si>
    <t xml:space="preserve"> 18 443 83 02 </t>
  </si>
  <si>
    <t xml:space="preserve">Dorota Wcześny </t>
  </si>
  <si>
    <t xml:space="preserve"> 18 441 37 10 </t>
  </si>
  <si>
    <t xml:space="preserve">Lucyna Janczy </t>
  </si>
  <si>
    <t xml:space="preserve"> 18 264 63 72</t>
  </si>
  <si>
    <t>Jagoda Zaucha</t>
  </si>
  <si>
    <t xml:space="preserve"> 792 912 576</t>
  </si>
  <si>
    <t>Aleksandra Borowy</t>
  </si>
  <si>
    <t xml:space="preserve"> 33 484 10 29</t>
  </si>
  <si>
    <t>Justyna Motyka</t>
  </si>
  <si>
    <t xml:space="preserve"> 14 612 86 31 </t>
  </si>
  <si>
    <t xml:space="preserve">Barbara Wiśniewska </t>
  </si>
  <si>
    <t xml:space="preserve"> 14 687 00 87 </t>
  </si>
  <si>
    <t xml:space="preserve">Katarzyna Foder, Natalia Węgiel </t>
  </si>
  <si>
    <t xml:space="preserve"> 32 643 13 84 </t>
  </si>
  <si>
    <t xml:space="preserve">Daria Wąs </t>
  </si>
  <si>
    <t xml:space="preserve"> 32 643 06 19 </t>
  </si>
  <si>
    <t xml:space="preserve">Beata Dziąbek </t>
  </si>
  <si>
    <t xml:space="preserve"> 12 386 58 04 </t>
  </si>
  <si>
    <t xml:space="preserve">Halina Rokita </t>
  </si>
  <si>
    <t xml:space="preserve"> 33 847 98 02 </t>
  </si>
  <si>
    <t xml:space="preserve">Halina Kozieł </t>
  </si>
  <si>
    <t xml:space="preserve"> 14 645-23-01 </t>
  </si>
  <si>
    <t xml:space="preserve">Małgorzata Smolik </t>
  </si>
  <si>
    <t xml:space="preserve"> 18 446 41 84</t>
  </si>
  <si>
    <t>Monika Jasiurkowska-Zaryczny</t>
  </si>
  <si>
    <t>Monika Wolańska</t>
  </si>
  <si>
    <t xml:space="preserve"> 14 67 98 304</t>
  </si>
  <si>
    <t>Beata Stankowska-Pyrda</t>
  </si>
  <si>
    <t xml:space="preserve"> 694 532 346 </t>
  </si>
  <si>
    <t xml:space="preserve">Andrzej Cała </t>
  </si>
  <si>
    <t xml:space="preserve"> 33 848 84 59 </t>
  </si>
  <si>
    <t xml:space="preserve">Michał Lisowski </t>
  </si>
  <si>
    <t xml:space="preserve"> 14 68 66 436 </t>
  </si>
  <si>
    <t xml:space="preserve">Bożena Wach </t>
  </si>
  <si>
    <t xml:space="preserve"> 12 283 30 51 </t>
  </si>
  <si>
    <t xml:space="preserve">Monika Pycińska </t>
  </si>
  <si>
    <t xml:space="preserve"> 12 386 02 00 </t>
  </si>
  <si>
    <t xml:space="preserve">Maria Gawron </t>
  </si>
  <si>
    <t xml:space="preserve"> 12 389 80 35 </t>
  </si>
  <si>
    <t xml:space="preserve">Gabriela Cioch </t>
  </si>
  <si>
    <t xml:space="preserve"> 12 380 33 30 </t>
  </si>
  <si>
    <t xml:space="preserve">Katarzyna Gazda </t>
  </si>
  <si>
    <t xml:space="preserve"> 12 282 94 32 </t>
  </si>
  <si>
    <t xml:space="preserve">Judyta Motak </t>
  </si>
  <si>
    <t xml:space="preserve"> 14 685 30 40 </t>
  </si>
  <si>
    <t xml:space="preserve">Katarzyna Matras </t>
  </si>
  <si>
    <t xml:space="preserve"> 14 641 41 02 </t>
  </si>
  <si>
    <t xml:space="preserve">Alicja Błocho </t>
  </si>
  <si>
    <t xml:space="preserve"> 691 055 887 </t>
  </si>
  <si>
    <t xml:space="preserve">Joanna Gwóźdź </t>
  </si>
  <si>
    <t xml:space="preserve"> 12 385 60 34</t>
  </si>
  <si>
    <t>Jolanta Kupczyk</t>
  </si>
  <si>
    <t>Joanna Pasternak</t>
  </si>
  <si>
    <t xml:space="preserve"> 14 653 00 71</t>
  </si>
  <si>
    <t>Bożena Gomułka</t>
  </si>
  <si>
    <t>Jadwiga Brzozowska</t>
  </si>
  <si>
    <t xml:space="preserve"> 12 270 50 66 </t>
  </si>
  <si>
    <t xml:space="preserve">Grażyna Kurowska </t>
  </si>
  <si>
    <t xml:space="preserve"> 14 685 98 80</t>
  </si>
  <si>
    <t>Marta Wiater</t>
  </si>
  <si>
    <t xml:space="preserve"> 14 652 72 30 </t>
  </si>
  <si>
    <t>Anna Czopek</t>
  </si>
  <si>
    <t>Anna Ogiela</t>
  </si>
  <si>
    <t xml:space="preserve"> 12 276 25 71 </t>
  </si>
  <si>
    <t>Anna Pląder</t>
  </si>
  <si>
    <t xml:space="preserve"> 12 276 25 71</t>
  </si>
  <si>
    <t>Anna Cała</t>
  </si>
  <si>
    <t xml:space="preserve"> 12 388 10 15 </t>
  </si>
  <si>
    <t xml:space="preserve">Magdalena Szwajca </t>
  </si>
  <si>
    <t xml:space="preserve"> 18 446 00 95 </t>
  </si>
  <si>
    <t xml:space="preserve">Monika Jackowicz-Nowak </t>
  </si>
  <si>
    <t>Jolanta Chruślicka</t>
  </si>
  <si>
    <t xml:space="preserve"> 603 197 057 </t>
  </si>
  <si>
    <t>Kinga Sysło</t>
  </si>
  <si>
    <t xml:space="preserve"> 12 389 60 46 </t>
  </si>
  <si>
    <t xml:space="preserve">Dorota Wawro, Zofia Rech </t>
  </si>
  <si>
    <t xml:space="preserve"> 14 674 65 19</t>
  </si>
  <si>
    <t>Marta Biga</t>
  </si>
  <si>
    <t xml:space="preserve"> 14 643 64 15</t>
  </si>
  <si>
    <t>Dorota Margosiak</t>
  </si>
  <si>
    <t xml:space="preserve"> 12 419 16 87 </t>
  </si>
  <si>
    <t xml:space="preserve">Joanna Patej </t>
  </si>
  <si>
    <t xml:space="preserve">Aleksandra Socha </t>
  </si>
  <si>
    <t xml:space="preserve"> 33 875 12 24 </t>
  </si>
  <si>
    <t xml:space="preserve">Dorota Kowalczyk </t>
  </si>
  <si>
    <t xml:space="preserve"> 14 688 80 21 w</t>
  </si>
  <si>
    <t xml:space="preserve">Mariola Góra, Tadeusz Trytek </t>
  </si>
  <si>
    <t xml:space="preserve"> 14 688 80 23</t>
  </si>
  <si>
    <t>Ewelina Giza</t>
  </si>
  <si>
    <t xml:space="preserve"> 14 652 50 08 </t>
  </si>
  <si>
    <t xml:space="preserve">Bożena Wrona </t>
  </si>
  <si>
    <t xml:space="preserve"> 18 473 13 62</t>
  </si>
  <si>
    <t>Barbara Konieczna</t>
  </si>
  <si>
    <t xml:space="preserve"> 33 823 46 18 </t>
  </si>
  <si>
    <t xml:space="preserve">Małgorzata Stochel </t>
  </si>
  <si>
    <t xml:space="preserve"> 12 285 83 84 </t>
  </si>
  <si>
    <t xml:space="preserve">Natalia Janisz </t>
  </si>
  <si>
    <t xml:space="preserve"> 12 278 30 75 </t>
  </si>
  <si>
    <t xml:space="preserve">Anna Kaczor </t>
  </si>
  <si>
    <t xml:space="preserve">Paulina Wandas </t>
  </si>
  <si>
    <t xml:space="preserve"> 505 392 318 </t>
  </si>
  <si>
    <t xml:space="preserve">Agata Ciepły </t>
  </si>
  <si>
    <t xml:space="preserve"> 14 67 97 215 </t>
  </si>
  <si>
    <t xml:space="preserve">Iwona Gleisner </t>
  </si>
  <si>
    <t xml:space="preserve"> 12 271 44 93 </t>
  </si>
  <si>
    <t xml:space="preserve">Antonina Obuchowicz </t>
  </si>
  <si>
    <t xml:space="preserve"> 503 932 450 </t>
  </si>
  <si>
    <t xml:space="preserve">Katarzyna Bychawska </t>
  </si>
  <si>
    <t xml:space="preserve"> 14 654 32 24 </t>
  </si>
  <si>
    <t xml:space="preserve">Monika Zegar, Małgorzata Burza </t>
  </si>
  <si>
    <t xml:space="preserve"> 33 877 50 41</t>
  </si>
  <si>
    <t>Lucyna Malczyk</t>
  </si>
  <si>
    <t xml:space="preserve"> 12 418 41 24 </t>
  </si>
  <si>
    <t xml:space="preserve">Joanna Rosa </t>
  </si>
  <si>
    <t xml:space="preserve"> 14 645 69 31 </t>
  </si>
  <si>
    <t xml:space="preserve">Anna Rąpała </t>
  </si>
  <si>
    <t>Ewa Czarna</t>
  </si>
  <si>
    <t xml:space="preserve"> 14 61 32 120 </t>
  </si>
  <si>
    <t xml:space="preserve">Marcelina Rębilas </t>
  </si>
  <si>
    <t>64-400 Międzychód</t>
  </si>
  <si>
    <t>ul. Kościuszki 32</t>
  </si>
  <si>
    <t>64-800 Chodzież</t>
  </si>
  <si>
    <t>Biblioteka I Liceum Ogólnokształcącego</t>
  </si>
  <si>
    <t>ul. Żeromskiego 11</t>
  </si>
  <si>
    <t>Czempiń</t>
  </si>
  <si>
    <t>Biblioteka Publiczna w Czempiniu</t>
  </si>
  <si>
    <t>ul. Parkowa 2</t>
  </si>
  <si>
    <t>Golina</t>
  </si>
  <si>
    <t>Biblioteka Publiczna w Golinie</t>
  </si>
  <si>
    <t>ul. Plac Kazimierza Wielkiego 12</t>
  </si>
  <si>
    <t>Grodzisk Wlkp.</t>
  </si>
  <si>
    <t>Grodziska Biblioteka Publiczna</t>
  </si>
  <si>
    <t>ul. Kolejowa 12</t>
  </si>
  <si>
    <t>Jarocin</t>
  </si>
  <si>
    <t>Biblioteka Publiczna Miasta i Gminy Jarocin – Filia nr 1 "Pod Ratuszem"</t>
  </si>
  <si>
    <t>Rynek – Ratusz</t>
  </si>
  <si>
    <t>Biblioteka Publiczna Miasta i Gminy Jarocin – Filia nr 2, Zespół Szkół nr 3 w Jarocinie</t>
  </si>
  <si>
    <t>ul. Wrocławska 168</t>
  </si>
  <si>
    <t>Biblioteka Zespołu Szkół Ogólnokształcących</t>
  </si>
  <si>
    <t>ul. T. Kościuszki 31</t>
  </si>
  <si>
    <t>Jędrzejewo</t>
  </si>
  <si>
    <t>Biblioteka Publiczna Gminy Czarnków – Filia Jędrzejewo</t>
  </si>
  <si>
    <t>Jędrzejewo 20</t>
  </si>
  <si>
    <t>Kalisz</t>
  </si>
  <si>
    <t>Miejska Biblioteka Publiczna w Kaliszu – Filia nr 4</t>
  </si>
  <si>
    <t>Aleja Wolności 27</t>
  </si>
  <si>
    <t>62-800 Kalisz</t>
  </si>
  <si>
    <t>Kępno</t>
  </si>
  <si>
    <t>Powiatowa Biblioteka Publiczna</t>
  </si>
  <si>
    <t>ul. Sienkiewicza 26 a</t>
  </si>
  <si>
    <t>Koło</t>
  </si>
  <si>
    <t>ul. Kolejowa 19</t>
  </si>
  <si>
    <t>Kościan</t>
  </si>
  <si>
    <t>Koziegłowy</t>
  </si>
  <si>
    <t>Gminna Biblioteka Publiczna w Czerwonaku – Filia Koziegłowy</t>
  </si>
  <si>
    <t>ul. Piłsudskiego 3a</t>
  </si>
  <si>
    <t>Krotoszyn</t>
  </si>
  <si>
    <t>Krotoszyńska Biblioteka Publiczna</t>
  </si>
  <si>
    <t>ul. Benicka 9</t>
  </si>
  <si>
    <t>Leszno</t>
  </si>
  <si>
    <t>ul. Bolesława Chrobrego 3</t>
  </si>
  <si>
    <t>64-100 Leszno</t>
  </si>
  <si>
    <t>Lisiec Wielki Biblioteka Publiczna Gminy Stare Miasto – Filia w Liścu Wielkim</t>
  </si>
  <si>
    <t>ul. Rubinowa 4</t>
  </si>
  <si>
    <t>Miedzichowo</t>
  </si>
  <si>
    <t>ul. Poznańska 16</t>
  </si>
  <si>
    <t>Międzychód</t>
  </si>
  <si>
    <t>Biblioteka Publiczna i Centrum Animacji Kultury w Międzychodzie</t>
  </si>
  <si>
    <t>plac Kościuszki 9</t>
  </si>
  <si>
    <t>Miłosław</t>
  </si>
  <si>
    <t>Miłosławskie Centrum Kultury – Biblioteka Publiczna</t>
  </si>
  <si>
    <t>ul. Dworcowa 4</t>
  </si>
  <si>
    <t>DKK dla dorosłych Nowe Miasto</t>
  </si>
  <si>
    <t>Biblioteka Publiczna Gminy Nowe Miasto nad Wartą</t>
  </si>
  <si>
    <t>ul. Poznańska 8a</t>
  </si>
  <si>
    <t>63-040 Nowe Miasto nad Wartą</t>
  </si>
  <si>
    <t>Nowy Tomyśl</t>
  </si>
  <si>
    <t>ul. Witosa 8</t>
  </si>
  <si>
    <t>Obra</t>
  </si>
  <si>
    <t>Biblioteka Publiczna Miasta i Gminy Wolsztyn – Filia Publiczno-Szkolna w Obrze</t>
  </si>
  <si>
    <t>ul. Szkolna 19</t>
  </si>
  <si>
    <t>Oborniki</t>
  </si>
  <si>
    <t>Biblioteka Publiczna Miasta i Gminy w Obornikach</t>
  </si>
  <si>
    <t>ul. Kopernika 10</t>
  </si>
  <si>
    <t>Ostrów Wielkopolski</t>
  </si>
  <si>
    <t>Biblioteka Publiczna w Ostrowie Wielkopolski – Filia nr 2</t>
  </si>
  <si>
    <t>ul. Wrocławska 22</t>
  </si>
  <si>
    <t>63-400 Ostrów Wlkp.</t>
  </si>
  <si>
    <t>Piła</t>
  </si>
  <si>
    <t>ul. Staromiejska 14</t>
  </si>
  <si>
    <t>64-920 Piła</t>
  </si>
  <si>
    <t>DKK „Po słowach” dla dorosłych</t>
  </si>
  <si>
    <t>Pleszew</t>
  </si>
  <si>
    <t>ul. Kolejowa 1</t>
  </si>
  <si>
    <t>63-300 Pleszew</t>
  </si>
  <si>
    <t>Plewiska</t>
  </si>
  <si>
    <t>Biblioteka Publiczna Gminy Komorniki - Filia w Plewiskach</t>
  </si>
  <si>
    <t>ul. Grunwaldzka 612 A</t>
  </si>
  <si>
    <t>62-064 Plewiska</t>
  </si>
  <si>
    <t>Powidz</t>
  </si>
  <si>
    <t>Biblioteka Publiczna Gminy Powidz</t>
  </si>
  <si>
    <t>ul. Park Powstańców Wlkp. 25</t>
  </si>
  <si>
    <t>62-430 Powidz</t>
  </si>
  <si>
    <t>Poznań</t>
  </si>
  <si>
    <t>61-288 Poznań</t>
  </si>
  <si>
    <t>Biblioteka Uniwersytetu A. Mickiewicza w Poznaniu</t>
  </si>
  <si>
    <t>ul. Ratajczaka 38/40</t>
  </si>
  <si>
    <t>61-816 Poznań</t>
  </si>
  <si>
    <t>Rakoniewice</t>
  </si>
  <si>
    <t>ul. Krystyny 30</t>
  </si>
  <si>
    <t>62-067 Rakoniewice</t>
  </si>
  <si>
    <t>Rawicz</t>
  </si>
  <si>
    <t>Rawicka Biblioteka Publiczna</t>
  </si>
  <si>
    <t>ul. Targowa 1</t>
  </si>
  <si>
    <t>63-900 Rawicz</t>
  </si>
  <si>
    <t>Rozdrażew</t>
  </si>
  <si>
    <t>Gminna Biblioteka Publiczna w Rozdrażewie</t>
  </si>
  <si>
    <t>ul. Rynek 3</t>
  </si>
  <si>
    <t>63-708 Rozdrażew</t>
  </si>
  <si>
    <t>Stare Miasto</t>
  </si>
  <si>
    <t>Biblioteka Publiczna Gminy Stare Miasto</t>
  </si>
  <si>
    <t>ul. Główna 16</t>
  </si>
  <si>
    <t>62-571 Stare Miasto</t>
  </si>
  <si>
    <t>Stęszew</t>
  </si>
  <si>
    <t>Biblioteka Publiczna w Stęszewie</t>
  </si>
  <si>
    <t>ul. Rynek 22</t>
  </si>
  <si>
    <t>62-060 Stęszew</t>
  </si>
  <si>
    <t>Szamotuły</t>
  </si>
  <si>
    <t>Rynek 10</t>
  </si>
  <si>
    <t>Śrem</t>
  </si>
  <si>
    <t>ul. Grunwaldzka 10</t>
  </si>
  <si>
    <t>Trzcianka</t>
  </si>
  <si>
    <t>ul. Sikorskiego 22</t>
  </si>
  <si>
    <t>ul. Sikorskiego 23</t>
  </si>
  <si>
    <t>Turek</t>
  </si>
  <si>
    <t>ul. Dworcowa 5</t>
  </si>
  <si>
    <t>Wągrowiec</t>
  </si>
  <si>
    <t>ul. Kościuszki 49</t>
  </si>
  <si>
    <t>62-100 Wągrowiec</t>
  </si>
  <si>
    <t>Wolsztyn</t>
  </si>
  <si>
    <t>Biblioteka Publiczna Miasta i Gminy Wolsztyn</t>
  </si>
  <si>
    <t>ul. Gajewskich 48</t>
  </si>
  <si>
    <t>64-200 Wolsztyn</t>
  </si>
  <si>
    <t>Zagórów</t>
  </si>
  <si>
    <t>ul. Wojska Polskiego 13</t>
  </si>
  <si>
    <t>62-410 Zagórów</t>
  </si>
  <si>
    <t>DKK dla dorosłych Zaniemyśl</t>
  </si>
  <si>
    <t>Biblioteka Publiczna Gminy Zaniemyśl</t>
  </si>
  <si>
    <t>63-020 Zaniemyśl</t>
  </si>
  <si>
    <t>Zduny</t>
  </si>
  <si>
    <t>Biblioteka Publiczna Gminy i Miasta Zduny</t>
  </si>
  <si>
    <t>ul. Sienkiewicza 9</t>
  </si>
  <si>
    <t>63-760 Zduny</t>
  </si>
  <si>
    <t>Złotów</t>
  </si>
  <si>
    <t>Miejska Biblioteka Publiczna w Złotowie</t>
  </si>
  <si>
    <t>ul. Grochowskiego 17</t>
  </si>
  <si>
    <t>77-400 Złotów</t>
  </si>
  <si>
    <t>Szanowni Państwo</t>
  </si>
  <si>
    <t>Bielsko</t>
  </si>
  <si>
    <t>Chodzież</t>
  </si>
  <si>
    <t>liczba bibliotek</t>
  </si>
  <si>
    <t>kontakt@bpicakmiedzychod.pl</t>
  </si>
  <si>
    <t>95 717 40 92</t>
  </si>
  <si>
    <t>Bielsko Biblioteka Publiczna i Centrum Animacji Kultury w Międzychodzie – Filia w Bielsku Bielsko,</t>
  </si>
  <si>
    <t>67 38 18 108</t>
  </si>
  <si>
    <t>509 917 131</t>
  </si>
  <si>
    <t>612 826 403</t>
  </si>
  <si>
    <t>64-020 Czempiń</t>
  </si>
  <si>
    <t>63 241 89 88</t>
  </si>
  <si>
    <t>62-590 Golina</t>
  </si>
  <si>
    <t>61 227 12 89</t>
  </si>
  <si>
    <t>62-065 Grodzisk Wielkopolski</t>
  </si>
  <si>
    <t>62 747 30 63</t>
  </si>
  <si>
    <t>63-200 Jarocin</t>
  </si>
  <si>
    <t>795 103 445</t>
  </si>
  <si>
    <t>62 740 23 73</t>
  </si>
  <si>
    <t>67 349 01 40</t>
  </si>
  <si>
    <t>64-700 Jędrzejewo</t>
  </si>
  <si>
    <t>Michał Hynas</t>
  </si>
  <si>
    <t>62 757 38 70</t>
  </si>
  <si>
    <t>62 782 11 01</t>
  </si>
  <si>
    <t>63-600 Kępno</t>
  </si>
  <si>
    <t>63 21 78 002</t>
  </si>
  <si>
    <t>62-600 Koło</t>
  </si>
  <si>
    <t>Marta Koperska</t>
  </si>
  <si>
    <t>ul. Armii Poznań 22b</t>
  </si>
  <si>
    <t>Justyna Belter, Anna Kaczmarczyk</t>
  </si>
  <si>
    <t>Marlena Michna</t>
  </si>
  <si>
    <t>Milena Nowaczyk</t>
  </si>
  <si>
    <t>Karolina Kasprzak</t>
  </si>
  <si>
    <t>Hanna Pauba</t>
  </si>
  <si>
    <t>Ewa Misiak</t>
  </si>
  <si>
    <t>Kamila Rogozińska</t>
  </si>
  <si>
    <t>Grażyna Cychnerska</t>
  </si>
  <si>
    <t>Stefania Rybeńska-Maćkowiak</t>
  </si>
  <si>
    <t>Natalia Wolko-Stempniewicz</t>
  </si>
  <si>
    <t>Anna Pietruszka</t>
  </si>
  <si>
    <t>Hanna Kaczmarek</t>
  </si>
  <si>
    <t>ul. Wrocławska 28/b</t>
  </si>
  <si>
    <t>Alina Oszmian</t>
  </si>
  <si>
    <t>61 812 86 49</t>
  </si>
  <si>
    <t>62-028 Koziegłowy</t>
  </si>
  <si>
    <t>Katarzyna Kiełbasińska</t>
  </si>
  <si>
    <t>Marlena Nabzdyk</t>
  </si>
  <si>
    <t>62 725 27 83</t>
  </si>
  <si>
    <t>63-700 Krotoszyn</t>
  </si>
  <si>
    <t>Aldona Szymanowska</t>
  </si>
  <si>
    <t>65 520 53 55</t>
  </si>
  <si>
    <t>Wioletta Grochowiak</t>
  </si>
  <si>
    <t>Agnieszka Adaszak</t>
  </si>
  <si>
    <t>63 241 50 67</t>
  </si>
  <si>
    <t>62-571 Lisiec Wielki</t>
  </si>
  <si>
    <t>Anna Plewa</t>
  </si>
  <si>
    <t>61 441 02 00</t>
  </si>
  <si>
    <t>64-361 Miedzichowo</t>
  </si>
  <si>
    <t>Małgorzata Urbaniak</t>
  </si>
  <si>
    <t>95 748 24 37</t>
  </si>
  <si>
    <t>Jagoda Muzolf</t>
  </si>
  <si>
    <t>61 438 21 65</t>
  </si>
  <si>
    <t>62-320 Miłosław</t>
  </si>
  <si>
    <t>Monika Buchwald</t>
  </si>
  <si>
    <t>: 61 287 46 18</t>
  </si>
  <si>
    <t>Aleksandra Suwiczak, Alina Weyssenhoff</t>
  </si>
  <si>
    <t>61 442 12 71</t>
  </si>
  <si>
    <t>64-300 Nowy Tomyśl</t>
  </si>
  <si>
    <t>Justyna Skrzypczak</t>
  </si>
  <si>
    <t>698 245 660</t>
  </si>
  <si>
    <t>64-211 Obra</t>
  </si>
  <si>
    <t>Monika Hancyk</t>
  </si>
  <si>
    <t>61 29 60 265</t>
  </si>
  <si>
    <t>64-600 Oborniki</t>
  </si>
  <si>
    <t>Regina Walotka</t>
  </si>
  <si>
    <t>62 73 621 73</t>
  </si>
  <si>
    <t>Aleksandra Flens-Nowacka, Mirosława Jezior</t>
  </si>
  <si>
    <t>67 351 79 03</t>
  </si>
  <si>
    <t>Hanna Nowaczyk</t>
  </si>
  <si>
    <t>62 742 83 58</t>
  </si>
  <si>
    <t>Izabela Steca</t>
  </si>
  <si>
    <t>618 678 419</t>
  </si>
  <si>
    <t>Anna Wiatr</t>
  </si>
  <si>
    <t>632 776 352</t>
  </si>
  <si>
    <t>Agnieszka Rybarczyk</t>
  </si>
  <si>
    <t>61 829 38 02</t>
  </si>
  <si>
    <t>Maria Dudzińska</t>
  </si>
  <si>
    <t>601 363 203</t>
  </si>
  <si>
    <t>Adrianna Kaczmarek</t>
  </si>
  <si>
    <t>519 518 577, 65 545 20 04</t>
  </si>
  <si>
    <t>Agnieszka Kolenda</t>
  </si>
  <si>
    <t>62 722 13 22</t>
  </si>
  <si>
    <t>Dorota Wiatrowska</t>
  </si>
  <si>
    <t>63 241 60 67</t>
  </si>
  <si>
    <t>Joanna Łubińska</t>
  </si>
  <si>
    <t>61 81 34 092</t>
  </si>
  <si>
    <t>Romana Cyprowska</t>
  </si>
  <si>
    <t>61 29 21 361</t>
  </si>
  <si>
    <t>64-500 Szamotuły</t>
  </si>
  <si>
    <t>Lidia Tomczak</t>
  </si>
  <si>
    <t>61 283 54 67</t>
  </si>
  <si>
    <t>63-100 Śrem</t>
  </si>
  <si>
    <t>Joanna Nienowska</t>
  </si>
  <si>
    <t>67 21 63 359</t>
  </si>
  <si>
    <t>64-980 Trzcianka</t>
  </si>
  <si>
    <t>Joanna Szydłowska, Anna Styczeń</t>
  </si>
  <si>
    <t>Agnieszka Skorupska</t>
  </si>
  <si>
    <t>63 278 51 34</t>
  </si>
  <si>
    <t>62-700 Turek</t>
  </si>
  <si>
    <t>Dorota Frydrych</t>
  </si>
  <si>
    <t>67 268 56 25</t>
  </si>
  <si>
    <t>Maria Malewicz</t>
  </si>
  <si>
    <t>68 347 26 30</t>
  </si>
  <si>
    <t>Katarzyna Nowacka</t>
  </si>
  <si>
    <t>63 274 81 09</t>
  </si>
  <si>
    <t>Alina Sobkowiak</t>
  </si>
  <si>
    <t>61 28 57 023</t>
  </si>
  <si>
    <t>Joanna Krupińska</t>
  </si>
  <si>
    <t>62 721 51 72</t>
  </si>
  <si>
    <t>Bogusława Skrzypa</t>
  </si>
  <si>
    <t>67 263 20 00</t>
  </si>
  <si>
    <t>65 512 00 40</t>
  </si>
  <si>
    <t>64-000 Kościan</t>
  </si>
  <si>
    <t>Jolanta Molenda-Bieniecka</t>
  </si>
  <si>
    <t>61 877 60 58</t>
  </si>
  <si>
    <t>Zespół Szkół Ogólnokształcących nr 4os. Czecha 59</t>
  </si>
  <si>
    <t>Gorzów Wielkopolski</t>
  </si>
  <si>
    <t>BIAŁKÓW</t>
  </si>
  <si>
    <t>BLEDZEW</t>
  </si>
  <si>
    <t>BOGDANIEC</t>
  </si>
  <si>
    <t>Gminna Biblioteka Publiczna w Bogdańcu</t>
  </si>
  <si>
    <t>66-450 Bogdaniec</t>
  </si>
  <si>
    <t>CYBINKA</t>
  </si>
  <si>
    <t>DĄBROSZYN</t>
  </si>
  <si>
    <t>DESZCZNO</t>
  </si>
  <si>
    <t>DREZDENKO</t>
  </si>
  <si>
    <t>GORZÓW WLKP.</t>
  </si>
  <si>
    <t>Wojewódzka i Miejska Biblioteka Publiczna – Oddział Dziecięcy</t>
  </si>
  <si>
    <t>ul. Sikorskiego 107</t>
  </si>
  <si>
    <t>66-400 Gorzów Wlkp.</t>
  </si>
  <si>
    <t>Wojewódzka i Miejska Biblioteka Publiczna – Filia nr 2</t>
  </si>
  <si>
    <t>Wojewódzka i Miejska Biblioteka Publiczna – Filia nr 11</t>
  </si>
  <si>
    <t>ul. Chełmońskiego 8</t>
  </si>
  <si>
    <t>Wojewódzka i Miejska Biblioteka Publiczna – Ośrodek Integracji i Aktywności</t>
  </si>
  <si>
    <t>Wojewódzka i Miejska Biblioteka Publiczna – Ośrodek Integracji i Aktywności (Środowiskowy Dom Samopomocy)</t>
  </si>
  <si>
    <t>Wojewódzka i Miejska Biblioteka Publiczna – Informatorium</t>
  </si>
  <si>
    <t>Biblioteka w Zakładzie Karnym w Gorzowie Wlkp.</t>
  </si>
  <si>
    <t>ul. Podmiejska 17</t>
  </si>
  <si>
    <t>GÓRKI NOTECKIE</t>
  </si>
  <si>
    <t>JENIN</t>
  </si>
  <si>
    <t>Gminna Biblioteka Publiczna w Bogdańcu, Szkoła Podstawowa w Jeninie</t>
  </si>
  <si>
    <t>ul. Lipowa 1</t>
  </si>
  <si>
    <t>KAMIEŃ MAŁY</t>
  </si>
  <si>
    <t>KŁODAWA</t>
  </si>
  <si>
    <t>KOŁCZYN</t>
  </si>
  <si>
    <t>KOSTRZYN NAD ODRĄ</t>
  </si>
  <si>
    <t>KRZESZYCE</t>
  </si>
  <si>
    <t>LEMIERZYCE</t>
  </si>
  <si>
    <t>LUBCZYNO</t>
  </si>
  <si>
    <t>Gminna Biblioteka Publiczna w Bogdańcu, Szkoła Podstawowa w Lubczynie</t>
  </si>
  <si>
    <t>Lubczyno 55</t>
  </si>
  <si>
    <t>LUBNIEWICE</t>
  </si>
  <si>
    <t>MIĘDZYRZECZ</t>
  </si>
  <si>
    <t>MUSZKOWO</t>
  </si>
  <si>
    <t>OŚNO LUBUSKIE</t>
  </si>
  <si>
    <t>PRZYTOCZNA</t>
  </si>
  <si>
    <t>RĄPICE</t>
  </si>
  <si>
    <t>Biblioteka Publiczna Miasta i Gminy w Cybince – Filia w Rąpicach</t>
  </si>
  <si>
    <t>ul. Młyńska 2</t>
  </si>
  <si>
    <t>69-108 Rąpice</t>
  </si>
  <si>
    <t>SŁOŃSK</t>
  </si>
  <si>
    <t>SŁUBICE</t>
  </si>
  <si>
    <t>STARE KUROWO</t>
  </si>
  <si>
    <t>Gminna Biblioteka Publiczna w Starym Kurowie</t>
  </si>
  <si>
    <t>ul. Pocztowa 8</t>
  </si>
  <si>
    <t>66-540 Stare Kurowo</t>
  </si>
  <si>
    <t>STRZELCE KRAJEŃSKIE</t>
  </si>
  <si>
    <t>SULĘCIN</t>
  </si>
  <si>
    <t>TORZYM</t>
  </si>
  <si>
    <t>TRZCIEL</t>
  </si>
  <si>
    <t>TUCZNO</t>
  </si>
  <si>
    <t>Biblioteka Publiczna Miasta i Gminy w Strzelcach Krajeńskich – Filia w Tucznie</t>
  </si>
  <si>
    <t>WITNICA</t>
  </si>
  <si>
    <t>Miejska Biblioteka Publiczna w Witnicy</t>
  </si>
  <si>
    <t>ul. Gorzowska 22</t>
  </si>
  <si>
    <t>66-460 Witnica</t>
  </si>
  <si>
    <t>ZWIERZYN</t>
  </si>
  <si>
    <t>ul. Strzelecka 3A</t>
  </si>
  <si>
    <t>66-542 Zwierzyn</t>
  </si>
  <si>
    <t>Dorota Wieczorek</t>
  </si>
  <si>
    <t>506 063 698</t>
  </si>
  <si>
    <t>69-108 Cybinka</t>
  </si>
  <si>
    <t>Agnieszka Łunkiewicz</t>
  </si>
  <si>
    <t>95 743 66 38</t>
  </si>
  <si>
    <t>66-350 Bledzew</t>
  </si>
  <si>
    <t>ul. Rynek 9</t>
  </si>
  <si>
    <t>Gminna Biblioteka Publiczna w Bledzewie</t>
  </si>
  <si>
    <t>Ewelina Domańska</t>
  </si>
  <si>
    <t>957 510 507</t>
  </si>
  <si>
    <t>Joanna Wieczór</t>
  </si>
  <si>
    <t>68 391 11 75</t>
  </si>
  <si>
    <t>ul. Słubicka 28</t>
  </si>
  <si>
    <t>Biblioteka Publiczna Miasta i Gminy w Cybince</t>
  </si>
  <si>
    <t>Hanna Sawa</t>
  </si>
  <si>
    <t>Anna Czelin-Bujnicka</t>
  </si>
  <si>
    <t>Katarzyna Misian-Szczypiór</t>
  </si>
  <si>
    <t>95 751 36 21</t>
  </si>
  <si>
    <t>66-446 Deszczno</t>
  </si>
  <si>
    <t>ul. Kręta 8</t>
  </si>
  <si>
    <t>Gminna Biblioteka Publiczna w Deszcznie Maszewo,</t>
  </si>
  <si>
    <t>Małgorzata Nowak</t>
  </si>
  <si>
    <t>95 762 11 84</t>
  </si>
  <si>
    <t>66-530 Drezdenko</t>
  </si>
  <si>
    <t>ul. Kościuszki 11</t>
  </si>
  <si>
    <t>Biblioteka Publiczna Miasta i Gminy w Drezdenku</t>
  </si>
  <si>
    <t>Jadwiga Paradowska</t>
  </si>
  <si>
    <t>95 727 70 77</t>
  </si>
  <si>
    <t>Magdalena Chorkawa</t>
  </si>
  <si>
    <t>95 721 58 49</t>
  </si>
  <si>
    <t>Jolanta Karaśkiewicz</t>
  </si>
  <si>
    <t>95 727 80 46</t>
  </si>
  <si>
    <t>ul. Kombatantów 2</t>
  </si>
  <si>
    <t>Wojewódzka i Miejska Biblioteka Publiczna – Filia nr 1</t>
  </si>
  <si>
    <t>Agata Polaczyńska</t>
  </si>
  <si>
    <t>Alicja Fabisz</t>
  </si>
  <si>
    <t>95 727 80 47</t>
  </si>
  <si>
    <t>ul. Mieszka I 50</t>
  </si>
  <si>
    <t>Alina Ptaszkiewicz</t>
  </si>
  <si>
    <t>95 727 80 48</t>
  </si>
  <si>
    <t>ul. Bohaterów Westerplatte 10</t>
  </si>
  <si>
    <t>Wojewódzka i Miejska Biblioteka Publiczna – Filia nr 3</t>
  </si>
  <si>
    <t>Iwona Dziedzic</t>
  </si>
  <si>
    <t>95 727 80 61</t>
  </si>
  <si>
    <t>ul. Słoneczna 63</t>
  </si>
  <si>
    <t>Wojewódzka i Miejska Biblioteka Publiczna – Filia nr 4</t>
  </si>
  <si>
    <t>Teresa Kosiba</t>
  </si>
  <si>
    <t>95 727 80 51</t>
  </si>
  <si>
    <t>ul. Śląska 78</t>
  </si>
  <si>
    <t>Wojewódzka i Miejska Biblioteka Publiczna – Filia nr 6</t>
  </si>
  <si>
    <t>Lucyna Opolska</t>
  </si>
  <si>
    <t>95 727 70 68</t>
  </si>
  <si>
    <t>ul. Matejki 38</t>
  </si>
  <si>
    <t>Wojewódzka i Miejska Biblioteka Publiczna – Filia nr 8</t>
  </si>
  <si>
    <t>Mirosława Kurzawa</t>
  </si>
  <si>
    <t>95 727 80 52</t>
  </si>
  <si>
    <t>ul. Pomorska 34</t>
  </si>
  <si>
    <t>Wojewódzka i Miejska Biblioteka Publiczna – Filia nr 10</t>
  </si>
  <si>
    <t>Magdalena Kopowska</t>
  </si>
  <si>
    <t>9572780 53</t>
  </si>
  <si>
    <t>Cecylia Marcyniuk</t>
  </si>
  <si>
    <t>95 727 80 54</t>
  </si>
  <si>
    <t>ul. Wróblewskiego 35</t>
  </si>
  <si>
    <t>Wojewódzka i Miejska Biblioteka Publiczna – Filia nr 14</t>
  </si>
  <si>
    <t>Klaudia Mazur</t>
  </si>
  <si>
    <t>Beata Toruńska</t>
  </si>
  <si>
    <t>95 727 80 45</t>
  </si>
  <si>
    <t>Piotr Melinis</t>
  </si>
  <si>
    <t>95 733 45 00</t>
  </si>
  <si>
    <t>Anita Grabska</t>
  </si>
  <si>
    <t>95 761 73 87</t>
  </si>
  <si>
    <t>66-542 Górki Noteckie</t>
  </si>
  <si>
    <t>ul. Cmentarna 2</t>
  </si>
  <si>
    <t>Gminna Biblioteka Publiczna w Zwierzynie – Filia w Górkach Noteckich</t>
  </si>
  <si>
    <t>Maria Kowalewska</t>
  </si>
  <si>
    <t>95 720 80 87</t>
  </si>
  <si>
    <t>66-460 Kamień Mały</t>
  </si>
  <si>
    <t>Magdalena Turska</t>
  </si>
  <si>
    <t>95 731 12 26</t>
  </si>
  <si>
    <t>66-415 Kłodawa</t>
  </si>
  <si>
    <t>Gminna Biblioteka Publiczna w Kłodawie</t>
  </si>
  <si>
    <t>Dorota Gawrońska</t>
  </si>
  <si>
    <t>95 757 31 18</t>
  </si>
  <si>
    <t>66-435 Krzeszyce</t>
  </si>
  <si>
    <t>ul. Sulęcińska 38</t>
  </si>
  <si>
    <t>Gminna Biblioteka Publiczna w Krzeszycach – Filia w Kołczynie</t>
  </si>
  <si>
    <t>Katarzyna Malwina Smycz</t>
  </si>
  <si>
    <t>95 752 40 10</t>
  </si>
  <si>
    <t>66-470 Kostrzyn nad Odrą</t>
  </si>
  <si>
    <t>Miejska Biblioteka Publiczna w Kostrzynie nad Odrą</t>
  </si>
  <si>
    <t>Jolanta Solińska</t>
  </si>
  <si>
    <t>691 724 477</t>
  </si>
  <si>
    <t>ul. Gorzowska 7/8</t>
  </si>
  <si>
    <t>Gminna Biblioteka Publiczna w Krzeszycach</t>
  </si>
  <si>
    <t>95 757 32 18</t>
  </si>
  <si>
    <t>Maria Rozdoba</t>
  </si>
  <si>
    <t>729 413 386</t>
  </si>
  <si>
    <t>66-436 Lemierzyce</t>
  </si>
  <si>
    <t>ul. Kościuszki 21</t>
  </si>
  <si>
    <t>Gminna Biblioteka Publiczna w Słońsku – filia w Lemierzycach</t>
  </si>
  <si>
    <t>95 75 10 507</t>
  </si>
  <si>
    <t>Marta Rusakiewicz</t>
  </si>
  <si>
    <t>95 755 77 44</t>
  </si>
  <si>
    <t>69-210 Lubniewice</t>
  </si>
  <si>
    <t>Biblioteka Publiczna Miasta i Gminy w Lubniewicach Os. Słowiańskie 4</t>
  </si>
  <si>
    <t>Renata Dyla</t>
  </si>
  <si>
    <t>95 741 28 58</t>
  </si>
  <si>
    <t>66-300 Międzyrzecz</t>
  </si>
  <si>
    <t>Międzyrzecki Ośrodek Kultury – Biblioteka Publiczna Miasta i Gminy Os. Centrum 8</t>
  </si>
  <si>
    <t>Małgorzata Bukowska</t>
  </si>
  <si>
    <t>Ewelina Morawiec</t>
  </si>
  <si>
    <t>Zofia Wydmuch-Badowska</t>
  </si>
  <si>
    <t>69-220 Ośno Lubuskie</t>
  </si>
  <si>
    <t>ul. Rybacka 3B</t>
  </si>
  <si>
    <t>Miejski Dom Kultury – Biblioteka Publiczna Miasta i Gminy w Ośnie Lubuskim</t>
  </si>
  <si>
    <t>Małgorzata Krzyżelewska</t>
  </si>
  <si>
    <t>95 749 43 35</t>
  </si>
  <si>
    <t>66-340 Przytoczna</t>
  </si>
  <si>
    <t>ul. Główna 42</t>
  </si>
  <si>
    <t>Anna Chybalska-Nowak</t>
  </si>
  <si>
    <t>95 757 12 08</t>
  </si>
  <si>
    <t>66-436 Słońsk</t>
  </si>
  <si>
    <t>ul. Sikorskiego 49</t>
  </si>
  <si>
    <t>Gminna Biblioteka Publiczna w Słońsku</t>
  </si>
  <si>
    <t>Renata Bac-Bohuszko</t>
  </si>
  <si>
    <t>69-100 Słubice</t>
  </si>
  <si>
    <t>ul. Jedności Robotniczej 18</t>
  </si>
  <si>
    <t>Biblioteka Publiczna Miasta i Gminy w Słubicach</t>
  </si>
  <si>
    <t>Małgorzata Dobosz</t>
  </si>
  <si>
    <t>Alicja Konkowska</t>
  </si>
  <si>
    <t>95 763 28 87</t>
  </si>
  <si>
    <t>66-500 Strzelce Krajeńskie</t>
  </si>
  <si>
    <t>ul. Strzelecka 7</t>
  </si>
  <si>
    <t>Natalia Januszkiewicz</t>
  </si>
  <si>
    <t>95 755 31 72</t>
  </si>
  <si>
    <t>69-200 Sulęcin</t>
  </si>
  <si>
    <t>ul. Moniuszki 1</t>
  </si>
  <si>
    <t>Biblioteka Publiczna w Sulęcinie</t>
  </si>
  <si>
    <t>Łucja Zasada</t>
  </si>
  <si>
    <t>68 341 30 55</t>
  </si>
  <si>
    <t>66-235 Torzym</t>
  </si>
  <si>
    <t>ul. Warszawska 1</t>
  </si>
  <si>
    <t>Biblioteka Publiczna Miasta i Gminy w Torzymiu</t>
  </si>
  <si>
    <t>Wioletta Fabian</t>
  </si>
  <si>
    <t>95 743 13 25</t>
  </si>
  <si>
    <t>66-320 Trzciel</t>
  </si>
  <si>
    <t>ul. Poznańska 8</t>
  </si>
  <si>
    <t>Biblioteka Publiczna Miasta i Gminy w Trzcielu</t>
  </si>
  <si>
    <t>Anna Fabiańska</t>
  </si>
  <si>
    <t>66-510 Tuczno</t>
  </si>
  <si>
    <t>Władysław Wróblewski</t>
  </si>
  <si>
    <t>95 720-80-87</t>
  </si>
  <si>
    <t>Sylwia Markiewicz</t>
  </si>
  <si>
    <t>DKK dla dorosłych z niepełnosprawnością intelektualną</t>
  </si>
  <si>
    <t>Zdzisława Nowak</t>
  </si>
  <si>
    <t>95 727 80 40</t>
  </si>
  <si>
    <t>DKK zawieszony</t>
  </si>
  <si>
    <t>DKK Młodych książkożerców</t>
  </si>
  <si>
    <t>Kazimiera Czaja</t>
  </si>
  <si>
    <t>Białków 72</t>
  </si>
  <si>
    <t>Biblioteka Publiczna Miasta i Gminy w Cybince – Filia Białków</t>
  </si>
  <si>
    <t>Dąbroszyn 22 a</t>
  </si>
  <si>
    <t>Miejska Biblioteka Publiczna w Witnicy – filia w Dąbroszynie</t>
  </si>
  <si>
    <t>ul. Sikorskiego 107 (wejście od ul. Kos. Gdyńskich)</t>
  </si>
  <si>
    <t>Wojewódzka i Miejska Biblioteka Publiczna – Wypożyczalnia Główna</t>
  </si>
  <si>
    <t>Kamień Mały 91</t>
  </si>
  <si>
    <t>Miejska Biblioteka Publiczna w Witnicy – Filia w Kamieniu Małym</t>
  </si>
  <si>
    <t>Muszkowo 28/2</t>
  </si>
  <si>
    <t>Gminna Biblioteka Publiczna w Krzeszycach – Filia w Muszkowie</t>
  </si>
  <si>
    <t>Bestwina</t>
  </si>
  <si>
    <t>ul. Szkolna 8</t>
  </si>
  <si>
    <t>43-512 Bestwina</t>
  </si>
  <si>
    <t>Bestwinka</t>
  </si>
  <si>
    <t>Gminna Biblioteka Publiczna w Bestwinie – Filia w Bestwince</t>
  </si>
  <si>
    <t>ul. Dworkowa 3</t>
  </si>
  <si>
    <t>Będzin</t>
  </si>
  <si>
    <t>42-500 Będzin</t>
  </si>
  <si>
    <t>Bielsko-Biała</t>
  </si>
  <si>
    <t>DKK „PEGAZ”</t>
  </si>
  <si>
    <t>DKK „KALLIOPE”</t>
  </si>
  <si>
    <t>DKK „ALETHEIA”</t>
  </si>
  <si>
    <t>Książnica Beskidzka – Dzielnicowa Biblioteka Publiczna</t>
  </si>
  <si>
    <t>Bojszowy</t>
  </si>
  <si>
    <t>ul. Gościnna 6</t>
  </si>
  <si>
    <t>43-220 Bojszowy</t>
  </si>
  <si>
    <t>Buczkowice</t>
  </si>
  <si>
    <t>ul. Lipowska 730</t>
  </si>
  <si>
    <t>43-374 Buczkowice</t>
  </si>
  <si>
    <t>Bytom</t>
  </si>
  <si>
    <t>41-902 Bytom</t>
  </si>
  <si>
    <t>Miejska Biblioteka Publiczna – Filia nr 23</t>
  </si>
  <si>
    <t>ul. Łużycka 12</t>
  </si>
  <si>
    <t>Chorzów</t>
  </si>
  <si>
    <t>ul. Kilińskiego 2</t>
  </si>
  <si>
    <t>41-500 Chorzów</t>
  </si>
  <si>
    <t>Cieszyn</t>
  </si>
  <si>
    <t>Biblioteka Miejska</t>
  </si>
  <si>
    <t>ul. Głęboka 15</t>
  </si>
  <si>
    <t>43-400 Cieszyn</t>
  </si>
  <si>
    <t>Czeladź</t>
  </si>
  <si>
    <t>ul. 1 Maja 27</t>
  </si>
  <si>
    <t>41-250 Czeladź</t>
  </si>
  <si>
    <t>Czerwionka-Leszczyny</t>
  </si>
  <si>
    <t>Częstochowa</t>
  </si>
  <si>
    <t>Al. Najświętszej Maryi Panny 22</t>
  </si>
  <si>
    <t>42-202 Częstochowa</t>
  </si>
  <si>
    <t>Dąbrowa Górnicza</t>
  </si>
  <si>
    <t>ul. Kościuszki 25</t>
  </si>
  <si>
    <t>41-300 Dąbrowa Górnicza</t>
  </si>
  <si>
    <t>Miejska Biblioteka Publiczna – Filia nr 20</t>
  </si>
  <si>
    <t>ul. Topolowa 32</t>
  </si>
  <si>
    <t>41-303 Dąbrowa Górnicza</t>
  </si>
  <si>
    <t>Gliwice</t>
  </si>
  <si>
    <t>Miejska Biblioteka Publiczna – Filia nr 21</t>
  </si>
  <si>
    <t>ul. Syriusza 20</t>
  </si>
  <si>
    <t>44-117 Gliwice</t>
  </si>
  <si>
    <t>Miejska Biblioteka Publiczna – Filia nr 16</t>
  </si>
  <si>
    <t>ul. Przedwiośnie 2</t>
  </si>
  <si>
    <t>44-119 Gliwice</t>
  </si>
  <si>
    <t>Miejska Biblioteka Publiczna – Filia nr 7</t>
  </si>
  <si>
    <t>ul. Junaków 4</t>
  </si>
  <si>
    <t>44-100 Gliwice</t>
  </si>
  <si>
    <t>Istebna</t>
  </si>
  <si>
    <t>Gminny Ośrodek Kultury, Promocji, Informacji Turystycznej i Biblioteka Publiczna</t>
  </si>
  <si>
    <t>Istebna 68</t>
  </si>
  <si>
    <t>43-470 Istebna</t>
  </si>
  <si>
    <t>Janowice</t>
  </si>
  <si>
    <t>Gminna Biblioteka Publiczna w Bestwinie – Filia w Janowicach</t>
  </si>
  <si>
    <t>ul. Janowicka 137</t>
  </si>
  <si>
    <t>Jasienica</t>
  </si>
  <si>
    <t>Gminna Biblioteka Publiczna w Jasienicy</t>
  </si>
  <si>
    <t>Jasienica 300</t>
  </si>
  <si>
    <t>43-385 Jasienica</t>
  </si>
  <si>
    <t>Jastrzębie-Zdrój</t>
  </si>
  <si>
    <t>Jaworzno</t>
  </si>
  <si>
    <t>Rynek Główny 17</t>
  </si>
  <si>
    <t>43-600 Jaworzno</t>
  </si>
  <si>
    <t>Kaniów</t>
  </si>
  <si>
    <t>Gminna Biblioteka Publiczna w Bestwinie – Filia w Kaniowie</t>
  </si>
  <si>
    <t>ul. Batalionów Chłopskich 19</t>
  </si>
  <si>
    <t>43-514 Kaniów</t>
  </si>
  <si>
    <t>Katowice</t>
  </si>
  <si>
    <t>Biblioteka Śląska – Dział Integracyjno-Biblioterapeutyczny</t>
  </si>
  <si>
    <t>ul. Ligonia 5/7</t>
  </si>
  <si>
    <t>40-021 Katowice</t>
  </si>
  <si>
    <t>Miejska Biblioteka Publiczna – Filia nr 3</t>
  </si>
  <si>
    <t>ul. Gliwicka 93</t>
  </si>
  <si>
    <t>40-857 Katowice</t>
  </si>
  <si>
    <t>ul. Franciszkańska 33</t>
  </si>
  <si>
    <t>40-708 Katowice</t>
  </si>
  <si>
    <t>ul. Franciszkańska 25</t>
  </si>
  <si>
    <t>Miejska Biblioteka Publiczna – Filia nr 12</t>
  </si>
  <si>
    <t>ul. Witosa 18B</t>
  </si>
  <si>
    <t>40-832 Katowice</t>
  </si>
  <si>
    <t>Miejska Biblioteka Publiczna – Filia nr 14</t>
  </si>
  <si>
    <t>ul. Piastów 20</t>
  </si>
  <si>
    <t>40-868 Katowice</t>
  </si>
  <si>
    <t>ul. Wajdy 21</t>
  </si>
  <si>
    <t>40-175 Katowice</t>
  </si>
  <si>
    <t>Miejska Biblioteka Publiczna – Filia nr 22</t>
  </si>
  <si>
    <t>ul. Słowiańska 1</t>
  </si>
  <si>
    <t>40-216 Katowice</t>
  </si>
  <si>
    <t>Miejska Biblioteka Publiczna – Filia nr 25</t>
  </si>
  <si>
    <t>ul. Chrobrego 2</t>
  </si>
  <si>
    <t>40-881 Katowice</t>
  </si>
  <si>
    <t>Miejska Biblioteka Publiczna – Filia nr 30</t>
  </si>
  <si>
    <t>ul. Rybnicka 11</t>
  </si>
  <si>
    <t>40-038 Katowice</t>
  </si>
  <si>
    <t>Miejska Biblioteka Publiczna – Filia nr 36</t>
  </si>
  <si>
    <t>ul. Ge. Hallera 28</t>
  </si>
  <si>
    <t>40-321 Katowice</t>
  </si>
  <si>
    <t>Kłobuck</t>
  </si>
  <si>
    <t>Biblioteka Publiczna Gminy Kłobuck</t>
  </si>
  <si>
    <t>ul. Okólna 3</t>
  </si>
  <si>
    <t>42-100 Kłobuck</t>
  </si>
  <si>
    <t>Knurów</t>
  </si>
  <si>
    <t>Al. Lipowa 12</t>
  </si>
  <si>
    <t>44-196 Knurów</t>
  </si>
  <si>
    <t>Koszarawa</t>
  </si>
  <si>
    <t>Koszarawa 142</t>
  </si>
  <si>
    <t>34-332 Koszarawa</t>
  </si>
  <si>
    <t>Krzepice</t>
  </si>
  <si>
    <t>ul. Częstochowska 13</t>
  </si>
  <si>
    <t>42-160 Krzepice</t>
  </si>
  <si>
    <t>Kuźnia Raciborska</t>
  </si>
  <si>
    <t>ul. Klasztorna 9</t>
  </si>
  <si>
    <t>47-420 Kuźnia Raciborska</t>
  </si>
  <si>
    <t>Lipowa</t>
  </si>
  <si>
    <t>Łazy</t>
  </si>
  <si>
    <t>ul. Kościuszki 3</t>
  </si>
  <si>
    <t>42-450 Łazy</t>
  </si>
  <si>
    <t>Mierzęcice</t>
  </si>
  <si>
    <t>Gminna Biblioteka Publiczna w Mierzęcicach</t>
  </si>
  <si>
    <t>ul. Wolności 62 a</t>
  </si>
  <si>
    <t>42-460 Mierzęcice</t>
  </si>
  <si>
    <t>Mysłowice</t>
  </si>
  <si>
    <t>Miejska Biblioteka Publiczna – Filia nr 11</t>
  </si>
  <si>
    <t>ul. Mikołowska 40</t>
  </si>
  <si>
    <t>41-400 Mysłowice</t>
  </si>
  <si>
    <t>Myszków</t>
  </si>
  <si>
    <t>ul. Kościelna 27</t>
  </si>
  <si>
    <t>42-300 Myszków</t>
  </si>
  <si>
    <t>Ogrodzieniec</t>
  </si>
  <si>
    <t>Plac Wolności 42</t>
  </si>
  <si>
    <t>42-440 Ogrodzieniec</t>
  </si>
  <si>
    <t>Pietrowice Wielkie</t>
  </si>
  <si>
    <t>ul. 1 Maja 8B</t>
  </si>
  <si>
    <t>47-480 Pietrowice Wielkie</t>
  </si>
  <si>
    <t>Poręba</t>
  </si>
  <si>
    <t>ul. Mickiewicza 2</t>
  </si>
  <si>
    <t>42-480 Poręba</t>
  </si>
  <si>
    <t>Pszczyna</t>
  </si>
  <si>
    <t>Miejsko-Powiatowa Biblioteka Publiczna</t>
  </si>
  <si>
    <t>ul. Piastowska 1</t>
  </si>
  <si>
    <t>43-200 Pszczyna</t>
  </si>
  <si>
    <t>Przystajń</t>
  </si>
  <si>
    <t>ul. Targowa 5</t>
  </si>
  <si>
    <t>42-141 Przystajń</t>
  </si>
  <si>
    <t>Pyskowice</t>
  </si>
  <si>
    <t>44-120 Pyskowice</t>
  </si>
  <si>
    <t>Racibórz</t>
  </si>
  <si>
    <t>ul. Kasprowicza 12</t>
  </si>
  <si>
    <t>47-400 Racibórz</t>
  </si>
  <si>
    <t>Ruda Śląska</t>
  </si>
  <si>
    <t>ul. Wolności 20</t>
  </si>
  <si>
    <t>41-700 Ruda Śl.</t>
  </si>
  <si>
    <t>Rybnik</t>
  </si>
  <si>
    <t>ul. Szafranka 7</t>
  </si>
  <si>
    <t>44-200 Rybnik</t>
  </si>
  <si>
    <t>Powiatowa i Miejska Biblioteka Publiczna – Filia nr 2</t>
  </si>
  <si>
    <t>ul. Zebrzydowicka 30</t>
  </si>
  <si>
    <t>44-217 Rybnik</t>
  </si>
  <si>
    <t>Siemianowice Śląskie</t>
  </si>
  <si>
    <t>Al. Sportowców 3</t>
  </si>
  <si>
    <t>41-100 Siemianowice Śląskie</t>
  </si>
  <si>
    <t>Miejska Biblioteka Publiczna – Filia nr 10</t>
  </si>
  <si>
    <t>ul. Jaworowa 2</t>
  </si>
  <si>
    <t>41-106 Siemianowice Śląskie</t>
  </si>
  <si>
    <t>Sławków</t>
  </si>
  <si>
    <t>ul. Sikorskiego 4</t>
  </si>
  <si>
    <t>41-260 Sławków</t>
  </si>
  <si>
    <t>Sosnowiec</t>
  </si>
  <si>
    <t>ul. Kościelna 11</t>
  </si>
  <si>
    <t>41-200 Sosnowiec</t>
  </si>
  <si>
    <t>Miejska Biblioteka Publiczna, Zakład Karny</t>
  </si>
  <si>
    <t>Miejska Biblioteka Publiczna – Filia nr 7 Bibliosfera</t>
  </si>
  <si>
    <t>ul. Kalinowa</t>
  </si>
  <si>
    <t>41-208 Sosnowiec</t>
  </si>
  <si>
    <t>Szczekociny</t>
  </si>
  <si>
    <t>ul. Spacerowa 12</t>
  </si>
  <si>
    <t>42-445 Szczekociny</t>
  </si>
  <si>
    <t>Świerklaniec</t>
  </si>
  <si>
    <t>ul. Górna 33</t>
  </si>
  <si>
    <t>42-622 Świerklaniec</t>
  </si>
  <si>
    <t>Tarnowskie Góry</t>
  </si>
  <si>
    <t>ul. Zamkowa 5</t>
  </si>
  <si>
    <t>42-600 Tarnowskie Góry</t>
  </si>
  <si>
    <t>Tychy</t>
  </si>
  <si>
    <t>Aleja Piłsudskiego 16</t>
  </si>
  <si>
    <t>43-100 Tychy</t>
  </si>
  <si>
    <t>ul. Batorego 9</t>
  </si>
  <si>
    <t>Ustroń</t>
  </si>
  <si>
    <t>Rynek 4</t>
  </si>
  <si>
    <t>43-450 Ustroń</t>
  </si>
  <si>
    <t>Wierbka</t>
  </si>
  <si>
    <t>Miejsko-Gminna Biblioteka Publiczna w Pilicy – Filia w Wierbce</t>
  </si>
  <si>
    <t>ul. Kościelna 8</t>
  </si>
  <si>
    <t>42-436 Pilica</t>
  </si>
  <si>
    <t>Wilkowice</t>
  </si>
  <si>
    <t>ul. Strażacka 3</t>
  </si>
  <si>
    <t>43-365 Wilkowice</t>
  </si>
  <si>
    <t>Wodzisław Śląski</t>
  </si>
  <si>
    <t>ul. Daszyńskiego 2</t>
  </si>
  <si>
    <t>44-300 Wodzisław Śląski</t>
  </si>
  <si>
    <t>Zabrze</t>
  </si>
  <si>
    <t>ul. Ks. J. Londzina 3</t>
  </si>
  <si>
    <t>41-800 Zabrze</t>
  </si>
  <si>
    <t>Miejska Biblioteka Publiczna – Filia nr 19</t>
  </si>
  <si>
    <t>Zawiercie</t>
  </si>
  <si>
    <t>ul. Powstańców Śląskich 6</t>
  </si>
  <si>
    <t>42-400 Zawiercie</t>
  </si>
  <si>
    <t>Żarki Letnisko</t>
  </si>
  <si>
    <t>Gminna Biblioteka Publiczna w Poraju – Filia Żarki Letnisko</t>
  </si>
  <si>
    <t>42-311 Żarki Letnisko</t>
  </si>
  <si>
    <t>Żory</t>
  </si>
  <si>
    <t>44-240 Żory</t>
  </si>
  <si>
    <t>DKK dla dorosłych Zakład Karny</t>
  </si>
  <si>
    <t>DKK dla dorosłych Areszt Śledczy</t>
  </si>
  <si>
    <t>DKK dla dziecięco-młodzieżowy</t>
  </si>
  <si>
    <t>DKK „BARWY” dla dorosłych</t>
  </si>
  <si>
    <t>DKK „DIALOG” dla dorosłych</t>
  </si>
  <si>
    <t>Teresa Lewczak</t>
  </si>
  <si>
    <t>32/214 14 09</t>
  </si>
  <si>
    <t>Marta Mańdok-Bury</t>
  </si>
  <si>
    <t>32/214 63 55, 691 769 441</t>
  </si>
  <si>
    <t>Celina Nowak</t>
  </si>
  <si>
    <t>32/267 41 65, 32/267 48 28</t>
  </si>
  <si>
    <t>Biblioteka - Książnica Beskidzka</t>
  </si>
  <si>
    <t>Biblioteka - Książnica Beskidzka – Filia Os. Złote Łany</t>
  </si>
  <si>
    <t>Biblioteka - Książnica Beskidzka – Filia Integr.</t>
  </si>
  <si>
    <t>Biblioteka - Książnica Beskidzka – Filia Os. Słoneczne</t>
  </si>
  <si>
    <t>Biblioteka - Książnica Beskidzka – Filia Stare Bielsko</t>
  </si>
  <si>
    <t>Biblioteka - Książnica Beskidzka - Filia os. Kopernika</t>
  </si>
  <si>
    <t>Grażyna Sałagan</t>
  </si>
  <si>
    <t>32/267 41 65, 32/775 85 85</t>
  </si>
  <si>
    <t>Agnieszka Lorek</t>
  </si>
  <si>
    <t>33/822 82 21</t>
  </si>
  <si>
    <t>ko-Biała</t>
  </si>
  <si>
    <t>ul. J. Słowackiego 17a43-300 Biels</t>
  </si>
  <si>
    <t>Krzysztof Czernek</t>
  </si>
  <si>
    <t>Maria Kardynał</t>
  </si>
  <si>
    <t>33/816 29 04, 519-718-136</t>
  </si>
  <si>
    <t>ul. Jutrzenki 2043-300 Biels</t>
  </si>
  <si>
    <t>Agnieszka Glinkowska</t>
  </si>
  <si>
    <t>33/816 29 05</t>
  </si>
  <si>
    <t>ul. Rychlińskiego 2043-300 Biels</t>
  </si>
  <si>
    <t>Bartłomiej Siwy</t>
  </si>
  <si>
    <t>33/ 822 87 79</t>
  </si>
  <si>
    <t>ul. M. Reja 1843-300 Biels</t>
  </si>
  <si>
    <t>Mariola Fender</t>
  </si>
  <si>
    <t>33/811 55 75</t>
  </si>
  <si>
    <t>ul. Sobieskiego 13043-300 Biels</t>
  </si>
  <si>
    <t>Szczepan Matyjasek</t>
  </si>
  <si>
    <t>33/812 32 04</t>
  </si>
  <si>
    <t>ul. 11 Listopada 4043-300 Biels</t>
  </si>
  <si>
    <t>Zuzanna Lebiedzińska-Byrdziak</t>
  </si>
  <si>
    <t>33/812 24 68</t>
  </si>
  <si>
    <t>ul. Jesionowa 1343-300 Biels</t>
  </si>
  <si>
    <t>Beata Wróbel</t>
  </si>
  <si>
    <t>32/218 91 07, 571 240 360</t>
  </si>
  <si>
    <t>Bożena Jakubiec</t>
  </si>
  <si>
    <t>33/817 73 10, 721 289 882</t>
  </si>
  <si>
    <t>DKK „CO I JAK”</t>
  </si>
  <si>
    <t>Agnieszka Witkowska</t>
  </si>
  <si>
    <t>32/787 06 01 w. 413</t>
  </si>
  <si>
    <t>Karolina Sosnowska</t>
  </si>
  <si>
    <t>32/787 06 01, 509-246-938</t>
  </si>
  <si>
    <t>DKK „NIEDOSYT”</t>
  </si>
  <si>
    <t>Karina Maczuga</t>
  </si>
  <si>
    <t>32/78 760 75, 508-085-437</t>
  </si>
  <si>
    <t>Justyna Wyrwich, Hanna Jankowska</t>
  </si>
  <si>
    <t>32/241 86 53, 505 676 911</t>
  </si>
  <si>
    <t>Joanna Wucka-Biały</t>
  </si>
  <si>
    <t>33/852 07 10, 500 103 645</t>
  </si>
  <si>
    <t>DKK „DWUKROPEK”</t>
  </si>
  <si>
    <t>Anna Wałek</t>
  </si>
  <si>
    <t>32/265 10 02, 502 049 179</t>
  </si>
  <si>
    <t>Aleksandra Małkiewicz</t>
  </si>
  <si>
    <t>32/265 10 02, 501 670 805</t>
  </si>
  <si>
    <t>Agnieszka Rybka</t>
  </si>
  <si>
    <t>32/431 55 70</t>
  </si>
  <si>
    <t>ka-Leszczyny</t>
  </si>
  <si>
    <t>ul. 3 Maja 1544-230 Czerwion</t>
  </si>
  <si>
    <t>Agnieszka Batorek</t>
  </si>
  <si>
    <t>34/360 61 18, 534 009 883</t>
  </si>
  <si>
    <t>DKK „MOLIKI”</t>
  </si>
  <si>
    <t>Elżbieta Kulik</t>
  </si>
  <si>
    <t>34/ 360 61 18, 503 155 042</t>
  </si>
  <si>
    <t>DKK „ZACZYTANI”</t>
  </si>
  <si>
    <t>Anna Boraczyńska</t>
  </si>
  <si>
    <t>34/360 56 27</t>
  </si>
  <si>
    <t>DKK „STOP! KARTKA”</t>
  </si>
  <si>
    <t>Beata Grzanka (biblioteka), Barbara Turel (II LO)</t>
  </si>
  <si>
    <t>34/ 360 56 28 lub 34, 34/ 360 61 18</t>
  </si>
  <si>
    <t>DKK „KSIĄŻKOPOLIS”</t>
  </si>
  <si>
    <t>Beata Grzanka, Jarosław Gliński</t>
  </si>
  <si>
    <t>34/ 360 56 28, 34/ 360 61 18</t>
  </si>
  <si>
    <t>Andrzej Wilanowski</t>
  </si>
  <si>
    <t>32 639 03 00</t>
  </si>
  <si>
    <t>Dorota Wadych</t>
  </si>
  <si>
    <t>32/261 06 49, 606 194 279</t>
  </si>
  <si>
    <t>Ewa Wiśniowska-Cytarzyńska</t>
  </si>
  <si>
    <t>32 262 20 64</t>
  </si>
  <si>
    <t>42-530 Dąbrowa Górnicza Strzemieszyce</t>
  </si>
  <si>
    <t>ul. Ofiar Katynia 93</t>
  </si>
  <si>
    <t>Marta Pacak</t>
  </si>
  <si>
    <t>32/238 10 05</t>
  </si>
  <si>
    <t>Iwona Dworzańska</t>
  </si>
  <si>
    <t>32/237 07 23</t>
  </si>
  <si>
    <t>Agnieszka Okula</t>
  </si>
  <si>
    <t>32/230 07 40, 507 441 524</t>
  </si>
  <si>
    <t>Elżbieta Polok</t>
  </si>
  <si>
    <t>33/855 60 83, 604 752 778</t>
  </si>
  <si>
    <t>Alicja Englert</t>
  </si>
  <si>
    <t>32/215 74 28, 601 086 117</t>
  </si>
  <si>
    <t>Małgorzata Król</t>
  </si>
  <si>
    <t>33/ 81 53 467</t>
  </si>
  <si>
    <t>Agnieszka Witczak</t>
  </si>
  <si>
    <t>32/471 67 68, 781 147 346</t>
  </si>
  <si>
    <t>ie-Zdrój</t>
  </si>
  <si>
    <t>ul. Wielkopolska 1a44-335 Jastrzęb</t>
  </si>
  <si>
    <t>Anna Sobula</t>
  </si>
  <si>
    <t>32/751 91 91, 696 952 953</t>
  </si>
  <si>
    <t>32/215 73 67</t>
  </si>
  <si>
    <t>Dagmara Bałycz</t>
  </si>
  <si>
    <t>32/251 42 21 w. 207</t>
  </si>
  <si>
    <t>Kalina Sikora</t>
  </si>
  <si>
    <t>32/251 42 21 w. 234</t>
  </si>
  <si>
    <t>Kamila Rogowicz</t>
  </si>
  <si>
    <t>32/254 59 69</t>
  </si>
  <si>
    <t>Barbara Kasperek</t>
  </si>
  <si>
    <t>32/252 72 16, 505 581 267</t>
  </si>
  <si>
    <t>Beata Jadach-Zygadło</t>
  </si>
  <si>
    <t>32/252 51 20</t>
  </si>
  <si>
    <t>Barbara Korycka</t>
  </si>
  <si>
    <t>32/254 58 53, 694 467 818</t>
  </si>
  <si>
    <t>Katarzyna Piasecka</t>
  </si>
  <si>
    <t>32/254 22 76</t>
  </si>
  <si>
    <t>Bernadeta Wolny</t>
  </si>
  <si>
    <t>32/258 71 82, 508 777 761</t>
  </si>
  <si>
    <t>Aleksandra Gałuszka</t>
  </si>
  <si>
    <t>32/ 20 30 699</t>
  </si>
  <si>
    <t>Joanna Gołosz</t>
  </si>
  <si>
    <t>32/254 4206</t>
  </si>
  <si>
    <t>Agnieszka Włoka</t>
  </si>
  <si>
    <t>32/255 13 57</t>
  </si>
  <si>
    <t>Jakub Mizek</t>
  </si>
  <si>
    <t>32/209 91 91</t>
  </si>
  <si>
    <t>Monika Wypych</t>
  </si>
  <si>
    <t>34/317 22 54</t>
  </si>
  <si>
    <t>Katarzyna Bilińska</t>
  </si>
  <si>
    <t>32/332 63 94</t>
  </si>
  <si>
    <t>Małgorzata Kępka</t>
  </si>
  <si>
    <t>33/861 01 71</t>
  </si>
  <si>
    <t>Elżbieta Kowalska</t>
  </si>
  <si>
    <t>34/317 54 78, 695 696 034</t>
  </si>
  <si>
    <t>Ireneusz Wojcieski</t>
  </si>
  <si>
    <t>512 106 861</t>
  </si>
  <si>
    <t>Sylwia Wróbel</t>
  </si>
  <si>
    <t>33/867 16 74, 515 343 191</t>
  </si>
  <si>
    <t>34-324 Lipowa</t>
  </si>
  <si>
    <t>ul. Wiejska 44</t>
  </si>
  <si>
    <t>Halina Kudela</t>
  </si>
  <si>
    <t>32/672 94 46, 517 904 498</t>
  </si>
  <si>
    <t>Dominika Latos</t>
  </si>
  <si>
    <t>32 288 70 35</t>
  </si>
  <si>
    <t>Teresa Kamela</t>
  </si>
  <si>
    <t>505 086 610</t>
  </si>
  <si>
    <t>Ligia Wnuk</t>
  </si>
  <si>
    <t>34/313 13 06, 517 140 250</t>
  </si>
  <si>
    <t>Justyna Bobras</t>
  </si>
  <si>
    <t>32/673 37 42</t>
  </si>
  <si>
    <t>Irena Białuska</t>
  </si>
  <si>
    <t>32/419 80 99</t>
  </si>
  <si>
    <t>Barbara Machura</t>
  </si>
  <si>
    <t>32/671 18 66, 519 103 201</t>
  </si>
  <si>
    <t>Irena Morcinek</t>
  </si>
  <si>
    <t>32/210 42 44, 32/ 447 10 06</t>
  </si>
  <si>
    <t>Renata Małyska-Pilśniak</t>
  </si>
  <si>
    <t>34/319 10 26</t>
  </si>
  <si>
    <t>Grażyna Ryś</t>
  </si>
  <si>
    <t>32/233 24 75, 784 842 390</t>
  </si>
  <si>
    <t>Miejska Biblioteka PublicznaPl. J. Piłsudskiego 1</t>
  </si>
  <si>
    <t>Dominika Karpińska</t>
  </si>
  <si>
    <t>32/415 3724, 793 989 728</t>
  </si>
  <si>
    <t>Teresa Kornak</t>
  </si>
  <si>
    <t>32/415 37 24</t>
  </si>
  <si>
    <t>Danuta Dąbrowska-Obrodzka</t>
  </si>
  <si>
    <t>32/24 81 318, 605 052 519</t>
  </si>
  <si>
    <t>Grażyna Polnik</t>
  </si>
  <si>
    <t>32/ 422 35 41</t>
  </si>
  <si>
    <t>Hanna Koper</t>
  </si>
  <si>
    <t>32/422 53 17, 661 666 068</t>
  </si>
  <si>
    <t>Patrycja Skorek-Bilczyńska</t>
  </si>
  <si>
    <t>32/228 1329</t>
  </si>
  <si>
    <t>Sabina Powrosło</t>
  </si>
  <si>
    <t>32/228 4246</t>
  </si>
  <si>
    <t>Patrycja Skorek-Bilczyńska (MBP), Marzena Wendt-Dudek (szkoła)</t>
  </si>
  <si>
    <t>32/220 1207, 32/228 1329</t>
  </si>
  <si>
    <t>Joanna Glanowska</t>
  </si>
  <si>
    <t>32/293 12 16, 517 184 844</t>
  </si>
  <si>
    <t>Beata Szymczak</t>
  </si>
  <si>
    <t>32/266 43 76, 662 308 613</t>
  </si>
  <si>
    <t>DKK „RADOCHA”</t>
  </si>
  <si>
    <t>Beata Bujak, Beata Szymczak</t>
  </si>
  <si>
    <t>32/266 43 76, 32/291 73 24, 662 308 613 (Szymczak), 506 138 885 (Bujak)</t>
  </si>
  <si>
    <t>Aneta Bubak</t>
  </si>
  <si>
    <t>32/ 299 40 22</t>
  </si>
  <si>
    <t>Anna Adamus-Lisek</t>
  </si>
  <si>
    <t>695 585 581, 880 012 719</t>
  </si>
  <si>
    <t>Hanna Przybyła</t>
  </si>
  <si>
    <t>32/284 40 96</t>
  </si>
  <si>
    <t>Ewelina Korzus</t>
  </si>
  <si>
    <t>32/285 41 60 w.10</t>
  </si>
  <si>
    <t>Barbara Ząbroń</t>
  </si>
  <si>
    <t>32/227 83 11</t>
  </si>
  <si>
    <t>Katarzyna Kurasiewicz</t>
  </si>
  <si>
    <t>32/227 04 54, 32/438 04 70</t>
  </si>
  <si>
    <t>Magdalena Polok</t>
  </si>
  <si>
    <t>32/227 2732, 692 119 653</t>
  </si>
  <si>
    <t>Anna Łęczyńska</t>
  </si>
  <si>
    <t>512 219 919</t>
  </si>
  <si>
    <t>Magdalena Lis</t>
  </si>
  <si>
    <t>32/673 51 43, 530 992 622</t>
  </si>
  <si>
    <t>Beata Binda</t>
  </si>
  <si>
    <t>33/817 08 72</t>
  </si>
  <si>
    <t>Agnieszka Tatuś</t>
  </si>
  <si>
    <t>32/455-29-83, 692 542 143</t>
  </si>
  <si>
    <t>Grażyna Świderek</t>
  </si>
  <si>
    <t>32/271 42 24, 604 201 709</t>
  </si>
  <si>
    <t>Agnieszka Rosińska</t>
  </si>
  <si>
    <t>32/271 42 24, 606 784 847</t>
  </si>
  <si>
    <t>Małgorzata Głąb</t>
  </si>
  <si>
    <t>32/672 77 28</t>
  </si>
  <si>
    <t>Olga Latosińska</t>
  </si>
  <si>
    <t>505 230 893</t>
  </si>
  <si>
    <t>Aleksandra Kuczmierczyk</t>
  </si>
  <si>
    <t>32/434 45 84, 502 265 669</t>
  </si>
  <si>
    <t>32/435 45 35</t>
  </si>
  <si>
    <t>Bodzentyn</t>
  </si>
  <si>
    <t>Miejska i Gminna Biblioteka Publiczna</t>
  </si>
  <si>
    <t>ul. Rynek Górny 11</t>
  </si>
  <si>
    <t>26-010 Bodzentyn</t>
  </si>
  <si>
    <t>Gminna Biblioteka Publiczna w Samsonowie</t>
  </si>
  <si>
    <t>Samsonów 6</t>
  </si>
  <si>
    <t>26-050 Zagnańsk</t>
  </si>
  <si>
    <t>Gminna Biblioteka Publiczna w Samsonowie – Filia biblioteczna w Tumlinie</t>
  </si>
  <si>
    <t>ul. Grodowa 2</t>
  </si>
  <si>
    <t>26-050 Tumlin</t>
  </si>
  <si>
    <t>Zagnańsk</t>
  </si>
  <si>
    <t>Gminna Biblioteka Publiczna w Samsonowie – Filia w Zagańsku</t>
  </si>
  <si>
    <t>ul. Spacerowa 8b</t>
  </si>
  <si>
    <t>26-050 Samsonów</t>
  </si>
  <si>
    <t>Bogoria</t>
  </si>
  <si>
    <t xml:space="preserve">Bukowa </t>
  </si>
  <si>
    <t xml:space="preserve">Busko-Zdrój </t>
  </si>
  <si>
    <t xml:space="preserve">Baćkowice </t>
  </si>
  <si>
    <t xml:space="preserve">Chęciny </t>
  </si>
  <si>
    <t xml:space="preserve">Chęciny (spotkania w Jędrzejowie) </t>
  </si>
  <si>
    <t xml:space="preserve">Czarnocin </t>
  </si>
  <si>
    <t xml:space="preserve">Daleszyce </t>
  </si>
  <si>
    <t xml:space="preserve">Dobromierz </t>
  </si>
  <si>
    <t>Gliniany</t>
  </si>
  <si>
    <t xml:space="preserve">Góry Pińczowskie </t>
  </si>
  <si>
    <t xml:space="preserve">Imielno </t>
  </si>
  <si>
    <t xml:space="preserve">Jakubowice </t>
  </si>
  <si>
    <t xml:space="preserve">Jędrzejów </t>
  </si>
  <si>
    <t xml:space="preserve">Kazimierza Wielka </t>
  </si>
  <si>
    <t xml:space="preserve">Kielce </t>
  </si>
  <si>
    <t>Miejska Biblioteka Publiczna - Filia nr 4</t>
  </si>
  <si>
    <t xml:space="preserve">Kije </t>
  </si>
  <si>
    <t xml:space="preserve">Klimontów </t>
  </si>
  <si>
    <t xml:space="preserve">Kluczewsko </t>
  </si>
  <si>
    <t xml:space="preserve">Koniemłoty </t>
  </si>
  <si>
    <t xml:space="preserve">Końskie </t>
  </si>
  <si>
    <t xml:space="preserve">Kozłów </t>
  </si>
  <si>
    <t xml:space="preserve">Krasocin </t>
  </si>
  <si>
    <t xml:space="preserve">Kunów </t>
  </si>
  <si>
    <t xml:space="preserve">Kurzelów </t>
  </si>
  <si>
    <t xml:space="preserve">Lasocin </t>
  </si>
  <si>
    <t xml:space="preserve">Łączna </t>
  </si>
  <si>
    <t>Obrazów</t>
  </si>
  <si>
    <t>Oleszno</t>
  </si>
  <si>
    <t xml:space="preserve">Opatowiec </t>
  </si>
  <si>
    <t xml:space="preserve">Opatów </t>
  </si>
  <si>
    <t xml:space="preserve">Osiek </t>
  </si>
  <si>
    <t xml:space="preserve">Ostrowiec Świętokrzyski </t>
  </si>
  <si>
    <t xml:space="preserve">Ożarów </t>
  </si>
  <si>
    <t>Pacanów</t>
  </si>
  <si>
    <t xml:space="preserve">Pawłów </t>
  </si>
  <si>
    <t xml:space="preserve">Pińczów </t>
  </si>
  <si>
    <t xml:space="preserve">Radoszyce </t>
  </si>
  <si>
    <t xml:space="preserve">Ruszcza </t>
  </si>
  <si>
    <t xml:space="preserve">Samborzec </t>
  </si>
  <si>
    <t>Samsonów</t>
  </si>
  <si>
    <t xml:space="preserve">Sandomierz </t>
  </si>
  <si>
    <t xml:space="preserve">Secemin </t>
  </si>
  <si>
    <t xml:space="preserve">Sędziszów </t>
  </si>
  <si>
    <t xml:space="preserve">Skalbmierz </t>
  </si>
  <si>
    <t xml:space="preserve">Skarżysko Kościelne </t>
  </si>
  <si>
    <t xml:space="preserve">Skarżysko-Kamienna </t>
  </si>
  <si>
    <t xml:space="preserve">Starachowice </t>
  </si>
  <si>
    <t xml:space="preserve">Stąporków </t>
  </si>
  <si>
    <t xml:space="preserve">Suchedniów </t>
  </si>
  <si>
    <t xml:space="preserve">Szumsko </t>
  </si>
  <si>
    <t>Tumlin</t>
  </si>
  <si>
    <t xml:space="preserve">Wiązownica </t>
  </si>
  <si>
    <t xml:space="preserve">Włoszczowa </t>
  </si>
  <si>
    <t xml:space="preserve">Wodzisław </t>
  </si>
  <si>
    <t>Kielce</t>
  </si>
  <si>
    <t>Mariusz Karcz, Ewa Wosik</t>
  </si>
  <si>
    <t>15 868 62 44</t>
  </si>
  <si>
    <t>27-552 Baćkowice</t>
  </si>
  <si>
    <t>Baćkowice 84A</t>
  </si>
  <si>
    <t>Marta Janicka</t>
  </si>
  <si>
    <t>41 311 55 19</t>
  </si>
  <si>
    <t>Maria Kaczmarska</t>
  </si>
  <si>
    <t>15 867 41 65</t>
  </si>
  <si>
    <t>28-210 Bogoria</t>
  </si>
  <si>
    <t>ul. Spacerowa 3</t>
  </si>
  <si>
    <t>Gminna Biblioteka Publiczna w Bogorii</t>
  </si>
  <si>
    <t>Aneta Siwek</t>
  </si>
  <si>
    <t>41 39 19 107</t>
  </si>
  <si>
    <t>29-105 Krasocin</t>
  </si>
  <si>
    <t>ul. Kielecka 1</t>
  </si>
  <si>
    <t>Gminna Biblioteka Publiczna w Krasocinie – Filia w Bukowej</t>
  </si>
  <si>
    <t>Ewa Urban</t>
  </si>
  <si>
    <t>41 37 05 162</t>
  </si>
  <si>
    <t>ko-Zdrój</t>
  </si>
  <si>
    <t>ul. Orła Białego 17 28-100 Bus</t>
  </si>
  <si>
    <t>Miejsko-Gminna Biblioteka Publiczna w Busku Zdroju</t>
  </si>
  <si>
    <t>Barbara Woś</t>
  </si>
  <si>
    <t>41 315 11 24</t>
  </si>
  <si>
    <t>26-060 Chęciny</t>
  </si>
  <si>
    <t>ul. Białego Zagłębia 1</t>
  </si>
  <si>
    <t>Centrum Kultury i Sportu w Chęcinach Miejska i Gminna Biblioteka Publiczna</t>
  </si>
  <si>
    <t>DKK ZACZYTANE dla dorosłych</t>
  </si>
  <si>
    <t>Joanna Tkacz</t>
  </si>
  <si>
    <t>660 721 248</t>
  </si>
  <si>
    <t>28-300 Jędrzejów</t>
  </si>
  <si>
    <t>Al. Józefa Piłsudskiego 3</t>
  </si>
  <si>
    <t>Joanna Kądziela-Kot</t>
  </si>
  <si>
    <t>41 350 10 36</t>
  </si>
  <si>
    <t>28-506 Czarnocin</t>
  </si>
  <si>
    <t>Czarnocin 100C</t>
  </si>
  <si>
    <t>Gminna Biblioteka Publiczna w Czarnocinie</t>
  </si>
  <si>
    <t>Alicja Prendota</t>
  </si>
  <si>
    <t>41 30 72 056</t>
  </si>
  <si>
    <t>26-021 Daleszyce</t>
  </si>
  <si>
    <t>ul. Sienkiewicza 11B</t>
  </si>
  <si>
    <t>Miejsko-Gminna Biblioteka Publiczna w Daleszycach</t>
  </si>
  <si>
    <t>Zdzisława Krupa</t>
  </si>
  <si>
    <t>668 416 997</t>
  </si>
  <si>
    <t>29-120 Kluczewsko</t>
  </si>
  <si>
    <t>ul. Włoszczowska 5</t>
  </si>
  <si>
    <t>Gminna Biblioteka Publiczna w Kluczewsku – filia w Dobromierzu</t>
  </si>
  <si>
    <t>Marianna Wąsik</t>
  </si>
  <si>
    <t>512 182 912</t>
  </si>
  <si>
    <t>27-530 Gliniany</t>
  </si>
  <si>
    <t>ul. Rynek 45</t>
  </si>
  <si>
    <t>Biblioteka Publiczna Miasta i Gminy w Ożarowie – Filia w Glinianach</t>
  </si>
  <si>
    <t>Halina Biały</t>
  </si>
  <si>
    <t>691 581 525</t>
  </si>
  <si>
    <t>28-411 Michałów</t>
  </si>
  <si>
    <t>Małgorzata Sobczyk, Agata Kamińska</t>
  </si>
  <si>
    <t>41 385 14 62</t>
  </si>
  <si>
    <t>28-313 Imielno</t>
  </si>
  <si>
    <t>ul. Cmentarna 7a</t>
  </si>
  <si>
    <t>Gminna Biblioteka Publiczna w Imielnie</t>
  </si>
  <si>
    <t>Barbara Sałapa</t>
  </si>
  <si>
    <t>48 15 861 26 10</t>
  </si>
  <si>
    <t>27-530 Ożarów</t>
  </si>
  <si>
    <t>Jakubowice 43</t>
  </si>
  <si>
    <t>Biblioteka Publiczna Miasta i Gminy w Ożarowie – Filia biblioteczna w Jakubowicach</t>
  </si>
  <si>
    <t>Lucyna Dąbrowa</t>
  </si>
  <si>
    <t>41 386 13 96</t>
  </si>
  <si>
    <t>ul. 11 Listopada 33 d</t>
  </si>
  <si>
    <t>Miejsko-Gminna Biblioteka Publiczna w Jędrzejowie</t>
  </si>
  <si>
    <t>Joanna Tkacz, Ewa Nemś</t>
  </si>
  <si>
    <t>ul. S. Okrzei 63</t>
  </si>
  <si>
    <t>Biblioteka w Zespole Szkół Ponadgimnazjalnych nr 2</t>
  </si>
  <si>
    <t>Barbara Janasik</t>
  </si>
  <si>
    <t>41 352 12 11</t>
  </si>
  <si>
    <t>28-500 Kazimierza Wielka</t>
  </si>
  <si>
    <t>ul. Kolejowa 17</t>
  </si>
  <si>
    <t>Miejska i Gminna Biblioteka Publiczna w Kazimierzy Wielkiej</t>
  </si>
  <si>
    <t>Magdalena Michota</t>
  </si>
  <si>
    <t>41 361 53 51</t>
  </si>
  <si>
    <t>25-033 Kielce</t>
  </si>
  <si>
    <t>ul. Ściegiennego 13</t>
  </si>
  <si>
    <t>Wojewódzka Biblioteka Publiczna</t>
  </si>
  <si>
    <t>Anna Godowska</t>
  </si>
  <si>
    <t>Małgorzata Kędziorska</t>
  </si>
  <si>
    <t>41 344 70 74</t>
  </si>
  <si>
    <t>DKK SENIORA dla dorosłych</t>
  </si>
  <si>
    <t>Anna Green-Żytkiewicz</t>
  </si>
  <si>
    <t>41 361 91 15</t>
  </si>
  <si>
    <t>25-370 Kielce</t>
  </si>
  <si>
    <t>ul. Żeromskiego 44</t>
  </si>
  <si>
    <t>Bożena Naporowska</t>
  </si>
  <si>
    <t>41 345 59 73</t>
  </si>
  <si>
    <t>25-711 Kielce</t>
  </si>
  <si>
    <t>ul. Karczówkowska 20</t>
  </si>
  <si>
    <t>Renata Kajdan</t>
  </si>
  <si>
    <t>41 344 33 14</t>
  </si>
  <si>
    <t>25-651 Kielce</t>
  </si>
  <si>
    <t>ul. Graniczna 64</t>
  </si>
  <si>
    <t>Barbara Ząbek</t>
  </si>
  <si>
    <t>41 361 47 26</t>
  </si>
  <si>
    <t>25-113 Kielce</t>
  </si>
  <si>
    <t>ul. Barwinek 31</t>
  </si>
  <si>
    <t>Alicja Kosmala</t>
  </si>
  <si>
    <t>41 343 16 10, 602 789 177</t>
  </si>
  <si>
    <t>25-125 Kielce</t>
  </si>
  <si>
    <t>ul. Okrzei 9</t>
  </si>
  <si>
    <t>Miejska Biblioteka Publiczna – Filia nr 9</t>
  </si>
  <si>
    <t>Beata Borcuch</t>
  </si>
  <si>
    <t>41 367 64 82</t>
  </si>
  <si>
    <t>25-217 Kielce</t>
  </si>
  <si>
    <t>ul. J. Hauke-Bosaka 1</t>
  </si>
  <si>
    <t>Szkoła Podstawowa nr 8 w Kielcach</t>
  </si>
  <si>
    <t>Karolina Klimek</t>
  </si>
  <si>
    <t>41 35 68 047</t>
  </si>
  <si>
    <t>28-404 Kije</t>
  </si>
  <si>
    <t>ul. Szkolna 19/2</t>
  </si>
  <si>
    <t>Edyta Lesiak-Nawrocka</t>
  </si>
  <si>
    <t>15 865 53 90</t>
  </si>
  <si>
    <t>27-640 Klimontów</t>
  </si>
  <si>
    <t>ul. Krakowska 19</t>
  </si>
  <si>
    <t>ul. Spółdzielcza 12</t>
  </si>
  <si>
    <t>Gminna Biblioteka w Kluczewsku</t>
  </si>
  <si>
    <t>Ewa Adwent</t>
  </si>
  <si>
    <t>665 724 441</t>
  </si>
  <si>
    <t>28-200 Staszów</t>
  </si>
  <si>
    <t>ul. Staszowska 7</t>
  </si>
  <si>
    <t>MIGBP Staszów – Filia biblioteczna w Koniemłotach</t>
  </si>
  <si>
    <t>Alicja Skalska</t>
  </si>
  <si>
    <t>41 372 25 05</t>
  </si>
  <si>
    <t>26-200 Końskie</t>
  </si>
  <si>
    <t>ul. Partyzantów 1</t>
  </si>
  <si>
    <t>Biblioteka Publiczna Miasta i Gminy Końskie</t>
  </si>
  <si>
    <t>Dorota Machnik</t>
  </si>
  <si>
    <t>41 386 01 38</t>
  </si>
  <si>
    <t>28-366 Małogoszcz</t>
  </si>
  <si>
    <t>Kozłów 180</t>
  </si>
  <si>
    <t>Miejsko-Gminna Biblioteka Publiczna w Małogoszczu – Filia w Kozłowie</t>
  </si>
  <si>
    <t>Katarzyna Malicka</t>
  </si>
  <si>
    <t>696 647 301</t>
  </si>
  <si>
    <t>ul. Floriańska 1</t>
  </si>
  <si>
    <t>Danuta Jabłońska</t>
  </si>
  <si>
    <t>41 261 30 39</t>
  </si>
  <si>
    <t>27-415 Kunów</t>
  </si>
  <si>
    <t>ul. Warszawska 48</t>
  </si>
  <si>
    <t>Agnieszka Gieroń</t>
  </si>
  <si>
    <t>515 281 078</t>
  </si>
  <si>
    <t>29-100 Kurzelów</t>
  </si>
  <si>
    <t>ul. Kielecka 11</t>
  </si>
  <si>
    <t>Biblioteka Publiczna we Włoszczowie – Filia Kurzelów</t>
  </si>
  <si>
    <t>Ewa Grzesiak</t>
  </si>
  <si>
    <t>15 861 90 74</t>
  </si>
  <si>
    <t>ul. Rynek 20</t>
  </si>
  <si>
    <t>Biblioteka Publiczna Miasta i Gminy w Ożarowie – Filia biblioteczna w Lasocinie</t>
  </si>
  <si>
    <t>533 445 595</t>
  </si>
  <si>
    <t>Beata Kołda</t>
  </si>
  <si>
    <t>Marek Eberhardt</t>
  </si>
  <si>
    <t>577 809 333</t>
  </si>
  <si>
    <t>25-028 Kielce</t>
  </si>
  <si>
    <t>ul. Planty 7</t>
  </si>
  <si>
    <t>Stowarzyszenie im. Jana Karskiego</t>
  </si>
  <si>
    <t>26-140 Łączna</t>
  </si>
  <si>
    <t>ul. Czerwona Górka 1b</t>
  </si>
  <si>
    <t>Gminna Biblioteka Publiczna w Łącznej</t>
  </si>
  <si>
    <t>Monika Cwała</t>
  </si>
  <si>
    <t>Michałowice 33a</t>
  </si>
  <si>
    <t>Gminna Biblioteka Publiczna w Czarnocinie – Filia w Michałowicach</t>
  </si>
  <si>
    <t>Anna Barańska</t>
  </si>
  <si>
    <t>15 836 51 56</t>
  </si>
  <si>
    <t>27-641 Obrazów</t>
  </si>
  <si>
    <t>Obrazów 121</t>
  </si>
  <si>
    <t>Gminna Biblioteka Publiczna w Obrazowie</t>
  </si>
  <si>
    <t>Anna Lichosik</t>
  </si>
  <si>
    <t>41 391 80 03</t>
  </si>
  <si>
    <t>ul. Kielecka 17</t>
  </si>
  <si>
    <t>Gminna Biblioteka Publiczna w Krasocinie – Filia Oleszno</t>
  </si>
  <si>
    <t>Beata Adamczyk</t>
  </si>
  <si>
    <t>41 351 80 26</t>
  </si>
  <si>
    <t>28-520 Opatowiec</t>
  </si>
  <si>
    <t>Rynek 16</t>
  </si>
  <si>
    <t>Gminna Biblioteka Publiczna w Opatowcu</t>
  </si>
  <si>
    <t>Beata Adamczyk, Karolina Chałon</t>
  </si>
  <si>
    <t>Danuta Szypulska</t>
  </si>
  <si>
    <t>15 868 20 81</t>
  </si>
  <si>
    <t>27-500 Opatów</t>
  </si>
  <si>
    <t>ul. Partyzantów 13b</t>
  </si>
  <si>
    <t>Powiatowa i Miejsko-Gminna Biblioteka Publiczna w Opatowie</t>
  </si>
  <si>
    <t>Katarzyna Kunowska</t>
  </si>
  <si>
    <t>15 867 13 00</t>
  </si>
  <si>
    <t>28-221 Osiek</t>
  </si>
  <si>
    <t>ul. Wolności 24a</t>
  </si>
  <si>
    <t>Miejsko-Gminna Biblioteka Publiczna w Osieku</t>
  </si>
  <si>
    <t>Miejsko-Gminna Biblioteka Publiczna w Osieku Zespół Szkół w Osieku</t>
  </si>
  <si>
    <t>Beata Pater</t>
  </si>
  <si>
    <t>41 247 51 47</t>
  </si>
  <si>
    <t>27-400 Ostrowiec Świętokrzyski</t>
  </si>
  <si>
    <t>ul. Siennieńska 54</t>
  </si>
  <si>
    <t>Łukasz Romaniuk, Jolanta Banach</t>
  </si>
  <si>
    <t>15 861 11 06</t>
  </si>
  <si>
    <t>Biblioteka Publiczna Miasta i Gminy w Ożarowie</t>
  </si>
  <si>
    <t>Anna Szcześniak</t>
  </si>
  <si>
    <t>41 376 54 03</t>
  </si>
  <si>
    <t>28-133 Pacanów</t>
  </si>
  <si>
    <t>Rynek 15</t>
  </si>
  <si>
    <t>Gminna Biblioteka Publiczna w Pacanowie</t>
  </si>
  <si>
    <t>Teresa Sobczak</t>
  </si>
  <si>
    <t>41 272 16 85</t>
  </si>
  <si>
    <t>27-225 Pawłów</t>
  </si>
  <si>
    <t>Pawłów 45</t>
  </si>
  <si>
    <t>Gminna Biblioteka Publiczna w Pawłowie</t>
  </si>
  <si>
    <t>Bogumiła Wójtowicz</t>
  </si>
  <si>
    <t>41 357 32 29</t>
  </si>
  <si>
    <t>28-400 Pińczów</t>
  </si>
  <si>
    <t>ul. Nowy Świat 3</t>
  </si>
  <si>
    <t>Miejska i Gminna Biblioteka w Pińczowie</t>
  </si>
  <si>
    <t>Elżbieta Staciwa</t>
  </si>
  <si>
    <t>41 373 50 39</t>
  </si>
  <si>
    <t>26-230 Radoszyce</t>
  </si>
  <si>
    <t>ul. Częstochowska 2</t>
  </si>
  <si>
    <t>Gminna Biblioteka Publiczna w Radoszycach</t>
  </si>
  <si>
    <t>Marta Niziałek</t>
  </si>
  <si>
    <t>15 865 59 42</t>
  </si>
  <si>
    <t>28-230 Ruszcza</t>
  </si>
  <si>
    <t>ul. Szkolna 2</t>
  </si>
  <si>
    <t>Miejsko-Gminna Biblioteka Publiczna w Połańcu – Filia w Ruszczy</t>
  </si>
  <si>
    <t>Ewa Stefanek</t>
  </si>
  <si>
    <t>15 831 44 43</t>
  </si>
  <si>
    <t>27-650 Samborzec</t>
  </si>
  <si>
    <t>Samborzec 43</t>
  </si>
  <si>
    <t>Gminna Biblioteka Publiczna w Samborcu</t>
  </si>
  <si>
    <t>Anna Kapciak, Stella Ślefarska</t>
  </si>
  <si>
    <t>41 300 34 12</t>
  </si>
  <si>
    <t>Anna Kapciak</t>
  </si>
  <si>
    <t>Małgorzata Chrzelest</t>
  </si>
  <si>
    <t>15 832 24 10</t>
  </si>
  <si>
    <t>27-600 Sandomierz</t>
  </si>
  <si>
    <t>Wioleta Mrożek</t>
  </si>
  <si>
    <t>34 355 60 96</t>
  </si>
  <si>
    <t>29-145 Secemin</t>
  </si>
  <si>
    <t>ul. Ogrodowa 1</t>
  </si>
  <si>
    <t>Renata Gądek</t>
  </si>
  <si>
    <t>41 38 11 251</t>
  </si>
  <si>
    <t>28-340 Sędziszów</t>
  </si>
  <si>
    <t>ul. Dworcowa 26</t>
  </si>
  <si>
    <t>Samorządowe Centrum Kultury - Biblioteka Publiczna</t>
  </si>
  <si>
    <t>Agata Oleksy</t>
  </si>
  <si>
    <t>41 352 92 39</t>
  </si>
  <si>
    <t>28-530 Skalbmierz</t>
  </si>
  <si>
    <t>ul. Szkolna 3</t>
  </si>
  <si>
    <t>Biblioteka Miasta i Gminy Skalbmierz</t>
  </si>
  <si>
    <t>ks. Marian Fatyga</t>
  </si>
  <si>
    <t>41 352 90 25</t>
  </si>
  <si>
    <t>ul. Partyzantów 2</t>
  </si>
  <si>
    <t>Biblioteka Parafialna</t>
  </si>
  <si>
    <t>Teresa Banaszczyk</t>
  </si>
  <si>
    <t>41 271 47 72</t>
  </si>
  <si>
    <t>26-115 Skarżysko Kościelne</t>
  </si>
  <si>
    <t>ul. Kościelna 2a</t>
  </si>
  <si>
    <t>Gminna Biblioteka Publiczna w Skarżysku Kościelnym</t>
  </si>
  <si>
    <t>Agnieszka Kołodziej</t>
  </si>
  <si>
    <t>41 251 21 34</t>
  </si>
  <si>
    <t>ko-Kamienna</t>
  </si>
  <si>
    <t>ul. Towarowa 20 26-110 Skarżys</t>
  </si>
  <si>
    <t>Jolanta Sopińska</t>
  </si>
  <si>
    <t>41 274 76 06</t>
  </si>
  <si>
    <t>27-200 Starachowice</t>
  </si>
  <si>
    <t>ul. Kochanowskiego 5</t>
  </si>
  <si>
    <t>Magdalena Mroczek</t>
  </si>
  <si>
    <t>41 274 61 81</t>
  </si>
  <si>
    <t>ul. Żeromskiego 8</t>
  </si>
  <si>
    <t>Aldona Bałtowska-Jagieła</t>
  </si>
  <si>
    <t>41 274 33 55</t>
  </si>
  <si>
    <t>ul. Staszica 9</t>
  </si>
  <si>
    <t>Miejska Biblioteka Publiczna – Filia nr 6</t>
  </si>
  <si>
    <t>Helena Raczyńska</t>
  </si>
  <si>
    <t>15 864 30 57</t>
  </si>
  <si>
    <t>ul. Szkolna 14</t>
  </si>
  <si>
    <t>Staszów Biblioteka Publiczna Miasta i Gminy w Staszowie</t>
  </si>
  <si>
    <t>Anna Grot</t>
  </si>
  <si>
    <t>41 37 41 086</t>
  </si>
  <si>
    <t>26-220 Stąporków</t>
  </si>
  <si>
    <t>ul. Piłsudskiego 103</t>
  </si>
  <si>
    <t>Małgorzata Wiśniewska</t>
  </si>
  <si>
    <t>41 254 49 85</t>
  </si>
  <si>
    <t>26-130 Suchedniów</t>
  </si>
  <si>
    <t>ul. Kościelna 3</t>
  </si>
  <si>
    <t>Miejska Biblioteka Publiczna w Suchedniowie</t>
  </si>
  <si>
    <t>Edyta Góźdź</t>
  </si>
  <si>
    <t>533 777 497</t>
  </si>
  <si>
    <t>26-035 Raków</t>
  </si>
  <si>
    <t>Szumsko 37</t>
  </si>
  <si>
    <t>Gminna Biblioteka Publiczna w Rakowie – Filia Szumsko</t>
  </si>
  <si>
    <t>Małgorzata Polakowska</t>
  </si>
  <si>
    <t>41 271 50 84</t>
  </si>
  <si>
    <t>27-215 Wąchock</t>
  </si>
  <si>
    <t>ul. Kościelna 7</t>
  </si>
  <si>
    <t>Wąchock Miejsko-Gminna Biblioteka Publiczna w Wąchocku</t>
  </si>
  <si>
    <t>Joanna Ziemkiewicz</t>
  </si>
  <si>
    <t>Miejsko-Gminna Biblioteka Publiczna w Wąchocku</t>
  </si>
  <si>
    <t>Irena Małek</t>
  </si>
  <si>
    <t>15 866 64 30</t>
  </si>
  <si>
    <t>Wiązownica Kolonia 96a</t>
  </si>
  <si>
    <t>Biblioteka Publiczna Miasta i Gminy w Staszowie – Filia w Wiązownicy</t>
  </si>
  <si>
    <t>Katarzyna Dulęba</t>
  </si>
  <si>
    <t>Wielka Wieś Miejsko-Gminna Biblioteka Publiczna w Wąchocku – Filia w Nowej Wsi</t>
  </si>
  <si>
    <t>Małgorzata Kancerek</t>
  </si>
  <si>
    <t>41 39 42 313</t>
  </si>
  <si>
    <t>29-100 Włoszczowa</t>
  </si>
  <si>
    <t>Biblioteka Publiczna we Włoszczowie</t>
  </si>
  <si>
    <t>Elżbieta Puto</t>
  </si>
  <si>
    <t>41 380 60 79</t>
  </si>
  <si>
    <t>28-330 Wodzisław</t>
  </si>
  <si>
    <t>ul. Legionów 1</t>
  </si>
  <si>
    <t>Gminna Biblioteka Publiczna w Wodzisławiu</t>
  </si>
  <si>
    <t>Anna Skałka</t>
  </si>
  <si>
    <t>41 300 11 59</t>
  </si>
  <si>
    <t>Gminna Biblioteka Publiczna w Samsonowie – Filia biblioteczna w Zagnańsku, Szkoła Podstawowa nr 2 w Zagnańsku</t>
  </si>
  <si>
    <t>Anna Zalewska, Anna Skałka</t>
  </si>
  <si>
    <t>501 277 784</t>
  </si>
  <si>
    <t>Adamów</t>
  </si>
  <si>
    <t>ul. Kleeberga 5C</t>
  </si>
  <si>
    <t>21-412 Adamów</t>
  </si>
  <si>
    <t>Aleksandrów</t>
  </si>
  <si>
    <t>DKK „Okładka” dziecięco-młodzieżowy</t>
  </si>
  <si>
    <t>Annopol</t>
  </si>
  <si>
    <t>Bełżyce</t>
  </si>
  <si>
    <t>Biała Podlaska</t>
  </si>
  <si>
    <t>Biłgoraj</t>
  </si>
  <si>
    <t>ul. Kościuszki 13</t>
  </si>
  <si>
    <t>23-400 Biłgoraj</t>
  </si>
  <si>
    <t>DKK „Akapit” dziecięco-młodzieżowy</t>
  </si>
  <si>
    <t>Biszcza</t>
  </si>
  <si>
    <t>Chełm</t>
  </si>
  <si>
    <t>Cyców</t>
  </si>
  <si>
    <t>ul. Chełmska 19</t>
  </si>
  <si>
    <t>21-070 Cyców</t>
  </si>
  <si>
    <t>Dąbrowica</t>
  </si>
  <si>
    <t>DKK dziecięco-młodzieżowy</t>
  </si>
  <si>
    <t>Dęblin</t>
  </si>
  <si>
    <t>ul. Okólna 19</t>
  </si>
  <si>
    <t>08-530 Dęblin</t>
  </si>
  <si>
    <t>Godziszów</t>
  </si>
  <si>
    <t>ul. Frampolska 23</t>
  </si>
  <si>
    <t>Góra Puławska</t>
  </si>
  <si>
    <t>Hańsk</t>
  </si>
  <si>
    <t>Hrubieszów</t>
  </si>
  <si>
    <t>Jabłoń</t>
  </si>
  <si>
    <t>Janów Lubelski</t>
  </si>
  <si>
    <t>Jeziorzany</t>
  </si>
  <si>
    <t>Józefów</t>
  </si>
  <si>
    <t>Karczmiska</t>
  </si>
  <si>
    <t>Gminna Biblioteka i Dom Kultury</t>
  </si>
  <si>
    <t>ul. Centralna 6</t>
  </si>
  <si>
    <t>24-310 Karczmiska Pierwsze</t>
  </si>
  <si>
    <t>Kazimierz Dolny</t>
  </si>
  <si>
    <t>Kłoczew</t>
  </si>
  <si>
    <t>Komarówka Podlaska</t>
  </si>
  <si>
    <t>Konstantynów</t>
  </si>
  <si>
    <t>Korytków Duży</t>
  </si>
  <si>
    <t>Gminna Biblioteka Publiczna w Biłgoraju z/s w Soli – Filia w Korytkowie Dużym</t>
  </si>
  <si>
    <t>Krasnystaw</t>
  </si>
  <si>
    <t>Miejska Biblioteka Publiczna w Krasnymstawie Biblioteka Aresztu Śledczego</t>
  </si>
  <si>
    <t>ul. Poniatowskiego 27</t>
  </si>
  <si>
    <t>22-300 Krasnystaw</t>
  </si>
  <si>
    <t>ul. Piłsudskiego 5a</t>
  </si>
  <si>
    <t>Kraśnik</t>
  </si>
  <si>
    <t>DKK „Książkowy molik” dla dzieci</t>
  </si>
  <si>
    <t>DKK „Czytaczek” dla dzieci</t>
  </si>
  <si>
    <t>Miejska Biblioteka Publiczna – Filia nr 1</t>
  </si>
  <si>
    <t>ul. Księdza Stanisława Zielińskiego 3</t>
  </si>
  <si>
    <t>23-204 Kraśnik</t>
  </si>
  <si>
    <t>Krzesimów</t>
  </si>
  <si>
    <t>21-007 Mełgiew</t>
  </si>
  <si>
    <t>Lisów</t>
  </si>
  <si>
    <t>Lubartów</t>
  </si>
  <si>
    <t>ul. Szaniawskiego 64</t>
  </si>
  <si>
    <t>21-100 Lubartów</t>
  </si>
  <si>
    <t>Wojewódzka Biblioteka Publiczna im. Hieronima Łopacińskiego</t>
  </si>
  <si>
    <t>ul. Żołnierzy Niepodległej 1</t>
  </si>
  <si>
    <t>20-078 Lublin</t>
  </si>
  <si>
    <t>Ludwin</t>
  </si>
  <si>
    <t>Łaziska</t>
  </si>
  <si>
    <t>Łęczna</t>
  </si>
  <si>
    <t>Miejsko-Gminna Biblioteka Publiczna – Filia nr 2</t>
  </si>
  <si>
    <t>DKK „Pod różą” dla dorosłych</t>
  </si>
  <si>
    <t>Łopiennik Górny</t>
  </si>
  <si>
    <t>Łuków</t>
  </si>
  <si>
    <t>Mełgiew</t>
  </si>
  <si>
    <t>Michów</t>
  </si>
  <si>
    <t>Międzyrzec Podlaski</t>
  </si>
  <si>
    <t>ul. Warszawska 37</t>
  </si>
  <si>
    <t>21-560 Międzyrzec Podlaski</t>
  </si>
  <si>
    <t>Milejów</t>
  </si>
  <si>
    <t>Modliborzyce</t>
  </si>
  <si>
    <t>Biblioteka u Kazimierza. Miejsko-Gminna Biblioteka Publiczna</t>
  </si>
  <si>
    <t>ul. Piłsudskiego 63b</t>
  </si>
  <si>
    <t>23-310 Modliborzyce</t>
  </si>
  <si>
    <t>Mokre</t>
  </si>
  <si>
    <t>Nałęczów</t>
  </si>
  <si>
    <t>Niedrzwica Duża</t>
  </si>
  <si>
    <t>Niemce</t>
  </si>
  <si>
    <t>ul. Lubelska 182</t>
  </si>
  <si>
    <t>21-025 Niemce</t>
  </si>
  <si>
    <t>Opole Lubelskie</t>
  </si>
  <si>
    <t>Opolskie Centrum Kultury Miejsko Gminna Biblioteka Publiczna</t>
  </si>
  <si>
    <t>Ostrówek</t>
  </si>
  <si>
    <t>DKK „Wretil” dla dorosłych</t>
  </si>
  <si>
    <t>Piaski</t>
  </si>
  <si>
    <t>Poniatowa</t>
  </si>
  <si>
    <t>Radzyń Podlaski</t>
  </si>
  <si>
    <t>Szkolna Biblioteka Zespołu Szkół Ponadgimnazjalnych</t>
  </si>
  <si>
    <t>ul. Sikorskiego 15</t>
  </si>
  <si>
    <t>21-300 Radzyń Podlaski</t>
  </si>
  <si>
    <t>Rejowiec Fabryczny</t>
  </si>
  <si>
    <t>Ruda-Huta</t>
  </si>
  <si>
    <t>Ryki</t>
  </si>
  <si>
    <t>Sól</t>
  </si>
  <si>
    <t>DKK dziecięco-młodzieżowy Stare Kobiałki</t>
  </si>
  <si>
    <t>21-450 Stoczek Łukowski</t>
  </si>
  <si>
    <t>Stary Brus</t>
  </si>
  <si>
    <t>Gminna Biblioteka Publiczna w Starym Brusie</t>
  </si>
  <si>
    <t>Stary Brus 86</t>
  </si>
  <si>
    <t>22-244 Stary Brus</t>
  </si>
  <si>
    <t>Stojeszyn Pierwszy</t>
  </si>
  <si>
    <t>Świdnik</t>
  </si>
  <si>
    <t>ul. Niepodległości 13</t>
  </si>
  <si>
    <t>21-040 Świdnik</t>
  </si>
  <si>
    <t>Tarnogród</t>
  </si>
  <si>
    <t>DKK "Oczytani" dziecięco-młodzieżowy</t>
  </si>
  <si>
    <t>Tłuściec</t>
  </si>
  <si>
    <t>21-560 Tłuściec</t>
  </si>
  <si>
    <t>Tomaszów Lubelski</t>
  </si>
  <si>
    <t>Trzciniec</t>
  </si>
  <si>
    <t>Gminna Biblioteka Publiczna w Lubartowie – Filia w Trzcińcu</t>
  </si>
  <si>
    <t>Trzydnik Duży</t>
  </si>
  <si>
    <t>Tyszowce</t>
  </si>
  <si>
    <t>Urszulin</t>
  </si>
  <si>
    <t>Wilczopole</t>
  </si>
  <si>
    <t>Biblioteka – Centrum Kultury Gminy Głusk z/s w Dominowie – Filia w Wilczopolu</t>
  </si>
  <si>
    <t>Wilczopole Kolonia 161a</t>
  </si>
  <si>
    <t>20-388 Lublin</t>
  </si>
  <si>
    <t>DKK „Wesołe Literki” dla dzieci</t>
  </si>
  <si>
    <t>Włodawa</t>
  </si>
  <si>
    <t>Wola Uhruska</t>
  </si>
  <si>
    <t>Gminna Biblioteka Publiczna w Woli Uhruskiej</t>
  </si>
  <si>
    <t>ul. Parkowa 5</t>
  </si>
  <si>
    <t>22-230 Wola Uhruska</t>
  </si>
  <si>
    <t>Wolica Pierwsza</t>
  </si>
  <si>
    <t>Biblioteka u Kazimierza. Miejsko-Gminna Biblioteka Publiczna – Filia w Wolicy Pierwszej</t>
  </si>
  <si>
    <t>Wyryki</t>
  </si>
  <si>
    <t>Wysokie</t>
  </si>
  <si>
    <t>Gminna Biblioteka Publiczna w Międzyrzecu Podlaskim z/s w Wysokim</t>
  </si>
  <si>
    <t>ul. Rudnicka 36</t>
  </si>
  <si>
    <t>Zamość</t>
  </si>
  <si>
    <t>Zezulin</t>
  </si>
  <si>
    <t>Lublin</t>
  </si>
  <si>
    <t>Aneta Rudzińska</t>
  </si>
  <si>
    <t>25 755 31 47</t>
  </si>
  <si>
    <t>Justyna Bździuch</t>
  </si>
  <si>
    <t>84 687 50 03</t>
  </si>
  <si>
    <t>23-408 Aleksandrów</t>
  </si>
  <si>
    <t>Aleksandrów Trzeci 554</t>
  </si>
  <si>
    <t>Anna Zaręba, Agnieszka Matwiej</t>
  </si>
  <si>
    <t>15 861 31 61</t>
  </si>
  <si>
    <t>23-235 Annopol</t>
  </si>
  <si>
    <t>ul. Rynek 1</t>
  </si>
  <si>
    <t>Agnieszka Zasada</t>
  </si>
  <si>
    <t>81 517 23 05</t>
  </si>
  <si>
    <t>24-200 Bełżyce</t>
  </si>
  <si>
    <t>ul. Tysiąclecia 26</t>
  </si>
  <si>
    <t>Maciej Szupiluk</t>
  </si>
  <si>
    <t>83 341 64 54</t>
  </si>
  <si>
    <t>21-500 Biała Podlaska</t>
  </si>
  <si>
    <t>ul. Warszawska 12A</t>
  </si>
  <si>
    <t>83 341 64 53</t>
  </si>
  <si>
    <t>ul. Warszawska 12C</t>
  </si>
  <si>
    <t>Miejska Biblioteka Publiczna Barwna Multimedialna Biblioteka dla Dzieci i Młodzieży</t>
  </si>
  <si>
    <t>84 686 27 21</t>
  </si>
  <si>
    <t>Ewa Szabat</t>
  </si>
  <si>
    <t>84 685 60 67</t>
  </si>
  <si>
    <t>23-425 Biszcza</t>
  </si>
  <si>
    <t>Anna Pietuch</t>
  </si>
  <si>
    <t>chbp@interia.pl</t>
  </si>
  <si>
    <t>82 563 95 92</t>
  </si>
  <si>
    <t>22-100 Chełm</t>
  </si>
  <si>
    <t>ul. Partyzantów 40</t>
  </si>
  <si>
    <t>Chełmska Biblioteka Publiczna</t>
  </si>
  <si>
    <t>Agata Szewczuk</t>
  </si>
  <si>
    <t>Ewa Matuła</t>
  </si>
  <si>
    <t>82 567 70 97</t>
  </si>
  <si>
    <t>Lucyna Bielak</t>
  </si>
  <si>
    <t>504 129 815</t>
  </si>
  <si>
    <t>Dąbrowica 138 a</t>
  </si>
  <si>
    <t>Gminna Biblioteka Publiczna w Biłgoraju z/s w Soli – Filia w Dąbrowicy</t>
  </si>
  <si>
    <t>Dorota Sienkiewicz</t>
  </si>
  <si>
    <t>81 883 00 69</t>
  </si>
  <si>
    <t>Jadwiga Ochal</t>
  </si>
  <si>
    <t>81 885 933 300</t>
  </si>
  <si>
    <t>ul. Krasickiego 148</t>
  </si>
  <si>
    <t>Miejska Biblioteka Publiczna – Filia Masów</t>
  </si>
  <si>
    <t>Dorota Ścibior</t>
  </si>
  <si>
    <t>81 883 09 66</t>
  </si>
  <si>
    <t>ul. Wiślana 7</t>
  </si>
  <si>
    <t>Miejska Biblioteka Publiczna – Filia Wiślana</t>
  </si>
  <si>
    <t>Magdalena Pepa</t>
  </si>
  <si>
    <t>83 372 00 38</t>
  </si>
  <si>
    <t>21-570 Drelów</t>
  </si>
  <si>
    <t>ul. Ogrodowa 2</t>
  </si>
  <si>
    <t>Gminna Biblioteka Publiczna w Drelowie</t>
  </si>
  <si>
    <t>Agnieszka Jaskowska</t>
  </si>
  <si>
    <t>15 871 14 55</t>
  </si>
  <si>
    <t>23-302 Godziszów</t>
  </si>
  <si>
    <t>Godziszów Trzeci 123A/2</t>
  </si>
  <si>
    <t>Iwona Paszko</t>
  </si>
  <si>
    <t>84 685 80 85</t>
  </si>
  <si>
    <t>23-450 Goraj</t>
  </si>
  <si>
    <t>Zofia Małek</t>
  </si>
  <si>
    <t>81 880 56 08</t>
  </si>
  <si>
    <t>24-100 Góra Puławska</t>
  </si>
  <si>
    <t>ul. Ogrodowa 18</t>
  </si>
  <si>
    <t>Gminna Biblioteka Publiczna w Puławach z/s w Górze Puławskiej</t>
  </si>
  <si>
    <t>Marta Ponikowska</t>
  </si>
  <si>
    <t>25 798 15 26</t>
  </si>
  <si>
    <t>21-400 Łuków</t>
  </si>
  <si>
    <t>Wioletta Wójtowicz-Wicińska</t>
  </si>
  <si>
    <t>82 571 42 10</t>
  </si>
  <si>
    <t>22-235 Hańsk</t>
  </si>
  <si>
    <t>ul. Osiedlowa 6</t>
  </si>
  <si>
    <t>Gminny Ośrodek Kultury Biblioteka Publiczna Gminy Hańsk</t>
  </si>
  <si>
    <t>Agnieszka Wróbel</t>
  </si>
  <si>
    <t>Jolanta Janiec</t>
  </si>
  <si>
    <t>84 696 30 47</t>
  </si>
  <si>
    <t>22-500 Hrubieszów</t>
  </si>
  <si>
    <t>ul. 3 Maja 7</t>
  </si>
  <si>
    <t>Edyta Majewska</t>
  </si>
  <si>
    <t>81 561 00 46</t>
  </si>
  <si>
    <t>23-114 Jabłonna</t>
  </si>
  <si>
    <t>Anna Kaciuczyk</t>
  </si>
  <si>
    <t>83 356 00 48</t>
  </si>
  <si>
    <t>21-205 Jabłoń</t>
  </si>
  <si>
    <t>ul. Jadwigi Tokarskiej 2/3</t>
  </si>
  <si>
    <t>15 872 46 81</t>
  </si>
  <si>
    <t>23-300 Janów Lubelski</t>
  </si>
  <si>
    <t>ul. Ogrodowa 16</t>
  </si>
  <si>
    <t>Małgorzata Szabelska</t>
  </si>
  <si>
    <t>81 857 83 16</t>
  </si>
  <si>
    <t>21-146 Jeziorzany</t>
  </si>
  <si>
    <t>ul. Rynek 28</t>
  </si>
  <si>
    <t>Elżbieta Jamroz</t>
  </si>
  <si>
    <t>84 687 82 89</t>
  </si>
  <si>
    <t>23-460 Józefów k/Biłgoraja</t>
  </si>
  <si>
    <t>ul. Krótka 10</t>
  </si>
  <si>
    <t>Ewa Nowaczek</t>
  </si>
  <si>
    <t>81 828 70 69</t>
  </si>
  <si>
    <t>Anna Piłat</t>
  </si>
  <si>
    <t>81 881 03 05</t>
  </si>
  <si>
    <t>24-120 Kazimierz Dolny</t>
  </si>
  <si>
    <t>ul. Lubelska 32/34</t>
  </si>
  <si>
    <t>Kazimierski Ośrodek Kultury Promocji i Turystyki – Biblioteka Publiczna</t>
  </si>
  <si>
    <t>Anna Popiołek</t>
  </si>
  <si>
    <t>25 751 16 85</t>
  </si>
  <si>
    <t>08-550 Kłoczew</t>
  </si>
  <si>
    <t>ul. Klonowa 2</t>
  </si>
  <si>
    <t>Barbara Zalewska</t>
  </si>
  <si>
    <t>83 353 50 14</t>
  </si>
  <si>
    <t>21-311 Komarówka Podlaska</t>
  </si>
  <si>
    <t>Beata Łyczewska</t>
  </si>
  <si>
    <t>83 341 50 89</t>
  </si>
  <si>
    <t>21-543 Konstantynów</t>
  </si>
  <si>
    <t>ul. Piłsudskiego 4</t>
  </si>
  <si>
    <t>Zofia Karczmarzyk</t>
  </si>
  <si>
    <t>663 814 706</t>
  </si>
  <si>
    <t>Korytków Duży 118</t>
  </si>
  <si>
    <t>Elżbieta Borzęcka</t>
  </si>
  <si>
    <t>82 576 30 16</t>
  </si>
  <si>
    <t>ul. Okrzei 23</t>
  </si>
  <si>
    <t>82 575 61 35</t>
  </si>
  <si>
    <t>Sylwia Bis, Katarzyna Ochocka</t>
  </si>
  <si>
    <t>81 884 34 70</t>
  </si>
  <si>
    <t>23-200 Kraśnik</t>
  </si>
  <si>
    <t>ul. Koszarowa 10 A</t>
  </si>
  <si>
    <t>Katarzyna Sudół</t>
  </si>
  <si>
    <t>81 825 82 71</t>
  </si>
  <si>
    <t>Irena Bykowska, Karolina Toporek</t>
  </si>
  <si>
    <t>Joanna Bochniarz</t>
  </si>
  <si>
    <t>500 653 075</t>
  </si>
  <si>
    <t>Krzesimów 116</t>
  </si>
  <si>
    <t>Gminna Biblioteka Publiczna w Mełgwi – Filia w Krzesimowie</t>
  </si>
  <si>
    <t>Barbara Orłowska</t>
  </si>
  <si>
    <t>81 855 28 09</t>
  </si>
  <si>
    <t>Lisów 32 B</t>
  </si>
  <si>
    <t>Gminna Biblioteka Publiczna w Lubartowie – Filia w Lisowie</t>
  </si>
  <si>
    <t>Ariadna Ewa Zalewska</t>
  </si>
  <si>
    <t>81 854 39 41</t>
  </si>
  <si>
    <t>Łukasz Jóźwiak</t>
  </si>
  <si>
    <t>81 528 74 00</t>
  </si>
  <si>
    <t>20-950 Lublin</t>
  </si>
  <si>
    <t>ul. Narutowicza 4</t>
  </si>
  <si>
    <t>Lublin Wojewódzka Biblioteka Publiczna im. Hieronima Łopacińskiego</t>
  </si>
  <si>
    <t>DKK MKS Perła Lublin dla dorosłych</t>
  </si>
  <si>
    <t>Grzegorz Winnicki</t>
  </si>
  <si>
    <t>81 528 74 21</t>
  </si>
  <si>
    <t>261 182 054</t>
  </si>
  <si>
    <t>20-029 Lublin</t>
  </si>
  <si>
    <t>ul. Żwirki i Wigury 6</t>
  </si>
  <si>
    <t>Biblioteka Klubu 19. Brygady Zmechanizowanej</t>
  </si>
  <si>
    <t>Urszula Rybak</t>
  </si>
  <si>
    <t>Elżbieta Kuczyńska</t>
  </si>
  <si>
    <t>81 757 00 87</t>
  </si>
  <si>
    <t>21-075 Ludwin</t>
  </si>
  <si>
    <t>Ludwin 52</t>
  </si>
  <si>
    <t>Krystyna Piekarczyk</t>
  </si>
  <si>
    <t>81 828 90 12</t>
  </si>
  <si>
    <t>24-335 Łaziska</t>
  </si>
  <si>
    <t>Łaziska 61</t>
  </si>
  <si>
    <t>81 752 32 52</t>
  </si>
  <si>
    <t>21- 010 Łęczna</t>
  </si>
  <si>
    <t>Krystyna Skoczylas</t>
  </si>
  <si>
    <t>81 462 93 13</t>
  </si>
  <si>
    <t>21-010 Łęczna</t>
  </si>
  <si>
    <t>ul. Obrońców Pokoju 1</t>
  </si>
  <si>
    <t>Urszula Chemicz; Grażyna Skrzypa</t>
  </si>
  <si>
    <t>82 577 31 22</t>
  </si>
  <si>
    <t>22-351 Łopiennik Górny</t>
  </si>
  <si>
    <t>Łopiennik Górny 1c</t>
  </si>
  <si>
    <t>Biblioteka Publiczna Gminy Łopiennik Górny</t>
  </si>
  <si>
    <t>Iwona Domańska</t>
  </si>
  <si>
    <t>25 798 27 21</t>
  </si>
  <si>
    <t>ul. Kardynała Stefana Wyszyńskiego 24</t>
  </si>
  <si>
    <t>Urszula Kowalczyk</t>
  </si>
  <si>
    <t>81 460 57 60</t>
  </si>
  <si>
    <t>ul. Partyzancka 2</t>
  </si>
  <si>
    <t>Jadwiga Kruczek</t>
  </si>
  <si>
    <t>81 856 62 57</t>
  </si>
  <si>
    <t>21-140 Michów</t>
  </si>
  <si>
    <t>ul. Strażacka 1</t>
  </si>
  <si>
    <t>Magdalena Karwowska</t>
  </si>
  <si>
    <t>83 371 27 03</t>
  </si>
  <si>
    <t>Natalia Kowalska-Sykterz</t>
  </si>
  <si>
    <t>Mariola Matyjaszczyk</t>
  </si>
  <si>
    <t>81 757 40 40</t>
  </si>
  <si>
    <t>21-020 Milejów</t>
  </si>
  <si>
    <t>ul. Fabryczna 1</t>
  </si>
  <si>
    <t>Marta Frączek; Katarzyna Pyć</t>
  </si>
  <si>
    <t>15 871 51 03</t>
  </si>
  <si>
    <t>Elżbieta Stankiewicz</t>
  </si>
  <si>
    <t>84 616 65 64</t>
  </si>
  <si>
    <t>22-400 Zamość</t>
  </si>
  <si>
    <t>Mokre 116</t>
  </si>
  <si>
    <t>Biblioteka Publiczna Gminy Zamość z/s w Mokrem</t>
  </si>
  <si>
    <t>Katarzyna Wójcik</t>
  </si>
  <si>
    <t>81 501 42 98</t>
  </si>
  <si>
    <t>24-140 Nałęczów</t>
  </si>
  <si>
    <t>ul. Lipowa 6</t>
  </si>
  <si>
    <t>Marzena Boryga</t>
  </si>
  <si>
    <t>81 517 53 17</t>
  </si>
  <si>
    <t>24-220 Niedrzwica Duża</t>
  </si>
  <si>
    <t>ul. Kraśnicka 53</t>
  </si>
  <si>
    <t>Marcin Chowicki</t>
  </si>
  <si>
    <t>81 756 16 37</t>
  </si>
  <si>
    <t>Wioleta Bucior</t>
  </si>
  <si>
    <t>81 827 21 85</t>
  </si>
  <si>
    <t>24-300 Opole Lubelskie</t>
  </si>
  <si>
    <t>ul. Długa 17</t>
  </si>
  <si>
    <t>Ewa Sobijanek</t>
  </si>
  <si>
    <t>784 787 612</t>
  </si>
  <si>
    <t>ek-Kolonia</t>
  </si>
  <si>
    <t>Ostrówek 5721-102 Ostrów</t>
  </si>
  <si>
    <t>Marzena Łaniak</t>
  </si>
  <si>
    <t>81 582 11 67</t>
  </si>
  <si>
    <t>21-050 Piaski</t>
  </si>
  <si>
    <t>ul. Lubelska 22</t>
  </si>
  <si>
    <t>Teresa Kramek</t>
  </si>
  <si>
    <t>81 820 40 77</t>
  </si>
  <si>
    <t>24-320 Poniatowa</t>
  </si>
  <si>
    <t>Beata Górna</t>
  </si>
  <si>
    <t>83 352 70 01</t>
  </si>
  <si>
    <t>ul. Armii Krajowej 5</t>
  </si>
  <si>
    <t>Małgorzata Grochowska</t>
  </si>
  <si>
    <t>83 352 70 03</t>
  </si>
  <si>
    <t>Edyta Oworuszko</t>
  </si>
  <si>
    <t>Ewelina Wierzchowska</t>
  </si>
  <si>
    <t>83 352 73 32</t>
  </si>
  <si>
    <t>Elżbieta Świderczuk</t>
  </si>
  <si>
    <t>82 566 42 65</t>
  </si>
  <si>
    <t>22-170 Rejowiec Fabryczny</t>
  </si>
  <si>
    <t>ul. Wschodnia 32a</t>
  </si>
  <si>
    <t>Marta Kordas</t>
  </si>
  <si>
    <t>82 568 60 71</t>
  </si>
  <si>
    <t>da-Huta</t>
  </si>
  <si>
    <t>ul. Niepodległości 36 22-110 Ru</t>
  </si>
  <si>
    <t>Biblioteka Publiczna Gminy Ruda-Huta</t>
  </si>
  <si>
    <t>Justyna Wojtaś</t>
  </si>
  <si>
    <t>81 865 23 45</t>
  </si>
  <si>
    <t>08-500 Ryki</t>
  </si>
  <si>
    <t>ul. Słowackiego 1</t>
  </si>
  <si>
    <t>Małgorzata Andrzejewska</t>
  </si>
  <si>
    <t>84 687 04 80</t>
  </si>
  <si>
    <t>Sól 87</t>
  </si>
  <si>
    <t>Gminna Biblioteka Publiczna w Biłgoraju z/s w Soli</t>
  </si>
  <si>
    <t>Longin Kajka</t>
  </si>
  <si>
    <t>25 797 41 98</t>
  </si>
  <si>
    <t>Bożena Trubaj</t>
  </si>
  <si>
    <t>82 591 21 09</t>
  </si>
  <si>
    <t>Adela Czerska</t>
  </si>
  <si>
    <t>81 866 30 37</t>
  </si>
  <si>
    <t>08-540 Stężyca</t>
  </si>
  <si>
    <t>ul. Królewska 4</t>
  </si>
  <si>
    <t>Alfreda Gierłach</t>
  </si>
  <si>
    <t>Dorota Cioczek</t>
  </si>
  <si>
    <t>506 024 857</t>
  </si>
  <si>
    <t>Joanna Makuszewska</t>
  </si>
  <si>
    <t>Anna Wiśniewska, Urszula Cygan</t>
  </si>
  <si>
    <t>81 710 25 44</t>
  </si>
  <si>
    <t>ul. Armii Krajowej 3</t>
  </si>
  <si>
    <t>Biblioteka Szkoły Podstawowej nr 7</t>
  </si>
  <si>
    <t>Joanna Puchacz</t>
  </si>
  <si>
    <t>84 689 72 98</t>
  </si>
  <si>
    <t>23-420 Tarnogród</t>
  </si>
  <si>
    <t>Elżbieta Baj</t>
  </si>
  <si>
    <t>515 757 154</t>
  </si>
  <si>
    <t>Tłuściec 61</t>
  </si>
  <si>
    <t>Gminna Biblioteka Publiczna w Międzyrzecu Podlaskim z/s w Wysokim – Filia w Tłuśćcu</t>
  </si>
  <si>
    <t>84 664 30 53</t>
  </si>
  <si>
    <t>22-600 Tomaszów Lubelski</t>
  </si>
  <si>
    <t>ul. Zamojska 2</t>
  </si>
  <si>
    <t>Katarzyna Włoch</t>
  </si>
  <si>
    <t>81 855 50 40</t>
  </si>
  <si>
    <t>Trzciniec 115</t>
  </si>
  <si>
    <t>Dorota Laskowska</t>
  </si>
  <si>
    <t>15 842 00 53</t>
  </si>
  <si>
    <t>23-230 Trzydnik Duży</t>
  </si>
  <si>
    <t>Trzydnik Duży 58</t>
  </si>
  <si>
    <t>Wanda Grzeszczuk</t>
  </si>
  <si>
    <t>84 661 93 77</t>
  </si>
  <si>
    <t>22-630 Tyszowce</t>
  </si>
  <si>
    <t>ul. Hetmańska 11</t>
  </si>
  <si>
    <t>Monika Kędzierska</t>
  </si>
  <si>
    <t>510 826 424</t>
  </si>
  <si>
    <t>22-234 Urszulin</t>
  </si>
  <si>
    <t>ul. Lubelska 31</t>
  </si>
  <si>
    <t>Aneta Sołtysiak</t>
  </si>
  <si>
    <t>81 759 80 22</t>
  </si>
  <si>
    <t>DKK „Pasja” dla dorosłych</t>
  </si>
  <si>
    <t>Ewa Krukowska</t>
  </si>
  <si>
    <t>82 572 11 03</t>
  </si>
  <si>
    <t>22-200 Włodawa</t>
  </si>
  <si>
    <t>ul. Przechodnia 13</t>
  </si>
  <si>
    <t>Joanna Orzeszko</t>
  </si>
  <si>
    <t>Małgorzata Topolska</t>
  </si>
  <si>
    <t>Monika Urbańska-Nazaruk</t>
  </si>
  <si>
    <t>ul. Żołnierzy WIN 19</t>
  </si>
  <si>
    <t>Miejska Biblioteka Publiczna Zakład Karny we Włodawie</t>
  </si>
  <si>
    <t>Ewa Grum</t>
  </si>
  <si>
    <t>82 591 50 71</t>
  </si>
  <si>
    <t>Jadwiga Piech</t>
  </si>
  <si>
    <t>505 108 212</t>
  </si>
  <si>
    <t>Wolica Pierwsza 32</t>
  </si>
  <si>
    <t>Hanna Czelej</t>
  </si>
  <si>
    <t>508 199 120</t>
  </si>
  <si>
    <t>22-205 Wyryki</t>
  </si>
  <si>
    <t>Wyryki Połód 201</t>
  </si>
  <si>
    <t>Katarzyna Szymona</t>
  </si>
  <si>
    <t>516 474 084</t>
  </si>
  <si>
    <t>Anetta Sienkiewicz</t>
  </si>
  <si>
    <t>84 638 49 39</t>
  </si>
  <si>
    <t>ul. Sienkiewicza 5</t>
  </si>
  <si>
    <t>Biblioteka Pedagogiczna w Zamościu</t>
  </si>
  <si>
    <t>Gminny Ośrodek Kultury Sportu i Rekreacji Gminna Biblioteka Publiczna</t>
  </si>
  <si>
    <t>Drelów</t>
  </si>
  <si>
    <t>Goraj</t>
  </si>
  <si>
    <t xml:space="preserve"> Gręzówka</t>
  </si>
  <si>
    <t>Jabłonna</t>
  </si>
  <si>
    <t>Pedagogiczna Biblioteka Wojewódzka</t>
  </si>
  <si>
    <t>Miejski Ośrodek Kultury „Dworek” Miejska Biblioteka Publiczna</t>
  </si>
  <si>
    <t>Gminny Ośrodek Kultury Biblioteka Publiczna</t>
  </si>
  <si>
    <t>DKK „Księgołap” dla młodzieży</t>
  </si>
  <si>
    <t>Czesława Pietruk</t>
  </si>
  <si>
    <t>Krystyna Nowicka</t>
  </si>
  <si>
    <t>83 34164 46</t>
  </si>
  <si>
    <t>ul. Orzechowa 34</t>
  </si>
  <si>
    <t>Dorota Maksymiuk</t>
  </si>
  <si>
    <t>Alicja Janik-Feduń</t>
  </si>
  <si>
    <t>84 686 06 77</t>
  </si>
  <si>
    <t>ul. Kościuszki 41</t>
  </si>
  <si>
    <t>Miejska i Powiatowa Biblioteka Publiczna – Filia nr 1</t>
  </si>
  <si>
    <t>Biszcza 50</t>
  </si>
  <si>
    <t>Gręzówka 38</t>
  </si>
  <si>
    <t>Gminna Biblioteka Publiczna w Łukowie - Filia w Gręzówce</t>
  </si>
  <si>
    <t>DKK „Lekturynki” dziecięco-młodzieżowy</t>
  </si>
  <si>
    <t>Joanna Raczyńska</t>
  </si>
  <si>
    <t>84 696 26 39</t>
  </si>
  <si>
    <t>ul. Ciesielczuka 1</t>
  </si>
  <si>
    <t>Biblioteka Pedagogiczna w Zamościu – Filia w Hrubieszowie</t>
  </si>
  <si>
    <t>Jabłonna Majątek 17</t>
  </si>
  <si>
    <t>Edyta Prystańska</t>
  </si>
  <si>
    <t>Justyna Jakubiec</t>
  </si>
  <si>
    <t>Joanna Maleszyk</t>
  </si>
  <si>
    <t>Dorota Korkosz</t>
  </si>
  <si>
    <t>82 576 25 09</t>
  </si>
  <si>
    <t>Katarzyna Floryszek-Jacuniak</t>
  </si>
  <si>
    <t>Katarzyna Kapek</t>
  </si>
  <si>
    <t>81 532 80 49</t>
  </si>
  <si>
    <t>Magdalena Pastuszak-Puchalska</t>
  </si>
  <si>
    <t>Barbara Wójcik</t>
  </si>
  <si>
    <t>81 752 02 04</t>
  </si>
  <si>
    <t>ul. Bożniczna 21</t>
  </si>
  <si>
    <t>83 352 90 04</t>
  </si>
  <si>
    <t>ul. Spółdzielcza 8</t>
  </si>
  <si>
    <t>Elżbieta Topyła</t>
  </si>
  <si>
    <t>15 871 54 10</t>
  </si>
  <si>
    <t>Stojeszyn Pierwszy 44b</t>
  </si>
  <si>
    <t>Biblioteka u Kazimierza. Miejsko-Gminna Biblioteka Publiczna – Filia w Stojeszynie Pierwszym</t>
  </si>
  <si>
    <t>Alicja Stojko</t>
  </si>
  <si>
    <t>Sylwia Nowosad-Świderek</t>
  </si>
  <si>
    <t>Żaneta Tryk</t>
  </si>
  <si>
    <t>Zezulin Niższy 70a</t>
  </si>
  <si>
    <t>Gminna Biblioteka Publiczna w Ludwinie – Filia w Zezulinie</t>
  </si>
  <si>
    <t>Gminny Ośrodek Kultury Gminna Biblioteka Publiczna</t>
  </si>
  <si>
    <t>81 747 10 23</t>
  </si>
  <si>
    <t>20-243 Lublin</t>
  </si>
  <si>
    <t>ul. Kleeberga 12 a</t>
  </si>
  <si>
    <t>Miejska Biblioteka Publiczna im. Hieronima Łopacińskiego – Filia nr 10</t>
  </si>
  <si>
    <t>Róża Wawer</t>
  </si>
  <si>
    <t>81 741 52 73</t>
  </si>
  <si>
    <t>20-853 Lublin</t>
  </si>
  <si>
    <t>ul. Żelazowej Woli 7</t>
  </si>
  <si>
    <t>Miejska Biblioteka Publiczna im. Hieronima Łopacińskiego – Filia nr 12</t>
  </si>
  <si>
    <t>Karolina Fidler-Niemczuk</t>
  </si>
  <si>
    <t>84 62 711 54 w.27</t>
  </si>
  <si>
    <t>ul. Kamienna 20</t>
  </si>
  <si>
    <t>Książnica Zamojska</t>
  </si>
  <si>
    <t>Aleksandrów Łódzki</t>
  </si>
  <si>
    <t>Biblioteka Publiczna w Aleksandrowie Łódzkim</t>
  </si>
  <si>
    <t>Biała</t>
  </si>
  <si>
    <t>Gminna Biblioteka Publiczna w Rząśni – FB w Białej</t>
  </si>
  <si>
    <t>Biała Rawska</t>
  </si>
  <si>
    <t>Bolimów</t>
  </si>
  <si>
    <t>Czarnożyły</t>
  </si>
  <si>
    <t>Czarnożyły 48 a</t>
  </si>
  <si>
    <t>98-310 Czarnożyły</t>
  </si>
  <si>
    <t>Działoszyn</t>
  </si>
  <si>
    <t>Powiatowa Biblioteka Publiczna w Działoszynie</t>
  </si>
  <si>
    <t>ul. Zamkowa 22</t>
  </si>
  <si>
    <t>98-355 Działoszyn</t>
  </si>
  <si>
    <t>Biblioteka Publiczna Miasta i Gminy Działoszyn</t>
  </si>
  <si>
    <t>Głowno</t>
  </si>
  <si>
    <t>Miejska Biblioteka Publiczna w Głownie</t>
  </si>
  <si>
    <t>ul. Kopernika 45</t>
  </si>
  <si>
    <t>95-015 Głowno</t>
  </si>
  <si>
    <t>Kleszczów</t>
  </si>
  <si>
    <t>Gminna Biblioteka Publiczna w Kleszczowie</t>
  </si>
  <si>
    <t>ul. Sportowa 8</t>
  </si>
  <si>
    <t>97-410 Kleszczów</t>
  </si>
  <si>
    <t>Klonowa</t>
  </si>
  <si>
    <t>Kodrań</t>
  </si>
  <si>
    <t>Konstantynów Łódzki</t>
  </si>
  <si>
    <t>Kowiesy</t>
  </si>
  <si>
    <t>Ksawerów</t>
  </si>
  <si>
    <t>Gminny Dom Kultury z Biblioteką w Ksawerowie</t>
  </si>
  <si>
    <t>Kutno</t>
  </si>
  <si>
    <t>Łask</t>
  </si>
  <si>
    <t>Łęczyca</t>
  </si>
  <si>
    <t>Lgota Wielka</t>
  </si>
  <si>
    <t>Łódź</t>
  </si>
  <si>
    <t>Biblioteka Miejska w Łodzi – FB nr 64</t>
  </si>
  <si>
    <t>Biblioteka Miejska w Łodzi – FB nr 72</t>
  </si>
  <si>
    <t>Lutomiersk</t>
  </si>
  <si>
    <t>Łowicz</t>
  </si>
  <si>
    <t>Maków</t>
  </si>
  <si>
    <t>Naramice</t>
  </si>
  <si>
    <t>Gminna Biblioteka Publiczna w Białej – Filia Publiczno-Szkolna w Naramicach</t>
  </si>
  <si>
    <t>Opoczno</t>
  </si>
  <si>
    <t>Osjaków</t>
  </si>
  <si>
    <t>Gminna Biblioteka Publiczna w Osjakowie</t>
  </si>
  <si>
    <t>ul. Częstochowska 22</t>
  </si>
  <si>
    <t>98-320 Osjaków</t>
  </si>
  <si>
    <t>Ozorków</t>
  </si>
  <si>
    <t>Pabianice</t>
  </si>
  <si>
    <t>Miejska Biblioteka Publiczna w Pabianicach – FB nr 2</t>
  </si>
  <si>
    <t>DKK dla dorosłych osób niepełnosprawnych</t>
  </si>
  <si>
    <t>ul. Łaska 46/48</t>
  </si>
  <si>
    <t>Miejska Biblioteka Publiczna w Pabianicach – FB nr 4</t>
  </si>
  <si>
    <t>Miejska Biblioteka Publiczna w Pabianicach – FB nr 5</t>
  </si>
  <si>
    <t>ul. św. Jana 10</t>
  </si>
  <si>
    <t>Pajęczno</t>
  </si>
  <si>
    <t>Biblioteka Publiczna Gminy i Miasta Pajęczno</t>
  </si>
  <si>
    <t>ul. Wiśniowa 5</t>
  </si>
  <si>
    <t>99-330 Pajęczno</t>
  </si>
  <si>
    <t>Piątek</t>
  </si>
  <si>
    <t>Piotrków Trybunalski</t>
  </si>
  <si>
    <t>DKK w Areszcie Śledczym</t>
  </si>
  <si>
    <t>Radomsko</t>
  </si>
  <si>
    <t>Miejska Biblioteka Publiczna w Radomsku – FB nr 1</t>
  </si>
  <si>
    <t>ul. Batorego 3</t>
  </si>
  <si>
    <t>97-500 Radomsko</t>
  </si>
  <si>
    <t>Miejska Biblioteka Publiczna w Radomsku</t>
  </si>
  <si>
    <t>Rawa Mazowiecka</t>
  </si>
  <si>
    <t>Rząśnia</t>
  </si>
  <si>
    <t>Sędziejowice</t>
  </si>
  <si>
    <t>Sieradz</t>
  </si>
  <si>
    <t>DKK Klub Miłośników Fantastyki SAGITTA</t>
  </si>
  <si>
    <t>Skierniewice</t>
  </si>
  <si>
    <t>Miejska Biblioteka Publiczna w Skierniewicach – FB nr 2</t>
  </si>
  <si>
    <t>Sokolniki</t>
  </si>
  <si>
    <t>Biblioteka Publiczna Gminy Sokolniki</t>
  </si>
  <si>
    <t>Strzałków</t>
  </si>
  <si>
    <t>Stróża</t>
  </si>
  <si>
    <t>Strzelce Wielkie</t>
  </si>
  <si>
    <t>Sulmierzyce</t>
  </si>
  <si>
    <t>Świnice Warckie</t>
  </si>
  <si>
    <t>Szadek</t>
  </si>
  <si>
    <t>Tomaszów Mazowiecki</t>
  </si>
  <si>
    <t>Trębaczew</t>
  </si>
  <si>
    <t>Uniejów</t>
  </si>
  <si>
    <t>Wieluń</t>
  </si>
  <si>
    <t>Miejska i Gminna Biblioteka Publiczna w Wieluniu</t>
  </si>
  <si>
    <t>Wieruszów</t>
  </si>
  <si>
    <t>Miejsko-Gminna Biblioteka Publiczna w Wieruszowie</t>
  </si>
  <si>
    <t>Witonia</t>
  </si>
  <si>
    <t>Wodzierady</t>
  </si>
  <si>
    <t>Zduńska Wola</t>
  </si>
  <si>
    <t>Zgierz</t>
  </si>
  <si>
    <t>Żychlin</t>
  </si>
  <si>
    <t>Miejsko-Gminna Biblioteka Publiczna w Żychlinie</t>
  </si>
  <si>
    <t>Gminny Ośrodek Kultury w Czarnożyłach Gminna Biblioteka Publiczna w Czarnożyłach</t>
  </si>
  <si>
    <t>Adam Szmichowski</t>
  </si>
  <si>
    <t>42 276 40 18</t>
  </si>
  <si>
    <t>95-070 Aleksandrów Łódzki</t>
  </si>
  <si>
    <t>Plac Kościuszki 12</t>
  </si>
  <si>
    <t>Martyna Żarowska</t>
  </si>
  <si>
    <t>44 632 23 04</t>
  </si>
  <si>
    <t>98-332 Rząśnia</t>
  </si>
  <si>
    <t>Biała 59</t>
  </si>
  <si>
    <t>Iwona Banasiak</t>
  </si>
  <si>
    <t>46 815 94 15</t>
  </si>
  <si>
    <t>96-230 Biała Rawska</t>
  </si>
  <si>
    <t>ul. Jana Pawła II nr 2</t>
  </si>
  <si>
    <t>Miejsko-Gminna Biblioteka Publiczna w Białej Rawskiej</t>
  </si>
  <si>
    <t>Ewa Letka, Irena Śmigiera-Milewska</t>
  </si>
  <si>
    <t>46 838 03 43</t>
  </si>
  <si>
    <t>99-417 Bolimów</t>
  </si>
  <si>
    <t>ul. Łowicka 9</t>
  </si>
  <si>
    <t>Gminna Biblioteka Publiczna w Bolimowie</t>
  </si>
  <si>
    <t>Magdalena Płuciennik</t>
  </si>
  <si>
    <t>43 841 62 82</t>
  </si>
  <si>
    <t>Izabela Kamyk</t>
  </si>
  <si>
    <t>43 843 00 15</t>
  </si>
  <si>
    <t>Teresa Kukla, Ewa Drab</t>
  </si>
  <si>
    <t>43 841 36 50</t>
  </si>
  <si>
    <t>ul. Piłsudskiego 19</t>
  </si>
  <si>
    <t>Agnieszka Godszling</t>
  </si>
  <si>
    <t>Elżbieta Woldan-Romanowicz</t>
  </si>
  <si>
    <t>42 719 17 12</t>
  </si>
  <si>
    <t>Ilona Rogaczewska</t>
  </si>
  <si>
    <t>44 731 36 54</t>
  </si>
  <si>
    <t>Agnieszka Musialska</t>
  </si>
  <si>
    <t>43 820 82 83, 667 020 683</t>
  </si>
  <si>
    <t>98-273 Klonowa</t>
  </si>
  <si>
    <t>ul. Czajkowska 1a</t>
  </si>
  <si>
    <t>Gminna Biblioteka Publiczna w Klonowej</t>
  </si>
  <si>
    <t>Agnieszka Szala</t>
  </si>
  <si>
    <t>667 195 633</t>
  </si>
  <si>
    <t>Kodrań 30</t>
  </si>
  <si>
    <t>Gminna Biblioteka Publiczna w Rząśni – FB w Kodraniu</t>
  </si>
  <si>
    <t>Ewa Jabłońska, Agnieszka Janiak-Staszek</t>
  </si>
  <si>
    <t>42 211 16 51</t>
  </si>
  <si>
    <t>95-050 Konstantynów Łódzki</t>
  </si>
  <si>
    <t>Jadwiga Michalska, Karina Katura</t>
  </si>
  <si>
    <t>Halina Sikorska, Katarzyna Jakubiak</t>
  </si>
  <si>
    <t>46 831 70 94, 513 714 428</t>
  </si>
  <si>
    <t>96-111 Kowiesy</t>
  </si>
  <si>
    <t>ul. Kowiesy 86</t>
  </si>
  <si>
    <t>Gminna Biblioteka Publiczna w Kowiesach</t>
  </si>
  <si>
    <t>Elżbieta Świgulska, Andżelika Baj</t>
  </si>
  <si>
    <t>42 207 23 17</t>
  </si>
  <si>
    <t>95-054 Ksawerów</t>
  </si>
  <si>
    <t>ul. Jana Pawła II nr 1</t>
  </si>
  <si>
    <t>Urszula Rejs</t>
  </si>
  <si>
    <t>24 355 60 35</t>
  </si>
  <si>
    <t>99-300 Kutno</t>
  </si>
  <si>
    <t>ul. Dąbrowskiego 10</t>
  </si>
  <si>
    <t>Miejska Biblioteka Publiczna w Kutnie – FB nr 4</t>
  </si>
  <si>
    <t>43 675 35 27</t>
  </si>
  <si>
    <t>98-100 Łask</t>
  </si>
  <si>
    <t>ul. 9 Maja 6</t>
  </si>
  <si>
    <t>Biblioteka Publiczna w Łasku</t>
  </si>
  <si>
    <t>Marek Kamiński</t>
  </si>
  <si>
    <t>24 721 03 57</t>
  </si>
  <si>
    <t>99-100 Łęczyca</t>
  </si>
  <si>
    <t>ul. M. Konopnickiej 11 a</t>
  </si>
  <si>
    <t>Miejska i Powiatowa Biblioteka Publiczna w Łęczycy</t>
  </si>
  <si>
    <t>Anna Nita</t>
  </si>
  <si>
    <t>44 680 12 15</t>
  </si>
  <si>
    <t>97-565 Lgota Wielka</t>
  </si>
  <si>
    <t>Gminna Biblioteka Publiczna w Lgocie Wielkiej</t>
  </si>
  <si>
    <t>Elżbieta Domagalska</t>
  </si>
  <si>
    <t>042 663 03 24</t>
  </si>
  <si>
    <t>ul. Gdańska 100/102</t>
  </si>
  <si>
    <t>Wojewódzka Biblioteka Publiczna w Łodzi</t>
  </si>
  <si>
    <t>Barbara Dzierzbicka</t>
  </si>
  <si>
    <t>42 652 19 66</t>
  </si>
  <si>
    <t>91-040 Łódź</t>
  </si>
  <si>
    <t>ul. Andrzeja Radka 8</t>
  </si>
  <si>
    <t>Biblioteka Miejska w Łodzi – FB nr 11</t>
  </si>
  <si>
    <t>Alina Falk</t>
  </si>
  <si>
    <t>42 659 29 93</t>
  </si>
  <si>
    <t>91-362 Łódź</t>
  </si>
  <si>
    <t>ul. Motylowa 13</t>
  </si>
  <si>
    <t>Biblioteka Miejska w Łodzi – FB nr 16</t>
  </si>
  <si>
    <t>Beata Bogusławska</t>
  </si>
  <si>
    <t>42 651 18 99</t>
  </si>
  <si>
    <t>91-349 Łódź</t>
  </si>
  <si>
    <t>ul. Mackiewicza 35</t>
  </si>
  <si>
    <t>Biblioteka Miejska w Łodzi – FB nr 17</t>
  </si>
  <si>
    <t>Martyna Urbaniak</t>
  </si>
  <si>
    <t>42 659 48 63</t>
  </si>
  <si>
    <t>91-498 Łódź</t>
  </si>
  <si>
    <t>ul. Wodnika 7</t>
  </si>
  <si>
    <t>Biblioteka Miejska w Łodzi – FB nr 18</t>
  </si>
  <si>
    <t>Jolanta Koziróg-Grzanecka</t>
  </si>
  <si>
    <t>42 651 23 56</t>
  </si>
  <si>
    <t>91-022 Łódź</t>
  </si>
  <si>
    <t>ul. Żubardzka 3</t>
  </si>
  <si>
    <t>Biblioteka Miejska w Łodzi – FB nr 19</t>
  </si>
  <si>
    <t>Ewa Dybała</t>
  </si>
  <si>
    <t>42 633 84 68</t>
  </si>
  <si>
    <t>94-209 Łódź</t>
  </si>
  <si>
    <t>ul. Perla 9</t>
  </si>
  <si>
    <t>Biblioteka Miejska w Łodzi – FB nr 23</t>
  </si>
  <si>
    <t>Danuta Brot</t>
  </si>
  <si>
    <t>42 687 14 16</t>
  </si>
  <si>
    <t>94-056 Łódź</t>
  </si>
  <si>
    <t>ul. Napierskiego 4</t>
  </si>
  <si>
    <t>Biblioteka Miejska w Łodzi – FB nr 26</t>
  </si>
  <si>
    <t>Mariola Parzęczewska, Magdalena Świątek</t>
  </si>
  <si>
    <t>42 633 92 27</t>
  </si>
  <si>
    <t>90-765 Łódź</t>
  </si>
  <si>
    <t>ul. Zielona 77</t>
  </si>
  <si>
    <t>Biblioteka Miejska w Łodzi – FB nr 28</t>
  </si>
  <si>
    <t>Ewa Sycan</t>
  </si>
  <si>
    <t>42 632 96 65</t>
  </si>
  <si>
    <t>90-728 Łódź</t>
  </si>
  <si>
    <t>ul. Więckowskiego 32</t>
  </si>
  <si>
    <t>Biblioteka Miejska w Łodzi – FB nr 29</t>
  </si>
  <si>
    <t>Ewelina Uczciwek</t>
  </si>
  <si>
    <t>42 688 96 36</t>
  </si>
  <si>
    <t>94-003 Łódź</t>
  </si>
  <si>
    <t>ul. Rajdowa 8</t>
  </si>
  <si>
    <t>Biblioteka Miejska w Łodzi – FB nr 30</t>
  </si>
  <si>
    <t>42 611 24 98</t>
  </si>
  <si>
    <t>94-224 Łódź</t>
  </si>
  <si>
    <t>ul. Garnizonowa 38</t>
  </si>
  <si>
    <t>Biblioteka Miejska w Łodzi – FB nr 31</t>
  </si>
  <si>
    <t>Małgorzata Skwarek-Gałęska</t>
  </si>
  <si>
    <t>Iwona Kozłowska</t>
  </si>
  <si>
    <t>42 651 66 52</t>
  </si>
  <si>
    <t>91-089 Łódź</t>
  </si>
  <si>
    <t>ul. Ossowskiego 4</t>
  </si>
  <si>
    <t>Biblioteka Miejska w Łodzi – FB nr 33</t>
  </si>
  <si>
    <t>Adam Rozmarynowski</t>
  </si>
  <si>
    <t>42 630 90 59</t>
  </si>
  <si>
    <t>93-590 Łódź</t>
  </si>
  <si>
    <t>ul. Politechniki 3a</t>
  </si>
  <si>
    <t>Biblioteka Miejska w Łodzi – FB nr 34</t>
  </si>
  <si>
    <t>Anna Olborska</t>
  </si>
  <si>
    <t>42 636 11 83</t>
  </si>
  <si>
    <t>90-303 Łódź</t>
  </si>
  <si>
    <t>ul. Brzeźna 10</t>
  </si>
  <si>
    <t>Biblioteka Miejska w Łodzi – FB nr 47</t>
  </si>
  <si>
    <t>Magdalena Szyburska</t>
  </si>
  <si>
    <t>42 637 33 06</t>
  </si>
  <si>
    <t>90-135 Łódź</t>
  </si>
  <si>
    <t>ul. Narutowicza 8/10</t>
  </si>
  <si>
    <t>Biblioteka Miejska w Łodzi – FB nr 49</t>
  </si>
  <si>
    <t>Joanna Tomaszewska</t>
  </si>
  <si>
    <t>42 670 15 27</t>
  </si>
  <si>
    <t>92-431 Łódź</t>
  </si>
  <si>
    <t>ul. Ketlinga 21</t>
  </si>
  <si>
    <t>Biblioteka Miejska w Łodzi – FB nr 52</t>
  </si>
  <si>
    <t>Natalia Mrowicka, Natalia Sar</t>
  </si>
  <si>
    <t>Elżbieta Kawula</t>
  </si>
  <si>
    <t>42 208 25 52</t>
  </si>
  <si>
    <t>92-306 Łódź</t>
  </si>
  <si>
    <t>ul. Jurczyńskiego 30 A</t>
  </si>
  <si>
    <t>Biblioteka Miejska w Łodzi – FB nr 53</t>
  </si>
  <si>
    <t>Małgorzata Skutecka</t>
  </si>
  <si>
    <t>42 256 79 33</t>
  </si>
  <si>
    <t>90-339 Łódź</t>
  </si>
  <si>
    <t>ul. Wilcza 7</t>
  </si>
  <si>
    <t>Biblioteka Miejska w Łodzi – FB nr 55</t>
  </si>
  <si>
    <t>Agata Deszyńska-Susik</t>
  </si>
  <si>
    <t>42 252 89 52</t>
  </si>
  <si>
    <t>93-219 Łódź</t>
  </si>
  <si>
    <t>ul. Tatrzańska 63</t>
  </si>
  <si>
    <t>Biblioteka Miejska w Łodzi – FB nr 62</t>
  </si>
  <si>
    <t>Maria Kwiatkowska</t>
  </si>
  <si>
    <t>604 942 983</t>
  </si>
  <si>
    <t>93-545 Łódź</t>
  </si>
  <si>
    <t>ul. Zaolziańska 49</t>
  </si>
  <si>
    <t>Katarzyna Stawicka</t>
  </si>
  <si>
    <t>606 260 065</t>
  </si>
  <si>
    <t>Anna Janiszewska</t>
  </si>
  <si>
    <t>42 649 06 19</t>
  </si>
  <si>
    <t>93-248 Łódź</t>
  </si>
  <si>
    <t>ul. Kadłubka 40</t>
  </si>
  <si>
    <t>Ewa Maćkowiak</t>
  </si>
  <si>
    <t>Dorota Witkowska</t>
  </si>
  <si>
    <t>42 643 40 81</t>
  </si>
  <si>
    <t>93-224 Łódź</t>
  </si>
  <si>
    <t>ul. Podhalańska 1</t>
  </si>
  <si>
    <t>Biblioteka Miejska w Łodzi – FB nr 75</t>
  </si>
  <si>
    <t>Marzena Szkudlarek</t>
  </si>
  <si>
    <t>43 677 51 29, 605 400 230</t>
  </si>
  <si>
    <t>ul. pl. Jana Pawła II nr. 13</t>
  </si>
  <si>
    <t>Gminny Ośrodek Kultury z Biblioteką w Lutomiersku</t>
  </si>
  <si>
    <t>Monika Grzelka-Sokołowska</t>
  </si>
  <si>
    <t>46 837 38 74</t>
  </si>
  <si>
    <t>99-400 Łowicz</t>
  </si>
  <si>
    <t>Rynek 5/7</t>
  </si>
  <si>
    <t>Powiatowa Biblioteka Publiczna w Łowiczu Stary</t>
  </si>
  <si>
    <t>Marzena Kubik</t>
  </si>
  <si>
    <t>46 831 29 40</t>
  </si>
  <si>
    <t>96-124 Maków</t>
  </si>
  <si>
    <t>ul. Główna 3a</t>
  </si>
  <si>
    <t>Gminna Biblioteka Publiczna w Makowie</t>
  </si>
  <si>
    <t>Bożena Leszczyńska</t>
  </si>
  <si>
    <t>43 841 92 06</t>
  </si>
  <si>
    <t>98-350 Biała</t>
  </si>
  <si>
    <t>Naramice 125</t>
  </si>
  <si>
    <t>Zofia Konecka</t>
  </si>
  <si>
    <t>44 755 25 66</t>
  </si>
  <si>
    <t>26-300 Opoczno</t>
  </si>
  <si>
    <t>ul. Plac Kościuszki 12</t>
  </si>
  <si>
    <t>Miejska Biblioteka Publiczna w Opocznie</t>
  </si>
  <si>
    <t>Barbara Domagała</t>
  </si>
  <si>
    <t>43 842 33 58</t>
  </si>
  <si>
    <t>Małgorzata Dawid</t>
  </si>
  <si>
    <t>Marieta Kaźmierczak</t>
  </si>
  <si>
    <t>42 710 31 95</t>
  </si>
  <si>
    <t>95-035 Ozorków</t>
  </si>
  <si>
    <t>ul. Mielczarskiego 17</t>
  </si>
  <si>
    <t>Miejska Biblioteka Publiczna w Ozorkowie – FB nr 1</t>
  </si>
  <si>
    <t>Katarzyna Kuchler</t>
  </si>
  <si>
    <t>42 215 76 26</t>
  </si>
  <si>
    <t>95-200 Pabianice</t>
  </si>
  <si>
    <t>Piotr Brzeziński</t>
  </si>
  <si>
    <t>42 215 02 74</t>
  </si>
  <si>
    <t>ul. 20 stycznia 14</t>
  </si>
  <si>
    <t>Justyna Jarmakowska</t>
  </si>
  <si>
    <t>Paula Michalska</t>
  </si>
  <si>
    <t>42 215 23 37</t>
  </si>
  <si>
    <t>Elżbieta Jędrczak</t>
  </si>
  <si>
    <t>343 111 266</t>
  </si>
  <si>
    <t>Magdalena Góral</t>
  </si>
  <si>
    <t>Ewa Dąbrowska</t>
  </si>
  <si>
    <t>24 722 12 14</t>
  </si>
  <si>
    <t>99-120 Piątek</t>
  </si>
  <si>
    <t>ul. Rynek 16</t>
  </si>
  <si>
    <t>Gminna Biblioteka Publiczna w Piątku</t>
  </si>
  <si>
    <t>Katarzyna Choja</t>
  </si>
  <si>
    <t>44 646 51 79</t>
  </si>
  <si>
    <t>97-300 Piotrków Trybunalski</t>
  </si>
  <si>
    <t>ul. Jerozolimska 29</t>
  </si>
  <si>
    <t>Miejska Biblioteka Publiczna w Piotrkowie Trybunalskim</t>
  </si>
  <si>
    <t>Sylwia Sobiechart</t>
  </si>
  <si>
    <t>44 649 60 44</t>
  </si>
  <si>
    <t>Rynek Trybunalski 2</t>
  </si>
  <si>
    <t>Miejska Biblioteka Publiczna w Piotrkowie Trybunalskim – FB nr 2</t>
  </si>
  <si>
    <t>Dorota Bąk</t>
  </si>
  <si>
    <t>44 647 27 64</t>
  </si>
  <si>
    <t>ul. Balzacka 66</t>
  </si>
  <si>
    <t>Miejska Biblioteka Publiczna w Piotrkowie Trybunalskim – FB nr 1</t>
  </si>
  <si>
    <t>Ewa Gaik</t>
  </si>
  <si>
    <t>44 682 28 27</t>
  </si>
  <si>
    <t>Renata Barwaśna-Kowalczyk</t>
  </si>
  <si>
    <t>44 683 23 08</t>
  </si>
  <si>
    <t>Zbigniew Pacho</t>
  </si>
  <si>
    <t>42 814 36 47</t>
  </si>
  <si>
    <t>96-200 Rawa Mazowiecka</t>
  </si>
  <si>
    <t>ul. Wyszyńskiego 7</t>
  </si>
  <si>
    <t>Miejska Biblioteka Publiczna w Rawie Mazowieckiej</t>
  </si>
  <si>
    <t>Joanna Konieczko, Danuta Ruka</t>
  </si>
  <si>
    <t>44 631 77 38</t>
  </si>
  <si>
    <t>ul. 1 maja 16A</t>
  </si>
  <si>
    <t>Gminna Biblioteka Publiczna w Rząśni</t>
  </si>
  <si>
    <t>Natalia Cieślak</t>
  </si>
  <si>
    <t>43 671 12 11</t>
  </si>
  <si>
    <t>98-160 Sędziejowice</t>
  </si>
  <si>
    <t>ul. Wieluńska 7</t>
  </si>
  <si>
    <t>Gminna Biblioteka Publiczna w Sędziejowicach</t>
  </si>
  <si>
    <t>Zofia Olechnowicz</t>
  </si>
  <si>
    <t>43 822 36 71</t>
  </si>
  <si>
    <t>98-200 Sieradz</t>
  </si>
  <si>
    <t>ul. Żwirki i Wigury 4</t>
  </si>
  <si>
    <t>Powiatowa Biblioteka Publiczna w Sieradzu</t>
  </si>
  <si>
    <t>Paweł Jezierski</t>
  </si>
  <si>
    <t>Karolina Kurkowska</t>
  </si>
  <si>
    <t>43 822 25 41</t>
  </si>
  <si>
    <t>ul. Polna 36 a</t>
  </si>
  <si>
    <t>Miejska Biblioteka Publiczna w Sieradzu</t>
  </si>
  <si>
    <t>Katarzyna Pietrych</t>
  </si>
  <si>
    <t>43 822 88 85</t>
  </si>
  <si>
    <t>ul. A. Mickiewicza 6</t>
  </si>
  <si>
    <t>Miejska Biblioteka Publiczna w Sieradzu – FB nr 1</t>
  </si>
  <si>
    <t>Agnieszka Kutermankiewicz</t>
  </si>
  <si>
    <t>46 833 69 69</t>
  </si>
  <si>
    <t>96-100 Skierniewice</t>
  </si>
  <si>
    <t>ul. Mszczonowska 43a</t>
  </si>
  <si>
    <t>Miejska Biblioteka Publiczna w Skierniewicach</t>
  </si>
  <si>
    <t>Katarzyna Jagiełło</t>
  </si>
  <si>
    <t>798 846 816</t>
  </si>
  <si>
    <t>ul. Reymonta 23</t>
  </si>
  <si>
    <t>Beata Merta</t>
  </si>
  <si>
    <t>604 979 295</t>
  </si>
  <si>
    <t>97-500 Strzałków</t>
  </si>
  <si>
    <t>ul. Kopernika 2a</t>
  </si>
  <si>
    <t>Gminna Biblioteka Publiczna w Strzałkowie</t>
  </si>
  <si>
    <t>Magdalena Komór</t>
  </si>
  <si>
    <t>609 623 597</t>
  </si>
  <si>
    <t>Stróża 41</t>
  </si>
  <si>
    <t>Gminna Biblioteka Publiczna w Rząśni – FB w Stróży</t>
  </si>
  <si>
    <t>Daniela Duchowska</t>
  </si>
  <si>
    <t>34 311 06 39</t>
  </si>
  <si>
    <t>98-337 Strzelce Wielkie</t>
  </si>
  <si>
    <t>Anita Wawrzyniak</t>
  </si>
  <si>
    <t>44 737 92 15</t>
  </si>
  <si>
    <t>98-338 Sulmierzyce</t>
  </si>
  <si>
    <t>ul. Słoneczna 5</t>
  </si>
  <si>
    <t>Gminna Biblioteka Publiczna w Sulmierzycach</t>
  </si>
  <si>
    <t>Paulina Hachurska</t>
  </si>
  <si>
    <t>Katarzyna Dłubak</t>
  </si>
  <si>
    <t>44 684 65 30</t>
  </si>
  <si>
    <t>Monika Galankiewicz</t>
  </si>
  <si>
    <t>63 288 11 39</t>
  </si>
  <si>
    <t>99-140 Świnice Warckie</t>
  </si>
  <si>
    <t>ul. Kościuszki 18</t>
  </si>
  <si>
    <t>Gminna Biblioteka Publiczna w Świnicach Warckich</t>
  </si>
  <si>
    <t>Dorota Łapińska</t>
  </si>
  <si>
    <t>43 821 59 36</t>
  </si>
  <si>
    <t>98-240 Szadek</t>
  </si>
  <si>
    <t>ul. Prusinowska 4</t>
  </si>
  <si>
    <t>Miejska i Gminna Biblioteka Publiczna w Szadku</t>
  </si>
  <si>
    <t>Agnieszka Wojciechowska</t>
  </si>
  <si>
    <t>44 724 67 39</t>
  </si>
  <si>
    <t>97-200 Tomaszów Mazowiecki</t>
  </si>
  <si>
    <t>ul. Mościckiego 6</t>
  </si>
  <si>
    <t>Miejska Biblioteka Publiczna w Tomaszowie Mazowieckim</t>
  </si>
  <si>
    <t>Izabela Migowska</t>
  </si>
  <si>
    <t>Elżbieta Tasarz</t>
  </si>
  <si>
    <t>43 659 10 50</t>
  </si>
  <si>
    <t>ul. Szkolna 4</t>
  </si>
  <si>
    <t>Biblioteka Publiczna Miasta i Gminy Działoszyn – FB w Trębaczewie</t>
  </si>
  <si>
    <t>Marta Starzyńska, Elżbieta Tasarz</t>
  </si>
  <si>
    <t>63 28 88 077</t>
  </si>
  <si>
    <t>99-210 Uniejów</t>
  </si>
  <si>
    <t>ul. Bł. Bogumiła 13</t>
  </si>
  <si>
    <t>Miejsko-Gminna Biblioteka Publiczna w Uniejowie</t>
  </si>
  <si>
    <t>Barbara Stępień</t>
  </si>
  <si>
    <t>43 843 35 26</t>
  </si>
  <si>
    <t>98-300 Wieluń</t>
  </si>
  <si>
    <t>Dorota Tomczyk</t>
  </si>
  <si>
    <t>62 784 16 21</t>
  </si>
  <si>
    <t>98-400 Wieruszów</t>
  </si>
  <si>
    <t>ul. Klemensa Wierusza 7-9</t>
  </si>
  <si>
    <t>Bernadeta Okoń</t>
  </si>
  <si>
    <t>Anna Stolarczyk</t>
  </si>
  <si>
    <t>24 356 47 16</t>
  </si>
  <si>
    <t>99-335 Witonia</t>
  </si>
  <si>
    <t>ul. S. Starzyńskiego 6</t>
  </si>
  <si>
    <t>Biblioteka Publiczna Gminy Witonia</t>
  </si>
  <si>
    <t>Marzanna Wiśniewska</t>
  </si>
  <si>
    <t>43 677 30 42</t>
  </si>
  <si>
    <t>98-105 Kwiatkowice</t>
  </si>
  <si>
    <t>ul. Łaska 39</t>
  </si>
  <si>
    <t>Gminna Biblioteka Publiczna w Wodzieradach z siedzibą w KwiatkowicachKwiatkowice,</t>
  </si>
  <si>
    <t>Halina Anyszka</t>
  </si>
  <si>
    <t>46 838 74 16</t>
  </si>
  <si>
    <t>99-440 Zduny</t>
  </si>
  <si>
    <t>Zduny 1F</t>
  </si>
  <si>
    <t>Biblioteka Publiczna i Dom Kultury Gminy Zduny</t>
  </si>
  <si>
    <t>Alina Sobolewska</t>
  </si>
  <si>
    <t>43 823 30 62</t>
  </si>
  <si>
    <t>98-220 Zduńska Wola</t>
  </si>
  <si>
    <t>ul. Łaska 12</t>
  </si>
  <si>
    <t>Małgorzata Frydrych</t>
  </si>
  <si>
    <t>42 716 34 12</t>
  </si>
  <si>
    <t>95-100 Zgierz</t>
  </si>
  <si>
    <t>ul. Łódzka 5</t>
  </si>
  <si>
    <t>Miejsko-Powiatowa Biblioteka Publiczna w Zgierzu</t>
  </si>
  <si>
    <t>Ewa Andrzejewska</t>
  </si>
  <si>
    <t>24 285 11 69</t>
  </si>
  <si>
    <t>99-320 Żychlin</t>
  </si>
  <si>
    <t>Al. Racławickie 5</t>
  </si>
  <si>
    <t>Dorota Dorawa</t>
  </si>
  <si>
    <t>42 215 53 10</t>
  </si>
  <si>
    <t>ul. Św. Jana 10</t>
  </si>
  <si>
    <t>Miejska Biblioteka Publiczna w Pabianicach</t>
  </si>
  <si>
    <t>Beata Waniek</t>
  </si>
  <si>
    <t>62 78 45 014</t>
  </si>
  <si>
    <t>98-420 Sokolniki</t>
  </si>
  <si>
    <t>Roksana Krasoń</t>
  </si>
  <si>
    <t>DKK dla dzieci niepełnosprawnych z zespołu szkół specjalnych nr 5</t>
  </si>
  <si>
    <t>Olsztyn</t>
  </si>
  <si>
    <t>Banie Mazurskie</t>
  </si>
  <si>
    <t>Gminna Biblioteka Publiczna w Baniach Mazurskich</t>
  </si>
  <si>
    <t>ul. Sportowa 2</t>
  </si>
  <si>
    <t>19-520 Banie Mazurskie</t>
  </si>
  <si>
    <t>Bartoszyce</t>
  </si>
  <si>
    <t>Biała Piska</t>
  </si>
  <si>
    <t>Biskupiec</t>
  </si>
  <si>
    <t>Biblioteka Publiczna w Biskupcu</t>
  </si>
  <si>
    <t>13-340 Biskupiec</t>
  </si>
  <si>
    <t>Bisztynek</t>
  </si>
  <si>
    <t>Biblioteka Publiczna w Bisztynku</t>
  </si>
  <si>
    <t>11-230 Bisztynek</t>
  </si>
  <si>
    <t>Boreczno</t>
  </si>
  <si>
    <t>Miejsko-Gminna Biblioteka Publiczna w Zalewie – Filia w Borecznie</t>
  </si>
  <si>
    <t>Braniewo</t>
  </si>
  <si>
    <t>Burkat</t>
  </si>
  <si>
    <t>Gminna Biblioteka Publiczna w Burkacie</t>
  </si>
  <si>
    <t>Burkat 40</t>
  </si>
  <si>
    <t>13-200 Działdowo</t>
  </si>
  <si>
    <t>Dąbrowy</t>
  </si>
  <si>
    <t>Gminna Biblioteka Publiczna w Rozogach – Filia Biblioteczna w Dąbrowach</t>
  </si>
  <si>
    <t>ul. Mazurska 6</t>
  </si>
  <si>
    <t>12-114 Rozogi</t>
  </si>
  <si>
    <t>Dąbrówno</t>
  </si>
  <si>
    <t>Gminne Centrum Kulturalno-Biblioteczne w Dąbrównie</t>
  </si>
  <si>
    <t>ul. Kościuszki 11c</t>
  </si>
  <si>
    <t>14-120 Dąbrówno</t>
  </si>
  <si>
    <t>Dobre Miasto</t>
  </si>
  <si>
    <t>Dywity</t>
  </si>
  <si>
    <t>Gminna Biblioteka Publiczna w Dywitach</t>
  </si>
  <si>
    <t>ul. Spółdzielcza 4</t>
  </si>
  <si>
    <t>11-001 Dywity</t>
  </si>
  <si>
    <t>Działdowo</t>
  </si>
  <si>
    <t>Miejska Biblioteka Publiczna w Działdowie</t>
  </si>
  <si>
    <t>Dźwierzuty</t>
  </si>
  <si>
    <t>Gminna Biblioteka Publiczna w Dźwierzutach</t>
  </si>
  <si>
    <t>ul. Niepodległości 1</t>
  </si>
  <si>
    <t>12-120 Dźwierzuty</t>
  </si>
  <si>
    <t>Elbląg</t>
  </si>
  <si>
    <t>Biblioteka Elbląska – Filia nr 5</t>
  </si>
  <si>
    <t>ul. J. Wybickiego 20</t>
  </si>
  <si>
    <t>82-300 Elbląg</t>
  </si>
  <si>
    <t>Biblioteka Elbląska – Filia nr 6</t>
  </si>
  <si>
    <t>ul. Słoneczna 29</t>
  </si>
  <si>
    <t>Ełk</t>
  </si>
  <si>
    <t>Gawliki Wielkie</t>
  </si>
  <si>
    <t>Gminna Biblioteka Publiczna w Wydminach – Filia w Gawlikach Wielkich Szkoła Podstawowa w Gawlikach Wielkich</t>
  </si>
  <si>
    <t>Giżycko</t>
  </si>
  <si>
    <t>Godkowo</t>
  </si>
  <si>
    <t>Biblioteka Publiczna Gminy Godkowo</t>
  </si>
  <si>
    <t>Gołdap</t>
  </si>
  <si>
    <t>Górowo Iławeckie</t>
  </si>
  <si>
    <t>Grabowo</t>
  </si>
  <si>
    <t>Biblioteka Publiczna w Gołdapi – Filia w Grabowie</t>
  </si>
  <si>
    <t>Grabowo 27a</t>
  </si>
  <si>
    <t>19-500 Gołdap</t>
  </si>
  <si>
    <t>Gródki</t>
  </si>
  <si>
    <t>Gminne Centrum Kultury i Biblioteka w Płośnicy – Fila w Gródkach</t>
  </si>
  <si>
    <t>Gródki 30</t>
  </si>
  <si>
    <t>13-206 Płośnica</t>
  </si>
  <si>
    <t>Gwiździny</t>
  </si>
  <si>
    <t>Gwiździny 123</t>
  </si>
  <si>
    <t>13-300 Nowe Miasto Lubawskie</t>
  </si>
  <si>
    <t>Iława</t>
  </si>
  <si>
    <t>DKK w Zakładzie Karnym</t>
  </si>
  <si>
    <t>Jamielnik</t>
  </si>
  <si>
    <t>ul. Szkolna 8/1</t>
  </si>
  <si>
    <t>13-332 Jamielnik</t>
  </si>
  <si>
    <t>Jedwabno</t>
  </si>
  <si>
    <t>Gminna Biblioteka Publiczna w Jedwabnie</t>
  </si>
  <si>
    <t>Jerzwałd</t>
  </si>
  <si>
    <t>Miejsko-Gminna Biblioteka Publiczna w Zalewie – Filia w Jerzwałdzie</t>
  </si>
  <si>
    <t>Jerzwałd 62</t>
  </si>
  <si>
    <t>14-230 Zalewo</t>
  </si>
  <si>
    <t>Kandyty</t>
  </si>
  <si>
    <t>Kętrzyn</t>
  </si>
  <si>
    <t>Kieźliny</t>
  </si>
  <si>
    <t>Gminny Ośrodek Kultury w Dywitach Biblioteka Publiczna – Filia w Kieźlinach</t>
  </si>
  <si>
    <t>ul. Leopolda Staffa 3</t>
  </si>
  <si>
    <t>10-371 Kieźliny</t>
  </si>
  <si>
    <t>Kiwity</t>
  </si>
  <si>
    <t>Biblioteka Publiczna Gminy Kiwity</t>
  </si>
  <si>
    <t>Gminna Biblioteka Publiczna w Komorowie Żuławskim</t>
  </si>
  <si>
    <t>Korsze</t>
  </si>
  <si>
    <t>Kurzętnik</t>
  </si>
  <si>
    <t>Gminna Biblioteka Publiczna w Kurzętniku</t>
  </si>
  <si>
    <t>ul. Kościuszki 17</t>
  </si>
  <si>
    <t>13-306 Kurzętnik</t>
  </si>
  <si>
    <t>Lelkowo</t>
  </si>
  <si>
    <t>Gminne Centrum Kultury w Lelkowie</t>
  </si>
  <si>
    <t>Lelkowo 17</t>
  </si>
  <si>
    <t>14-521 Lelkowo</t>
  </si>
  <si>
    <t>DKK dla dzieci z klasy IV</t>
  </si>
  <si>
    <t>DKK dla dzieci z klasy V</t>
  </si>
  <si>
    <t>Lidzbark</t>
  </si>
  <si>
    <t>Lidzbark Warmiński</t>
  </si>
  <si>
    <t>Lipowiec</t>
  </si>
  <si>
    <t>Lubawa</t>
  </si>
  <si>
    <t>Miejski Ośrodek Kultury Centrum Dziedzictwa Kulturowego Ziemi Lubawskiej Miejska Biblioteka Publiczna w Lubawie</t>
  </si>
  <si>
    <t>ul. Kupnera 17</t>
  </si>
  <si>
    <t>14-260 Lubawa</t>
  </si>
  <si>
    <t>Łukta</t>
  </si>
  <si>
    <t>Gminna Biblioteka Publiczna w Łukcie</t>
  </si>
  <si>
    <t>Gminna Biblioteka Publiczna w Małdytach</t>
  </si>
  <si>
    <t>Mikołajki</t>
  </si>
  <si>
    <t>Miłakowo</t>
  </si>
  <si>
    <t>Miłki</t>
  </si>
  <si>
    <t>Morąg</t>
  </si>
  <si>
    <t>Mrągowo</t>
  </si>
  <si>
    <t>Nidzica</t>
  </si>
  <si>
    <t>Miejsko-Gminna Biblioteka Publiczna w Nidzicy</t>
  </si>
  <si>
    <t>ul. Zamkowa 2</t>
  </si>
  <si>
    <t>13-100 Nidzica</t>
  </si>
  <si>
    <t>Niechłonin</t>
  </si>
  <si>
    <t>Gminne Centrum Kultury i Biblioteka w Płośnicy – Filia w Niechłoninie</t>
  </si>
  <si>
    <t>Niechłonin 146</t>
  </si>
  <si>
    <t>13-206 Niechłonin</t>
  </si>
  <si>
    <t>Nowe Miasto Lubawskie</t>
  </si>
  <si>
    <t>Olecko</t>
  </si>
  <si>
    <t>Olsztynek</t>
  </si>
  <si>
    <t>Ostróda</t>
  </si>
  <si>
    <t>Pasłęk</t>
  </si>
  <si>
    <t>Biblioteka Publiczna w Pasłęku</t>
  </si>
  <si>
    <t>Plac św. Wojciecha 5</t>
  </si>
  <si>
    <t>14-400 Pasłęk</t>
  </si>
  <si>
    <t>DKK dla dorosłych Pasym</t>
  </si>
  <si>
    <t>Pieniężno</t>
  </si>
  <si>
    <t>Pisz</t>
  </si>
  <si>
    <t>12-200 Pisz</t>
  </si>
  <si>
    <t>Płoskinia</t>
  </si>
  <si>
    <t>Purda</t>
  </si>
  <si>
    <t>Gminna Biblioteka Publiczna w Purdzie</t>
  </si>
  <si>
    <t>Purda 23 A</t>
  </si>
  <si>
    <t>11-030 Purda</t>
  </si>
  <si>
    <t>Reszel</t>
  </si>
  <si>
    <t>Miejska Biblioteka Publiczna w Reszlu</t>
  </si>
  <si>
    <t>ul. Kolejowa 2a</t>
  </si>
  <si>
    <t>11-440 Reszel</t>
  </si>
  <si>
    <t>Rodnowo</t>
  </si>
  <si>
    <t>Gminna Biblioteka Publiczna w Galinach – Filia nr 2 w Rodnowie</t>
  </si>
  <si>
    <t>Rodnowo 10</t>
  </si>
  <si>
    <t>11-200 Rodnowo</t>
  </si>
  <si>
    <t>Rybno</t>
  </si>
  <si>
    <t>Gminna Biblioteka Publiczna w Rybnie</t>
  </si>
  <si>
    <t>ul. Wyzwolenia 90a</t>
  </si>
  <si>
    <t>13-220 Rybno</t>
  </si>
  <si>
    <t>Ryn</t>
  </si>
  <si>
    <t>Regionalny Park Edukacji, Kultury i Turystyki, Biblioteka Publiczna</t>
  </si>
  <si>
    <t>Siemiany</t>
  </si>
  <si>
    <t>Sterławki Wielkie</t>
  </si>
  <si>
    <t>Susz</t>
  </si>
  <si>
    <t>Szczytno</t>
  </si>
  <si>
    <t>Szymany</t>
  </si>
  <si>
    <t>Świątki</t>
  </si>
  <si>
    <t>Gminna Biblioteka Publiczna w Świątkach</t>
  </si>
  <si>
    <t>Świątki 93</t>
  </si>
  <si>
    <t>11-008 Świątki</t>
  </si>
  <si>
    <t>Tolkmicko</t>
  </si>
  <si>
    <t>Węgorzewo</t>
  </si>
  <si>
    <t>Miejsko-Gminna Biblioteka Publiczna w Węgorzewie</t>
  </si>
  <si>
    <t>ul. Żeromskiego 2</t>
  </si>
  <si>
    <t>11-600 Węgorzewo</t>
  </si>
  <si>
    <t>Wielbark</t>
  </si>
  <si>
    <t>Gminna Biblioteka Publiczna w Wielbarku</t>
  </si>
  <si>
    <t>ul. Władysława Jagiełły 8 A</t>
  </si>
  <si>
    <t>12-160 Wielbark</t>
  </si>
  <si>
    <t>Wilkasy</t>
  </si>
  <si>
    <t>Gminna Biblioteka Publiczna w Wilkasach</t>
  </si>
  <si>
    <t>ul. Olsztyńska 29</t>
  </si>
  <si>
    <t>11-500 Wilkasy</t>
  </si>
  <si>
    <t>Woźnice</t>
  </si>
  <si>
    <t>Zalewo</t>
  </si>
  <si>
    <t>Miejsko-Gminna Biblioteka Publiczna w Zalewie</t>
  </si>
  <si>
    <t>ul. Częstochowska 8</t>
  </si>
  <si>
    <t>Zielonka Pasłęcka</t>
  </si>
  <si>
    <t>Biblioteka Publiczna Gminy Pasłęk – Filia w Zielonce Pasłęckiej</t>
  </si>
  <si>
    <t>Zielonka Pasłęcka 45</t>
  </si>
  <si>
    <t>Zwierzno</t>
  </si>
  <si>
    <t>Biblioteka Publiczna Gminy Markusy – Filia w Zwierznie</t>
  </si>
  <si>
    <t>Zwierzno 32</t>
  </si>
  <si>
    <t>82-325 Markusy</t>
  </si>
  <si>
    <t>Żurawiec</t>
  </si>
  <si>
    <t>Biblioteki Publicznej Gminy Markusy – Filia w Żurawcu</t>
  </si>
  <si>
    <t>ul. Kwiatowa 8</t>
  </si>
  <si>
    <t>87 615 79 05</t>
  </si>
  <si>
    <t>Justyna Zaręba</t>
  </si>
  <si>
    <t>793 394 317</t>
  </si>
  <si>
    <t>12-230 Biała Piska</t>
  </si>
  <si>
    <t>Miejsko-Gminna Biblioteka Publiczna w Białej Piskiej</t>
  </si>
  <si>
    <t>Justyna Roznowska</t>
  </si>
  <si>
    <t>667 229 438</t>
  </si>
  <si>
    <t>Justyna Kwaśniewska</t>
  </si>
  <si>
    <t>89 718 80 79</t>
  </si>
  <si>
    <t>Agnieszka Gadomska</t>
  </si>
  <si>
    <t>505 903 967</t>
  </si>
  <si>
    <t>Boreczno 22</t>
  </si>
  <si>
    <t>Elżbieta Jakubowska, Bożena Kruszczyńska</t>
  </si>
  <si>
    <t>55 644 33 02</t>
  </si>
  <si>
    <t>14-500 Braniewo</t>
  </si>
  <si>
    <t>ul. Katedralna 7</t>
  </si>
  <si>
    <t>Miejska Biblioteka Publiczna w Braniewie</t>
  </si>
  <si>
    <t>Bożena Kruszczyńska</t>
  </si>
  <si>
    <t>Aleksandra Kowalska</t>
  </si>
  <si>
    <t>500 629 329</t>
  </si>
  <si>
    <t>Danuta Mrówka</t>
  </si>
  <si>
    <t>89 722 66 27</t>
  </si>
  <si>
    <t>Barbara Cieślak</t>
  </si>
  <si>
    <t>89 646 11 98</t>
  </si>
  <si>
    <t>Barbara Skibińska</t>
  </si>
  <si>
    <t>89 616 15 91</t>
  </si>
  <si>
    <t>11-040 Dobre Miasto</t>
  </si>
  <si>
    <t>ul. Górna 1a</t>
  </si>
  <si>
    <t>Centrum Kulturalno-Biblioteczne w Dobrym Mieście</t>
  </si>
  <si>
    <t>Celina Kosin, Aleksandra Bondarow-Rojczyk</t>
  </si>
  <si>
    <t>89 512 00 52</t>
  </si>
  <si>
    <t>Aleksandra Bondarow-Rojczyk</t>
  </si>
  <si>
    <t>ul. Wolności 64 A</t>
  </si>
  <si>
    <t>Miejska Biblioteka Publiczna w DziałdowieZakład Karny w Iławie. Oddział Zewnętrzny w Działdowie</t>
  </si>
  <si>
    <t>Justyna Lytvyn</t>
  </si>
  <si>
    <t>23 697 20 43</t>
  </si>
  <si>
    <t>Miejska Biblioteka Publiczna w Działdowie, Zespół Szkół w Malinowie</t>
  </si>
  <si>
    <t>Elżbieta Zakrzewska</t>
  </si>
  <si>
    <t>509 590 310</t>
  </si>
  <si>
    <t>Aleksandra Cybulska</t>
  </si>
  <si>
    <t>Miejska Biblioteka Publiczna w Działdowie Szkoła Podstawowa nr 1 w Działdowie</t>
  </si>
  <si>
    <t>Bożena Nadolska</t>
  </si>
  <si>
    <t>89 621 12 21</t>
  </si>
  <si>
    <t>Halina Samson</t>
  </si>
  <si>
    <t>55 625 60 17</t>
  </si>
  <si>
    <t>ul. Św. Ducha 3-7</t>
  </si>
  <si>
    <t>Biblioteka Elbląska</t>
  </si>
  <si>
    <t>Aleksandra Rymkiewicz</t>
  </si>
  <si>
    <t>Biblioteka Elbląska – Biblioteka Naukowa i Literacka</t>
  </si>
  <si>
    <t>Małgorzata Adamska</t>
  </si>
  <si>
    <t>55 625 60 23</t>
  </si>
  <si>
    <t>ul. Zamkowa 1</t>
  </si>
  <si>
    <t>Biblioteka Elbląska – Biblioteka Młodego czytelnika „BULAJ”</t>
  </si>
  <si>
    <t>Mariola Bielasta</t>
  </si>
  <si>
    <t>Żaneta Łyczyszyńska</t>
  </si>
  <si>
    <t>Anna Romańczuk</t>
  </si>
  <si>
    <t>55 625 60 96</t>
  </si>
  <si>
    <t>55 625 60 95</t>
  </si>
  <si>
    <t>Katarzyna Jabłonowska</t>
  </si>
  <si>
    <t>55 625 60 80</t>
  </si>
  <si>
    <t>Justyna Rafałowska</t>
  </si>
  <si>
    <t>87 621 80 86</t>
  </si>
  <si>
    <t>19-300 Ełk</t>
  </si>
  <si>
    <t>ul. Armii Krajowej 17B</t>
  </si>
  <si>
    <t>Miejska Biblioteka Publiczna w Ełku</t>
  </si>
  <si>
    <t>Marlena Bereza</t>
  </si>
  <si>
    <t>666 267 159</t>
  </si>
  <si>
    <t>11-510 Wydminy</t>
  </si>
  <si>
    <t>Gawliki Wielkie 32</t>
  </si>
  <si>
    <t>Ewa Petiuk</t>
  </si>
  <si>
    <t>87 428 25 05</t>
  </si>
  <si>
    <t>11-500 Giżycko</t>
  </si>
  <si>
    <t>ul. Mickiewicza 35</t>
  </si>
  <si>
    <t>Miejska Biblioteka Publiczna w Giżycku</t>
  </si>
  <si>
    <t>Teresa Sienkiewicz</t>
  </si>
  <si>
    <t>Sylwia Gulczyńska</t>
  </si>
  <si>
    <t>87 615 48 70</t>
  </si>
  <si>
    <t>ul. Partyzantów 31</t>
  </si>
  <si>
    <t>Biblioteka Publiczna w Gołdapi</t>
  </si>
  <si>
    <t>Wioletta Sosnowska</t>
  </si>
  <si>
    <t>89 761 16 80</t>
  </si>
  <si>
    <t>11-220 Górowo Iławieckie</t>
  </si>
  <si>
    <t>ul. Sikorskiego 34</t>
  </si>
  <si>
    <t>Miejska Biblioteka Publiczna w Górowie Iławieckim</t>
  </si>
  <si>
    <t>Lucyna Świerzbin</t>
  </si>
  <si>
    <t>87 615 66 36</t>
  </si>
  <si>
    <t>Maria Sobotka</t>
  </si>
  <si>
    <t>513 699 424</t>
  </si>
  <si>
    <t>Jolanta Górtatowska</t>
  </si>
  <si>
    <t>56 472 88 38</t>
  </si>
  <si>
    <t>Dorota Gerczak</t>
  </si>
  <si>
    <t>89 649 16 18</t>
  </si>
  <si>
    <t>14-200 Iława</t>
  </si>
  <si>
    <t>ul. Jagiellończyka 3</t>
  </si>
  <si>
    <t>Miejska Biblioteka Publiczna w Iławie</t>
  </si>
  <si>
    <t>Elżbieta Olszta</t>
  </si>
  <si>
    <t>56 47 220 15</t>
  </si>
  <si>
    <t>Aleksandra Krawczewska</t>
  </si>
  <si>
    <t>89 621 35 83</t>
  </si>
  <si>
    <t>12-122 Jedwabno</t>
  </si>
  <si>
    <t>ul. 1 Maja 63</t>
  </si>
  <si>
    <t>Jadwiga Pimpis</t>
  </si>
  <si>
    <t>89 761 93 09</t>
  </si>
  <si>
    <t>11-220 Górowo Iławeckie</t>
  </si>
  <si>
    <t>Kandyty 77</t>
  </si>
  <si>
    <t>Gminna Biblioteka i Centrum Kultury z siedzibą w Górowie Iławeckim</t>
  </si>
  <si>
    <t>Lidia Misiun</t>
  </si>
  <si>
    <t>89 752 82 77</t>
  </si>
  <si>
    <t>11-400 Kętrzyn</t>
  </si>
  <si>
    <t>ul. Kazimierza Wielkiego 12</t>
  </si>
  <si>
    <t>Miejska Biblioteka Publiczna im. Wojciecha Kętrzyńskiego w Kętrzynie – Filia Nr 3</t>
  </si>
  <si>
    <t>Bożena Keczmerska</t>
  </si>
  <si>
    <t>89 526 43 00</t>
  </si>
  <si>
    <t>Jadwiga Błażewicz-Jędrych</t>
  </si>
  <si>
    <t>89 766 09 66</t>
  </si>
  <si>
    <t>11-106 Kiwity</t>
  </si>
  <si>
    <t>Kiwity 2</t>
  </si>
  <si>
    <t>Beata Krajewska-Wąsik</t>
  </si>
  <si>
    <t>601 499 888</t>
  </si>
  <si>
    <t>82-310 Elbląg</t>
  </si>
  <si>
    <t>Magdalena Duńska</t>
  </si>
  <si>
    <t>89 754 01 23</t>
  </si>
  <si>
    <t>11-430 Korsze</t>
  </si>
  <si>
    <t>ul. Wolności 16</t>
  </si>
  <si>
    <t>Miejsko-Gminna Biblioteka Publiczna w Korszach</t>
  </si>
  <si>
    <t>Anna Szumowska</t>
  </si>
  <si>
    <t>Zofia Janczewska, Jadwiga Hajduk</t>
  </si>
  <si>
    <t>Eurydyka Nowicka</t>
  </si>
  <si>
    <t>56 474 44 99</t>
  </si>
  <si>
    <t>55 244 81 69</t>
  </si>
  <si>
    <t>Edyta Marszak</t>
  </si>
  <si>
    <t>23 696 11 41</t>
  </si>
  <si>
    <t>13-230 Lidzbark</t>
  </si>
  <si>
    <t>Miejsko-Gminna Biblioteka Publiczna w Lidzbarku</t>
  </si>
  <si>
    <t>Anna Piotrowicz</t>
  </si>
  <si>
    <t>Lucja Pawluszkiewicz</t>
  </si>
  <si>
    <t>89 767 30 25</t>
  </si>
  <si>
    <t>11-100 Lidzbark Warmiński</t>
  </si>
  <si>
    <t>ul. Ratuszowa 4</t>
  </si>
  <si>
    <t>Barbara Warcaba</t>
  </si>
  <si>
    <t>89 527 07 63</t>
  </si>
  <si>
    <t>Edyta Bednarczyk</t>
  </si>
  <si>
    <t>89 622 00 01</t>
  </si>
  <si>
    <t>12-100 Szczytno</t>
  </si>
  <si>
    <t>Lipowiec 20B</t>
  </si>
  <si>
    <t>Gminna Biblioteka Publiczna w Lipowcu</t>
  </si>
  <si>
    <t>Teresa Marchlewska</t>
  </si>
  <si>
    <t>89 645 26 03</t>
  </si>
  <si>
    <t>Jolanta Szyłejko</t>
  </si>
  <si>
    <t>89 647 50 80</t>
  </si>
  <si>
    <t>14-105 Łukta</t>
  </si>
  <si>
    <t>ul. Kościelna 2B</t>
  </si>
  <si>
    <t>Dorota Karpiuk</t>
  </si>
  <si>
    <t>89 758 61 36</t>
  </si>
  <si>
    <t>14-330 Małdyty</t>
  </si>
  <si>
    <t>ul. Kopernika 13 B</t>
  </si>
  <si>
    <t>Elżbieta Małysa</t>
  </si>
  <si>
    <t>89 758 74 49</t>
  </si>
  <si>
    <t>14-310 Miłakowo</t>
  </si>
  <si>
    <t>ul. O. Wł. Włodyki 20</t>
  </si>
  <si>
    <t>Miłakowski Dom Kultury, Biblioteka Publiczna</t>
  </si>
  <si>
    <t>Justyna Marta Zakrzewska</t>
  </si>
  <si>
    <t>691 153 077</t>
  </si>
  <si>
    <t>11-513 Miłki</t>
  </si>
  <si>
    <t>ul. Lipowa 4/1</t>
  </si>
  <si>
    <t>Ośrodek Kultury w Miłkach, Biblioteka Publiczna</t>
  </si>
  <si>
    <t>Agnieszka Erwin</t>
  </si>
  <si>
    <t>89 757 43 76</t>
  </si>
  <si>
    <t>14-300 Morąg</t>
  </si>
  <si>
    <t>Miejska Biblioteka Publiczna w Morągu</t>
  </si>
  <si>
    <t>Maria Mikołajczyk</t>
  </si>
  <si>
    <t>89 743 34 57</t>
  </si>
  <si>
    <t>11-700 Mrągowo</t>
  </si>
  <si>
    <t>ul. Warszawska 26</t>
  </si>
  <si>
    <t>Centrum Kultury i Turystyki Biblioteka Miejska w Mrągowie</t>
  </si>
  <si>
    <t>Urszula Śnietka</t>
  </si>
  <si>
    <t>89 743 34 59</t>
  </si>
  <si>
    <t>Maria Nasiadka</t>
  </si>
  <si>
    <t>89 625 20 57</t>
  </si>
  <si>
    <t>Beata Kmiecik</t>
  </si>
  <si>
    <t>502 448 539</t>
  </si>
  <si>
    <t>Aneta Rogowska</t>
  </si>
  <si>
    <t>56 474 27 01</t>
  </si>
  <si>
    <t>ul. Działyńskich 2a</t>
  </si>
  <si>
    <t>Miejska Biblioteka Publiczna w Nowym Mieście Lubawskim</t>
  </si>
  <si>
    <t>Katarzyna Jeżewska, Ewa Omilian</t>
  </si>
  <si>
    <t>87 731 40 04</t>
  </si>
  <si>
    <t>19-400 Olecko</t>
  </si>
  <si>
    <t>ul. Kopernika 6</t>
  </si>
  <si>
    <t>Regionalny Ośrodek Kultury w Olecku Miejsko-Powiatowa Biblioteka Publiczna</t>
  </si>
  <si>
    <t>Beata Gotkiewicz</t>
  </si>
  <si>
    <t>608 662 357</t>
  </si>
  <si>
    <t>10-026 Olsztyn</t>
  </si>
  <si>
    <t>ul. Stare Miasto 33</t>
  </si>
  <si>
    <t>Monika Nadolska, Katarzyna Guzewicz</t>
  </si>
  <si>
    <t>89 535 97 81</t>
  </si>
  <si>
    <t>Wioletta Dywizjusz</t>
  </si>
  <si>
    <t>89 519 27 12</t>
  </si>
  <si>
    <t>11-015 Olsztynek</t>
  </si>
  <si>
    <t>ul. Ratusz 1</t>
  </si>
  <si>
    <t>Biblioteka Publiczna Miasta i Gminy w Olsztynku</t>
  </si>
  <si>
    <t>Grażyna Wilkowska</t>
  </si>
  <si>
    <t>Anna Głowińska</t>
  </si>
  <si>
    <t>89 646 27 54</t>
  </si>
  <si>
    <t>14-100 Ostróda</t>
  </si>
  <si>
    <t>ul. Mickiewicza 22</t>
  </si>
  <si>
    <t>Centrum Kultury w Ostródzie, Miejska Biblioteka Publiczna</t>
  </si>
  <si>
    <t>Katarzyna Wojszkun</t>
  </si>
  <si>
    <t>55 248 30 55</t>
  </si>
  <si>
    <t>Anna Kowalska</t>
  </si>
  <si>
    <t>89 621 21 17</t>
  </si>
  <si>
    <t>12-130 Pasym</t>
  </si>
  <si>
    <t>ul. Dworcowa 8</t>
  </si>
  <si>
    <t>Miejska Biblioteka w Pasymiu</t>
  </si>
  <si>
    <t>Lubomira Wacławska</t>
  </si>
  <si>
    <t>55 243 61 77</t>
  </si>
  <si>
    <t>14-520 Pieniężno</t>
  </si>
  <si>
    <t>Miejska Biblioteka w Pieniężnie</t>
  </si>
  <si>
    <t>Małgorzata Podsiad</t>
  </si>
  <si>
    <t>87 423 27 97</t>
  </si>
  <si>
    <t>PiszuPl. Daszyńskiego 7 A</t>
  </si>
  <si>
    <t>Miejsko-Gminna Biblioteka Publiczna w</t>
  </si>
  <si>
    <t>Bożena Kruszczyńska, Ewa Matwiejczuk</t>
  </si>
  <si>
    <t>14-526 Płoskinia</t>
  </si>
  <si>
    <t>Płoskinia 43</t>
  </si>
  <si>
    <t>Miejska Biblioteka Publiczna w Braniewie, Szkoła Podstawowa w Płoskini</t>
  </si>
  <si>
    <t>Lila Skrzypska</t>
  </si>
  <si>
    <t>89 512 22 21</t>
  </si>
  <si>
    <t>Janina Fiedorowicz</t>
  </si>
  <si>
    <t>89 755 01 79</t>
  </si>
  <si>
    <t>Urszula Kulińska</t>
  </si>
  <si>
    <t>506 783 659</t>
  </si>
  <si>
    <t>Bożena Szatkiewicz</t>
  </si>
  <si>
    <t>23 696 64 67</t>
  </si>
  <si>
    <t>Maria Tuczyńska</t>
  </si>
  <si>
    <t>513 549 356</t>
  </si>
  <si>
    <t>11-520 Ryn</t>
  </si>
  <si>
    <t>ul. Ratuszowa 2</t>
  </si>
  <si>
    <t>DKK dla dzieci Sępopol</t>
  </si>
  <si>
    <t>Aniela Janik</t>
  </si>
  <si>
    <t>668 404 640</t>
  </si>
  <si>
    <t>Danuta Cybula</t>
  </si>
  <si>
    <t>89 761 32 07</t>
  </si>
  <si>
    <t>11-210 Sępopol</t>
  </si>
  <si>
    <t>ul. Mostowa 3</t>
  </si>
  <si>
    <t>Miejsko-Gminna Biblioteka Publiczna w Sępopolu</t>
  </si>
  <si>
    <t>Zofia Chomka</t>
  </si>
  <si>
    <t>516 331 057</t>
  </si>
  <si>
    <t>14-320 Zalewo</t>
  </si>
  <si>
    <t>Siemiany 29D</t>
  </si>
  <si>
    <t>Gminny Ośrodek Kultury w Lasecznie. Gminna Biblioteka Publiczna w Lasecznie – Filia w Siemianach</t>
  </si>
  <si>
    <t>Krystyna Jowsa</t>
  </si>
  <si>
    <t>517 556 304</t>
  </si>
  <si>
    <t>Sterławki Wielkie 54</t>
  </si>
  <si>
    <t>Regionalny Park Edukacji, Kultury i Turystyki, Biblioteka Publiczna w Rynie – Filia w Sterławkach Wielkich</t>
  </si>
  <si>
    <t>Agata Kirzanowska</t>
  </si>
  <si>
    <t>55 278 62 87</t>
  </si>
  <si>
    <t>14-240 Susz</t>
  </si>
  <si>
    <t>ul. Piastowska 5c</t>
  </si>
  <si>
    <t>Biblioteka Miejska w Suszu</t>
  </si>
  <si>
    <t>Monika Taradejna</t>
  </si>
  <si>
    <t>89 67 60 815</t>
  </si>
  <si>
    <t>ul. Polska 8</t>
  </si>
  <si>
    <t>Miejska Biblioteka Publiczna w Szczytnie</t>
  </si>
  <si>
    <t>Julita Lipowska</t>
  </si>
  <si>
    <t>89 622 11 15</t>
  </si>
  <si>
    <t>Szymany 21</t>
  </si>
  <si>
    <t>Gminna Biblioteka Publiczna w Lipowcu – Filia w Szymanach</t>
  </si>
  <si>
    <t>Bożena Maniewska</t>
  </si>
  <si>
    <t>89 616 98 67</t>
  </si>
  <si>
    <t>Barbara Łysko</t>
  </si>
  <si>
    <t>55 231 61 54</t>
  </si>
  <si>
    <t>82-340 Tolkmicko</t>
  </si>
  <si>
    <t>ul. Świętojańska 20</t>
  </si>
  <si>
    <t>Biblioteka Publiczna Miasta i Gminy w Tolkmicku</t>
  </si>
  <si>
    <t>Dorota Bystra</t>
  </si>
  <si>
    <t>87 427 25 61</t>
  </si>
  <si>
    <t>Halina Rynkiewicz</t>
  </si>
  <si>
    <t>89 621 80 05</t>
  </si>
  <si>
    <t>Joanna Sudak</t>
  </si>
  <si>
    <t>87 428 01 91</t>
  </si>
  <si>
    <t>Anna Ciszewska</t>
  </si>
  <si>
    <t>605 849 903</t>
  </si>
  <si>
    <t>11-730 Mikołajki</t>
  </si>
  <si>
    <t>Woźnice 11a</t>
  </si>
  <si>
    <t>Centrum Kultury Kłobuk – Biblioteka Publiczna Miasta i Gminy Mikołajki – Filia w Woźnicach</t>
  </si>
  <si>
    <t>Edyta Subotowicz</t>
  </si>
  <si>
    <t>89 758 81 44</t>
  </si>
  <si>
    <t>Renata Buczyk</t>
  </si>
  <si>
    <t>55 248 74 74</t>
  </si>
  <si>
    <t>Janina Luber</t>
  </si>
  <si>
    <t>55 239 43 81</t>
  </si>
  <si>
    <t>Danuta Jadańska</t>
  </si>
  <si>
    <t>55 239 43 82</t>
  </si>
  <si>
    <t xml:space="preserve">Baranowo </t>
  </si>
  <si>
    <t>Komorowo Żuławskie</t>
  </si>
  <si>
    <t>Agnieszka Ozimek</t>
  </si>
  <si>
    <t>Iwona Ałaj</t>
  </si>
  <si>
    <t>570 196 485</t>
  </si>
  <si>
    <t>Baranowo 29</t>
  </si>
  <si>
    <t>Centrum Kultury Kłobuk – Biblioteka Publiczna Miasta i Gminy Mikołajki – Filia w Baranowie</t>
  </si>
  <si>
    <t>Joanna Turuta, Janina Kozłowska</t>
  </si>
  <si>
    <t>89 763 65 16</t>
  </si>
  <si>
    <t>11-200 Bartoszyce</t>
  </si>
  <si>
    <t>ul. Ogrodowa 1a</t>
  </si>
  <si>
    <t>Miejska Biblioteka Publiczna w Bartoszycach – Oddział dla Dzieci i Młodzieży</t>
  </si>
  <si>
    <t>Krystyna Kudła</t>
  </si>
  <si>
    <t>500 255 378</t>
  </si>
  <si>
    <t>ul. Bema 23</t>
  </si>
  <si>
    <t>Miejska Biblioteka Publiczna w Bartoszycach</t>
  </si>
  <si>
    <t>DKK dla dorosłych w Areszcie Śledczym</t>
  </si>
  <si>
    <t>Miejska Biblioteka Publiczna w Działdowie, Centrum Kształcenia Ustawicznego</t>
  </si>
  <si>
    <t>Ewa Sotomska</t>
  </si>
  <si>
    <t>Miejska Biblioteka Publiczna w Działdowie Szkoła Podstawowa nr 3 w Działdowie</t>
  </si>
  <si>
    <t>Cecylia Makiewicz</t>
  </si>
  <si>
    <t>Małgorzata Deorockaczytelnia[at]biblioteka.ilawa.pl</t>
  </si>
  <si>
    <t>Komorowo Żuławskie 6</t>
  </si>
  <si>
    <t>Alicja Bober</t>
  </si>
  <si>
    <t>Barbara Opała</t>
  </si>
  <si>
    <t>697 609 336</t>
  </si>
  <si>
    <t>Małgorzata Gwóźdź</t>
  </si>
  <si>
    <t>Gminne Centrum Kultury Nowe Miasto Lubawskie z s. w Mszanowie Biblioteka Publiczna w Gwiździnach</t>
  </si>
  <si>
    <t>Gminne Centrum Kultury Nowe Miasto Lubawskie z s. w Mszanowie Biblioteka Publiczna w Jamielniku</t>
  </si>
  <si>
    <t>Małdyty</t>
  </si>
  <si>
    <t>Anna Korzeniowska</t>
  </si>
  <si>
    <t>55 249 76 21</t>
  </si>
  <si>
    <t>14-407 Godkowo</t>
  </si>
  <si>
    <t>Godkowo 62</t>
  </si>
  <si>
    <t>Renata Gawlińska</t>
  </si>
  <si>
    <t>87 421 61 46</t>
  </si>
  <si>
    <t>ul. Kolejowa 6</t>
  </si>
  <si>
    <t>Centrum Kultury „Kłobuk” – Biblioteka Publiczna Miasta i Gminy Mikołajki</t>
  </si>
  <si>
    <t>Karolina Łapuć</t>
  </si>
  <si>
    <t>516 080 897</t>
  </si>
  <si>
    <t>Małgorzata Brzeska</t>
  </si>
  <si>
    <t>89 646 69 11</t>
  </si>
  <si>
    <t>Katarzyna Lubowiecka-Motyka</t>
  </si>
  <si>
    <t>506 507 973</t>
  </si>
  <si>
    <t>Baborów</t>
  </si>
  <si>
    <t>Gminna Biblioteka Publiczna w Baborowie</t>
  </si>
  <si>
    <t>Rynek 17</t>
  </si>
  <si>
    <t>48-120 Baborów</t>
  </si>
  <si>
    <t>Biała Nyska</t>
  </si>
  <si>
    <t>48-303 Nysa</t>
  </si>
  <si>
    <t>Brzeg</t>
  </si>
  <si>
    <t>Miejska Biblioteka Publiczna w Brzegu</t>
  </si>
  <si>
    <t>ul. Jana Pawła II 5</t>
  </si>
  <si>
    <t>49-300 Brzeg</t>
  </si>
  <si>
    <t>DKK dla dorosłych Dobrzyń</t>
  </si>
  <si>
    <t>Głubczyce</t>
  </si>
  <si>
    <t>Miejska i Gminna Biblioteka Publiczna w Głubczycach</t>
  </si>
  <si>
    <t>48-100 Głubczyce</t>
  </si>
  <si>
    <t>Głuchołazy</t>
  </si>
  <si>
    <t>Centrum Kultury. Miejska i Gminna Biblioteka Publiczna w Głuchołazach</t>
  </si>
  <si>
    <t>ul. Bohaterów Warszawy 7</t>
  </si>
  <si>
    <t>48-340 Głuchołazy</t>
  </si>
  <si>
    <t>Gogolin</t>
  </si>
  <si>
    <t>Gminna Biblioteka Publiczna w Gogolinie</t>
  </si>
  <si>
    <t>ul. Krapkowicka 2</t>
  </si>
  <si>
    <t>47-320 Gogolin</t>
  </si>
  <si>
    <t>Grodków</t>
  </si>
  <si>
    <t>Miejska i Gminna Biblioteka Publiczna w Grodkowie</t>
  </si>
  <si>
    <t>49-200 Grodków</t>
  </si>
  <si>
    <t>Jasienica Dolna</t>
  </si>
  <si>
    <t>Gminna Biblioteka Publiczna w Łambinowicach – Filia Jasienica Dolna</t>
  </si>
  <si>
    <t>Jemielnica</t>
  </si>
  <si>
    <t>Gminna Biblioteka Publiczna w Jemielnicy</t>
  </si>
  <si>
    <t>ul. Szkolna 2a</t>
  </si>
  <si>
    <t>47-133 Jemielnica</t>
  </si>
  <si>
    <t>Kałków</t>
  </si>
  <si>
    <t>48-385 Otmuchów</t>
  </si>
  <si>
    <t>Kamiennik</t>
  </si>
  <si>
    <t>Gminny Ośrodek Kultury. Biblioteka Publiczna w Kamienniku</t>
  </si>
  <si>
    <t>ul. Słoneczna 7</t>
  </si>
  <si>
    <t>48-388 Kamiennik</t>
  </si>
  <si>
    <t>Kamień Śląski</t>
  </si>
  <si>
    <t>Gminna Biblioteka Publiczna w Gogolinie – Filia w Kamieniu Śląskim</t>
  </si>
  <si>
    <t>Plac Myśliwca 5</t>
  </si>
  <si>
    <t>47-325 Kamień Śląski</t>
  </si>
  <si>
    <t>Karłowice</t>
  </si>
  <si>
    <t>Gminna Biblioteka Publiczna w Popielowie – Filia w Karłowicach</t>
  </si>
  <si>
    <t>ul. Brzeska 2A</t>
  </si>
  <si>
    <t>46-037 Karłowice</t>
  </si>
  <si>
    <t>Kędzierzyn-Koźle</t>
  </si>
  <si>
    <t>Miejska Biblioteka Publiczna w Kędzierzynie-Koźlu</t>
  </si>
  <si>
    <t>Kluczbork</t>
  </si>
  <si>
    <t>Miejska i Gminna Biblioteka Publiczna w Kluczborku</t>
  </si>
  <si>
    <t>ul. Miarki 2</t>
  </si>
  <si>
    <t>46-200 Kluczbork</t>
  </si>
  <si>
    <t>Kościerzyce</t>
  </si>
  <si>
    <t>Gminna Biblioteka Publiczna w Lubszy – Filia w Kościerzycach</t>
  </si>
  <si>
    <t>49-314 Pisarzowice</t>
  </si>
  <si>
    <t>Krapkowice</t>
  </si>
  <si>
    <t>Miejska i Gminna Biblioteka Publiczna w Krapkowicach</t>
  </si>
  <si>
    <t>ul. Sądowa 21</t>
  </si>
  <si>
    <t>47-300 Krapkowice</t>
  </si>
  <si>
    <t>Lewin Brzeski</t>
  </si>
  <si>
    <t>Miejska i Gminna Biblioteka Publiczna w Lewinie Brzeskim</t>
  </si>
  <si>
    <t>ul. Kościuszki 52</t>
  </si>
  <si>
    <t>49-340 Lewin Brzeski</t>
  </si>
  <si>
    <t>Łąka Prudnicka</t>
  </si>
  <si>
    <t>48-200 Prudnik</t>
  </si>
  <si>
    <t>Łosiów</t>
  </si>
  <si>
    <t>Miejska i Gminna Biblioteka Publiczna w Lewinie Brzeskim – Filia Łosiów</t>
  </si>
  <si>
    <t>ul. Główna 116</t>
  </si>
  <si>
    <t>49-330 Łosiów</t>
  </si>
  <si>
    <t>Malnia</t>
  </si>
  <si>
    <t>Gminna Biblioteka Publiczna w Gogolinie – Filia w Malni</t>
  </si>
  <si>
    <t>ul. Opolska 66</t>
  </si>
  <si>
    <t>47-316 Chorula</t>
  </si>
  <si>
    <t>Murów</t>
  </si>
  <si>
    <t>Gminna Biblioteka Publiczna w Murowie</t>
  </si>
  <si>
    <t>ul. Wolności 22</t>
  </si>
  <si>
    <t>46-030 Murów</t>
  </si>
  <si>
    <t>Gminna Biblioteka Publiczna w Tarnowie Opolskim – Filia w Nakle</t>
  </si>
  <si>
    <t>ul. Przedszkolna 1</t>
  </si>
  <si>
    <t>46-050 Nakło</t>
  </si>
  <si>
    <t>Namysłów</t>
  </si>
  <si>
    <t>Biblioteka Publiczna w Namysłowie</t>
  </si>
  <si>
    <t>Plac Powstańców Śląskich 2</t>
  </si>
  <si>
    <t>46-100 Namysłów</t>
  </si>
  <si>
    <t>Niemodlin</t>
  </si>
  <si>
    <t>49-100 Niemodlin</t>
  </si>
  <si>
    <t>Nysa</t>
  </si>
  <si>
    <t>Miejska i Gminna Biblioteka Publiczna w Nysie</t>
  </si>
  <si>
    <t>ul. Sukiennicza 2</t>
  </si>
  <si>
    <t>48-300 Nysa</t>
  </si>
  <si>
    <t>Oleska Biblioteka Publiczna w Oleśnie</t>
  </si>
  <si>
    <t>ul. Aleksandra 5</t>
  </si>
  <si>
    <t>46-300 Olesno</t>
  </si>
  <si>
    <t>Opole</t>
  </si>
  <si>
    <t>45-706 Opole</t>
  </si>
  <si>
    <t>Miejska Biblioteka Publiczna w Opolu – Wypożyczalnia Centralna</t>
  </si>
  <si>
    <t>ul. Minorytów 4</t>
  </si>
  <si>
    <t>45-017 Opole</t>
  </si>
  <si>
    <t>Miejska Biblioteka Publiczna w Opolu</t>
  </si>
  <si>
    <t>45-040 Opole</t>
  </si>
  <si>
    <t>Miejska Biblioteka Publiczna w Opolu – Filia nr 7</t>
  </si>
  <si>
    <t>ul. Rodziewiczówny 13</t>
  </si>
  <si>
    <t>45-348 Opole</t>
  </si>
  <si>
    <t>Miejska Biblioteka Publiczna w Opolu – Filia nr 18</t>
  </si>
  <si>
    <t>ul. Oświęcimska 90</t>
  </si>
  <si>
    <t>45-643 Opole</t>
  </si>
  <si>
    <t>Otmuchów</t>
  </si>
  <si>
    <t>Biblioteka Publiczna w Otmuchowie</t>
  </si>
  <si>
    <t>Paczków</t>
  </si>
  <si>
    <t>Biblioteka Publiczna w Paczkowie</t>
  </si>
  <si>
    <t>ul. Słowackiego 7</t>
  </si>
  <si>
    <t>48-370 Paczków</t>
  </si>
  <si>
    <t>Pakosławice</t>
  </si>
  <si>
    <t>Gminna Biblioteka Publiczna w Pakosławicach</t>
  </si>
  <si>
    <t>Pawłowiczki</t>
  </si>
  <si>
    <t>Gminna Biblioteka Publiczna w Pawłowiczkach</t>
  </si>
  <si>
    <t>ul. Korfantego 3</t>
  </si>
  <si>
    <t>47-280 Pawłowiczki</t>
  </si>
  <si>
    <t>Piotrówka</t>
  </si>
  <si>
    <t>Gminna Biblioteka Publiczna w Jemielnicy – Filia w Piotrówce</t>
  </si>
  <si>
    <t>ul. Kościuszki 103</t>
  </si>
  <si>
    <t>47-133 Piotrówka</t>
  </si>
  <si>
    <t>DKK dla dorosłych Pogorzela</t>
  </si>
  <si>
    <t>Pokój</t>
  </si>
  <si>
    <t>Gminna Biblioteka Publiczna w Pokoju</t>
  </si>
  <si>
    <t>ul. 1-go Maja 26</t>
  </si>
  <si>
    <t>46-034 Pokój</t>
  </si>
  <si>
    <t>Popielów</t>
  </si>
  <si>
    <t>Gminna Biblioteka Publiczna w Popielowie</t>
  </si>
  <si>
    <t>ul. Powstańców Śl. 34</t>
  </si>
  <si>
    <t>46-090 Popielów</t>
  </si>
  <si>
    <t>Prusinowice</t>
  </si>
  <si>
    <t>48-314 Pakosławice</t>
  </si>
  <si>
    <t>Przywory</t>
  </si>
  <si>
    <t>Gminna Biblioteka Publiczna w Tarnowie Opolskim – Filia Przywory</t>
  </si>
  <si>
    <t>ul. Wiejska 92a</t>
  </si>
  <si>
    <t>46-050 Przywory</t>
  </si>
  <si>
    <t>Raszowa</t>
  </si>
  <si>
    <t>Gminna Biblioteka Publiczna w Tarnowie Opolskim – Filia w Raszowej</t>
  </si>
  <si>
    <t>ul. Nakielska 1</t>
  </si>
  <si>
    <t>46-050 Raszowa</t>
  </si>
  <si>
    <t>Stare Siołkowice</t>
  </si>
  <si>
    <t>Gminna Biblioteka Publiczna w Popielowie – Filia w Starych Siołkowicach</t>
  </si>
  <si>
    <t>ul. Michała 55</t>
  </si>
  <si>
    <t>46-086 Stare Siołkowice</t>
  </si>
  <si>
    <t>Strzelce Opolskie</t>
  </si>
  <si>
    <t>47-100 Strzelce Opolskie</t>
  </si>
  <si>
    <t>Tułowice</t>
  </si>
  <si>
    <t>Gminna Biblioteka Publiczna w Tułowicach</t>
  </si>
  <si>
    <t>ul. Porcelanowa 6</t>
  </si>
  <si>
    <t>49-130 Tułowice</t>
  </si>
  <si>
    <t>Walce</t>
  </si>
  <si>
    <t>Gminna Biblioteka Publiczna w Walcach</t>
  </si>
  <si>
    <t>ul. Opolska 23 a</t>
  </si>
  <si>
    <t>47-344 Walce</t>
  </si>
  <si>
    <t>Zębowice</t>
  </si>
  <si>
    <t>Gminna Biblioteka Publiczna w Zębowicach</t>
  </si>
  <si>
    <t>ul. Murka 1</t>
  </si>
  <si>
    <t>46-048 Zębowice</t>
  </si>
  <si>
    <t>Zdzieszowice</t>
  </si>
  <si>
    <t>Miejska i Gminna Biblioteka Publiczna w Zdzieszowicach</t>
  </si>
  <si>
    <t>ul. B. Chrobrego 18</t>
  </si>
  <si>
    <t>47-330 Zdzieszowice</t>
  </si>
  <si>
    <t>Zielina</t>
  </si>
  <si>
    <t>Gminna Biblioteka Publiczna w Strzeleczkach – Filia w Zielinie</t>
  </si>
  <si>
    <t>ul. Prudnicka 8</t>
  </si>
  <si>
    <t>47-370 Zielina</t>
  </si>
  <si>
    <t>Żyrowa</t>
  </si>
  <si>
    <t>Miejska i Gminna Biblioteka Publiczna w Zdzieszowicach – Filia w Żyrowej</t>
  </si>
  <si>
    <t>ul. Wojska Polskiego 4</t>
  </si>
  <si>
    <t>Ewa Ratuś</t>
  </si>
  <si>
    <t>77 403 69 44</t>
  </si>
  <si>
    <t>Katarzyna Szober</t>
  </si>
  <si>
    <t>77 431 40 86</t>
  </si>
  <si>
    <t>ul. Nyska 11</t>
  </si>
  <si>
    <t>Miejska i Gminna Biblioteka Publiczna w Nysie – Filia w Białej NyskiejBiała Nyska,</t>
  </si>
  <si>
    <t>Iwona Zubkiewicz</t>
  </si>
  <si>
    <t>77 416 99 88</t>
  </si>
  <si>
    <t>wojtekaga4@wp.pl</t>
  </si>
  <si>
    <t>Agata Bednarz</t>
  </si>
  <si>
    <t>77 411 82 11</t>
  </si>
  <si>
    <t>49-312 Szydłowice</t>
  </si>
  <si>
    <t>Maciej Mazur</t>
  </si>
  <si>
    <t>77 485 31 93</t>
  </si>
  <si>
    <t>Aleksandra Ziółkowska</t>
  </si>
  <si>
    <t>Joanna Ćwiek</t>
  </si>
  <si>
    <t>77 439 16 98 w. 44</t>
  </si>
  <si>
    <t>Ewa Bury</t>
  </si>
  <si>
    <t>77 466 62 26</t>
  </si>
  <si>
    <t>Anna Herba</t>
  </si>
  <si>
    <t>77 415 54 28</t>
  </si>
  <si>
    <t>Alicja Raczek</t>
  </si>
  <si>
    <t>77 435 96 90</t>
  </si>
  <si>
    <t>48-315 Jasienica Dolna</t>
  </si>
  <si>
    <t>Jasienica Dolna 154</t>
  </si>
  <si>
    <t>Lidia Radecka</t>
  </si>
  <si>
    <t>77 463 20 38</t>
  </si>
  <si>
    <t>Łucja Terka</t>
  </si>
  <si>
    <t>77 431 50 27</t>
  </si>
  <si>
    <t>Kałków 57</t>
  </si>
  <si>
    <t>Gminna Biblioteka Publiczna w Otmuchowie – Filia w Kałkowie</t>
  </si>
  <si>
    <t>Stanisława Leśniak</t>
  </si>
  <si>
    <t>77 431 21 67</t>
  </si>
  <si>
    <t>Irena Pawlyta</t>
  </si>
  <si>
    <t>Aneta Garkut</t>
  </si>
  <si>
    <t>77 469 20 17</t>
  </si>
  <si>
    <t>Agnieszka Piwowar</t>
  </si>
  <si>
    <t>77 482 37 42</t>
  </si>
  <si>
    <t>yn-Koźle</t>
  </si>
  <si>
    <t>ul. Rynek 347-200 Kędzierz</t>
  </si>
  <si>
    <t>Beata Wietecha-Gwozdecka</t>
  </si>
  <si>
    <t>77 418 26 12</t>
  </si>
  <si>
    <t>Barbara Weber</t>
  </si>
  <si>
    <t>77 412 68 90</t>
  </si>
  <si>
    <t>Renata Śledzińska</t>
  </si>
  <si>
    <t>77 446 02 32</t>
  </si>
  <si>
    <t>Marzena Antolak</t>
  </si>
  <si>
    <t>77 412 74 78</t>
  </si>
  <si>
    <t>Magdalena Derwińska-Grzywacz</t>
  </si>
  <si>
    <t>77 436 27 60</t>
  </si>
  <si>
    <t>ul. Nad Złotym Potokiem 68</t>
  </si>
  <si>
    <t>Miejska i Gminna Biblioteka Publiczna w Prudniku – Filia w Łące PrudnickiejŁąka Prudnicka,</t>
  </si>
  <si>
    <t>Ludwika Chojnacka</t>
  </si>
  <si>
    <t>77 412 50 86</t>
  </si>
  <si>
    <t>Krystyna Kubiczek</t>
  </si>
  <si>
    <t>Halina Lubacz</t>
  </si>
  <si>
    <t>77 421 40 46</t>
  </si>
  <si>
    <t>Justyna Niewiora</t>
  </si>
  <si>
    <t>77 464 48 83</t>
  </si>
  <si>
    <t>Barbara Gruca</t>
  </si>
  <si>
    <t>77 410 14 87</t>
  </si>
  <si>
    <t>Małgorzata Nawrocka-Badeja</t>
  </si>
  <si>
    <t>77 460 63 86</t>
  </si>
  <si>
    <t>NiemodlinieUl. Bohaterów Powstań Śląskich 34 A</t>
  </si>
  <si>
    <t>Magdalena Dudek</t>
  </si>
  <si>
    <t>77 433 27 56</t>
  </si>
  <si>
    <t>Halina Szklanny</t>
  </si>
  <si>
    <t>34 558 20 30</t>
  </si>
  <si>
    <t>Joanna Waleska</t>
  </si>
  <si>
    <t>77 474 70 85</t>
  </si>
  <si>
    <t>Małgorzata Sander</t>
  </si>
  <si>
    <t>77 454 80 30</t>
  </si>
  <si>
    <t>Katarzyna Kurko</t>
  </si>
  <si>
    <t>Barbara Kopka</t>
  </si>
  <si>
    <t>512 270 685</t>
  </si>
  <si>
    <t>Jolanta Miluć</t>
  </si>
  <si>
    <t>512 271 443</t>
  </si>
  <si>
    <t>Anita Spadło</t>
  </si>
  <si>
    <t>512 270 686</t>
  </si>
  <si>
    <t>Monika Janik</t>
  </si>
  <si>
    <t>Justyna Jaśkiewicz</t>
  </si>
  <si>
    <t>77 431 61 66</t>
  </si>
  <si>
    <t>Aleksandra Franczak</t>
  </si>
  <si>
    <t>77 435 75 39</t>
  </si>
  <si>
    <t>Pakosławice 38</t>
  </si>
  <si>
    <t>Mariola Piosczyk</t>
  </si>
  <si>
    <t>77 487 41 78</t>
  </si>
  <si>
    <t>77 463 22 51</t>
  </si>
  <si>
    <t>77 412 98 70</t>
  </si>
  <si>
    <t>Bożena Adamowicz</t>
  </si>
  <si>
    <t>49-332 Pogorzela</t>
  </si>
  <si>
    <t>Idalia Justyńska</t>
  </si>
  <si>
    <t>77 469 30 32</t>
  </si>
  <si>
    <t>Magdalena Lubda</t>
  </si>
  <si>
    <t>Dorota Tokarska-Ogorzały</t>
  </si>
  <si>
    <t>77 435 91 19</t>
  </si>
  <si>
    <t>ul. Nyska 1</t>
  </si>
  <si>
    <t>Gminna Biblioteka Publiczna w Pakosławicach – Filia w Prusinowicach</t>
  </si>
  <si>
    <t>Zygryda Wieszołek</t>
  </si>
  <si>
    <t>77 464 33 14</t>
  </si>
  <si>
    <t>Barbara Mientus</t>
  </si>
  <si>
    <t>77 464 57 26</t>
  </si>
  <si>
    <t>Kunegunda Sowa</t>
  </si>
  <si>
    <t>Iwona Szymańska</t>
  </si>
  <si>
    <t>77 461 00 66</t>
  </si>
  <si>
    <t>Lidia Rempalska</t>
  </si>
  <si>
    <t>77 46 00 672</t>
  </si>
  <si>
    <t>Edyta Garus</t>
  </si>
  <si>
    <t>77 466 08 39</t>
  </si>
  <si>
    <t>Beata Warmuz</t>
  </si>
  <si>
    <t>77 421 60 76 w. 34</t>
  </si>
  <si>
    <t>Maria Thomanek</t>
  </si>
  <si>
    <t>77 484 43 31</t>
  </si>
  <si>
    <t>Teresa Pawłowska</t>
  </si>
  <si>
    <t>77 466 81 61</t>
  </si>
  <si>
    <t>Beata Płonka</t>
  </si>
  <si>
    <t>www</t>
  </si>
  <si>
    <t>Baranów Sandomierski</t>
  </si>
  <si>
    <t>Miejsko-Gminny Ośrodek Kultury - Biblioteka</t>
  </si>
  <si>
    <t>Bircza</t>
  </si>
  <si>
    <t>Gminny Ośrodek Kultury, Sportu i Turystyki</t>
  </si>
  <si>
    <t>Rynek 8/1</t>
  </si>
  <si>
    <t>37-740 Bircza</t>
  </si>
  <si>
    <t>Błażowa</t>
  </si>
  <si>
    <t>www.biblioteka.blazowa.net</t>
  </si>
  <si>
    <t>Błędowa Tyczyńska</t>
  </si>
  <si>
    <t>Gminna Biblioteka Publiczna w Chmielniku, Filia w Błędowej Tyczyńskiej</t>
  </si>
  <si>
    <t>36-017 Błędowa Tyczyńska</t>
  </si>
  <si>
    <t>www.bibliotka.chmielnik.pl</t>
  </si>
  <si>
    <t>Bobrowa</t>
  </si>
  <si>
    <t>Gminna Biblioteka Publiczna w Żyrakowie, Filia Bobrowej</t>
  </si>
  <si>
    <t>www.bibliotekazyrakow.pl</t>
  </si>
  <si>
    <t>Boguchwała</t>
  </si>
  <si>
    <t>Gminna Biblioteka Publiczna w Boguchwale</t>
  </si>
  <si>
    <t>www.boguchwala.org.pl</t>
  </si>
  <si>
    <t>Gminna Biblioteka w Boguchwale</t>
  </si>
  <si>
    <t>36-100 Kolbuszowa</t>
  </si>
  <si>
    <t>www.biblioteka.kolbuszowa.pl</t>
  </si>
  <si>
    <t>Chmielnik</t>
  </si>
  <si>
    <t>Gminna Biblioteka Publiczna w Chmielniku</t>
  </si>
  <si>
    <t>www.bibliotekachmielnik.pl</t>
  </si>
  <si>
    <t>DKK dla dzieci „ZROBILIŚMY”</t>
  </si>
  <si>
    <t>Cieszanów</t>
  </si>
  <si>
    <t>Miejska Biblioteka Publiczna w Cieszanowie</t>
  </si>
  <si>
    <t>www.mbp.cieszanow.eu</t>
  </si>
  <si>
    <t>Dębica</t>
  </si>
  <si>
    <t>Miejska i Powiatowa Biblioteka Publiczna w Dębicy</t>
  </si>
  <si>
    <t>www.mbpdebica.eu</t>
  </si>
  <si>
    <t>Frysztak</t>
  </si>
  <si>
    <t>Gminna Biblioteka Publiczna we Frysztaku</t>
  </si>
  <si>
    <t>www.biblioteka.frysztak.pl</t>
  </si>
  <si>
    <t>Gminna Biblioteka Publiczna Gminy Leżajsk z siedzibą w Giedlarowej</t>
  </si>
  <si>
    <t>Giedlarowa 285</t>
  </si>
  <si>
    <t>37-300 Leżajsk</t>
  </si>
  <si>
    <t>www.biblioteka.gminalezajsk.pl</t>
  </si>
  <si>
    <t>Góra Motyczna</t>
  </si>
  <si>
    <t>39-204 Żyraków</t>
  </si>
  <si>
    <t>Grodzisko</t>
  </si>
  <si>
    <t>Gminna Biblioteka Publiczna w Grodzisku Dolnym</t>
  </si>
  <si>
    <t>www.biblioteka.grodziskodolne.pl</t>
  </si>
  <si>
    <t>Haczów</t>
  </si>
  <si>
    <t>Gminna Biblioteka Publiczna w Haczowie</t>
  </si>
  <si>
    <t>Hermanowa</t>
  </si>
  <si>
    <t>Miejska i Gminna Biblioteka Publiczna w Tyczynie, Filia w Hermanowej</t>
  </si>
  <si>
    <t>www.tyczyn-biblioteka.pl</t>
  </si>
  <si>
    <t>Iwierzyce</t>
  </si>
  <si>
    <t>Gminna Biblioteka Publiczna w Iwierzycach</t>
  </si>
  <si>
    <t>www.bibliotekaiwierzyce.pl</t>
  </si>
  <si>
    <t>Jarosław</t>
  </si>
  <si>
    <t>Miejska Biblioteka Publiczna w Jarosławiu</t>
  </si>
  <si>
    <t>www.mbp.jaroslaw.pl</t>
  </si>
  <si>
    <t>Jasło</t>
  </si>
  <si>
    <t>Miejska Biblioteka Publiczna w Jaśle</t>
  </si>
  <si>
    <t>www.mbp.jaslo.pl</t>
  </si>
  <si>
    <t>DKK dla dorosłych LIBERATORIUM</t>
  </si>
  <si>
    <t>DKK dla młodzieży, ZACZYTANI</t>
  </si>
  <si>
    <t>Miejska Biblioteka Publiczna w Jaśle, Filia Nr 2</t>
  </si>
  <si>
    <t>Jedlicze</t>
  </si>
  <si>
    <t>Gminna biblioteka Publiczna w Jedliczu</t>
  </si>
  <si>
    <t>ul. Tokarskich 22</t>
  </si>
  <si>
    <t>38-460 Jedlicze</t>
  </si>
  <si>
    <t>Jodłowa</t>
  </si>
  <si>
    <t>Gminne Centrum Kultury i Czytelnictwa w Jodłowej</t>
  </si>
  <si>
    <t>Kłyżów</t>
  </si>
  <si>
    <t>Gminna Biblioteka Publiczna, Filia w Kłyżowie</t>
  </si>
  <si>
    <t>Kolbuszowa</t>
  </si>
  <si>
    <t>Miejska i Powiatowa Biblioteka Publiczna w Kolbuszowej</t>
  </si>
  <si>
    <t>Komańcza</t>
  </si>
  <si>
    <t>Gminny Ośrodek Kultury, Biblioteka Publiczna w Komańczy</t>
  </si>
  <si>
    <t>Komańcza 166</t>
  </si>
  <si>
    <t>38-543 Komańcza</t>
  </si>
  <si>
    <t>Krosno</t>
  </si>
  <si>
    <t>Krośnieńska Biblioteka Publiczna</t>
  </si>
  <si>
    <t>www.kbp.krosno.pl</t>
  </si>
  <si>
    <t>Krośnieńska Biblioteka Publiczna, Filia Nr 2</t>
  </si>
  <si>
    <t>ul. Grunwaldzka 12</t>
  </si>
  <si>
    <t>38-400 Krosno</t>
  </si>
  <si>
    <t>Krośnieńska Biblioteka Publiczna, Filia Nr 4</t>
  </si>
  <si>
    <t>DKK dla dzieci WTAJEMNICZENI</t>
  </si>
  <si>
    <t>Krosnieńska Biblioteka Publiczna, Filia Nr 4</t>
  </si>
  <si>
    <t>DKK dla dorosłych "Czwórka"</t>
  </si>
  <si>
    <t>Lesko</t>
  </si>
  <si>
    <t>Powiatowa i Miejska Biblioteka Publiczna w Lesku</t>
  </si>
  <si>
    <t>www.biblioteka.lesko.pl</t>
  </si>
  <si>
    <t>Leżajsk</t>
  </si>
  <si>
    <t>Biblioteka Publiczna w Leżajsku</t>
  </si>
  <si>
    <t>www.biblioteka.kultura.lezajsk.pl</t>
  </si>
  <si>
    <t>Lubaczów</t>
  </si>
  <si>
    <t>Miejska Biblioteka Publiczna w Lubaczowie</t>
  </si>
  <si>
    <t>www.mbp.lubaczow.pl</t>
  </si>
  <si>
    <t>Lubenia</t>
  </si>
  <si>
    <t>Gminna Biblioteka Publiczna w Lubeni</t>
  </si>
  <si>
    <t>www.lubenia-biblioteka.pl</t>
  </si>
  <si>
    <t>Łańcut</t>
  </si>
  <si>
    <t>Miejska Biblioteka Publiczna w Łańcucie</t>
  </si>
  <si>
    <t>www.mbp-lancut.pl</t>
  </si>
  <si>
    <t>Miejska Biblioteka Publiczna w Łańcucie, Filia Nr 2</t>
  </si>
  <si>
    <t>Mielec</t>
  </si>
  <si>
    <t>Miejska Biblioteka Publiczna w Mielcu</t>
  </si>
  <si>
    <t>www.biblioteka.mielec.pl</t>
  </si>
  <si>
    <t>Miejska Biblioteka Publiczna w Mielcu, Filia Nr 6</t>
  </si>
  <si>
    <t>Mogielnica</t>
  </si>
  <si>
    <t>Gminna Biblioteka Publiczna w Boguchwale, Filia w Mogielnicy</t>
  </si>
  <si>
    <t>36-040 Boguchwała</t>
  </si>
  <si>
    <t>Nagoszyn</t>
  </si>
  <si>
    <t>39-203 Nagoszyn</t>
  </si>
  <si>
    <t>www.gcitobik.czytelnia.net</t>
  </si>
  <si>
    <t>Narol</t>
  </si>
  <si>
    <t>Miejsko-Gminna biblioteka Publiczna w Narolu</t>
  </si>
  <si>
    <t>ul. Józefowska 1</t>
  </si>
  <si>
    <t>37-610 Narol</t>
  </si>
  <si>
    <t>www.biblioteka.narol.pl</t>
  </si>
  <si>
    <t>Nisko</t>
  </si>
  <si>
    <t>Miejska Biblioteka Publiczna w Nisku</t>
  </si>
  <si>
    <t>www.mbp.nisko.pl</t>
  </si>
  <si>
    <t>37- 400 Nisko</t>
  </si>
  <si>
    <t>DKK KRYMINALNY dla dorosłych</t>
  </si>
  <si>
    <t>Nowa Dęba</t>
  </si>
  <si>
    <t>Samorządowy Ośrodek Kultury – Biblioteka Publiczna Miasta i Gminy w Nowej Dębie</t>
  </si>
  <si>
    <t>Nowa Sarzyna</t>
  </si>
  <si>
    <t>Miejska i Gminna Biblioteka Publiczna w Nowej Sarzynie</t>
  </si>
  <si>
    <t>ul. Jana Matejki 5</t>
  </si>
  <si>
    <t>37-310 Nowa Sarzyna</t>
  </si>
  <si>
    <t>www.nowasarzyna.naszabiblioteka.com</t>
  </si>
  <si>
    <t>Olszanica</t>
  </si>
  <si>
    <t>Gminna Biblioteka Publiczna w Olszanicy</t>
  </si>
  <si>
    <t>Osiek Jasielski</t>
  </si>
  <si>
    <t>Gminna Biblioteka Publiczna w Osieku Jasielskim</t>
  </si>
  <si>
    <t>Przedbórz</t>
  </si>
  <si>
    <t>Miejska i Powiatowa Biblioteka Publiczna w Kolbuszowej, Filia w Przedborzu</t>
  </si>
  <si>
    <t>Przemyśl</t>
  </si>
  <si>
    <t>Przemyska Biblioteka Publiczna w Przemyślu</t>
  </si>
  <si>
    <t>www.biblioteka.przemysl.pl</t>
  </si>
  <si>
    <t>Przeworsk</t>
  </si>
  <si>
    <t>Miejska Biblioteka Publiczna w Przeworsku</t>
  </si>
  <si>
    <t>www.biblioteka.przeworsk.um.gov.pl</t>
  </si>
  <si>
    <t>Pedagogiczna Biblioteka Wojewódzka w Przemyślu, Filia w Przeworsku</t>
  </si>
  <si>
    <t>Pustków osiedle</t>
  </si>
  <si>
    <t>Centrum Kultury i Bibliotek Gminy Dębica - Biblioteka Publiczna w Pustkowie – Osiedlu</t>
  </si>
  <si>
    <t>39-206 Pustków Osiedle 34</t>
  </si>
  <si>
    <t>Pysznica</t>
  </si>
  <si>
    <t>Gminna Biblioteka Publiczna w Pysznicy</t>
  </si>
  <si>
    <t>www.blioteka.pysznica.pl</t>
  </si>
  <si>
    <t>Racławówka</t>
  </si>
  <si>
    <t>Gminna Biblioteka Publiczna w Boguchwale, Filia w Racławówce</t>
  </si>
  <si>
    <t>Ropczyce</t>
  </si>
  <si>
    <t>Powiatowa i Miejska Biblioteka Publiczna w Ropczycach</t>
  </si>
  <si>
    <t>www.bpropczyce.eu</t>
  </si>
  <si>
    <t>Rzepedź</t>
  </si>
  <si>
    <t>Gminny Ośrodek Kultury w Komańczy, Biblioteka Publiczna w Rzepedzi</t>
  </si>
  <si>
    <t>Rzepedź 19 A</t>
  </si>
  <si>
    <t>38-542 Rzepedź</t>
  </si>
  <si>
    <t>Rzeszów</t>
  </si>
  <si>
    <t>Wojewódzka i Miejska Biblioteka Publiczna, Oddział dla Dzieci i Młodzieży</t>
  </si>
  <si>
    <t>Wojewódzka i Miejska Biblioteka Publiczna, Wypożyczalnia Główna</t>
  </si>
  <si>
    <t>Wojewódzka i Miejskiej Biblioteki Publiczna w Rzeszowie, Filia Nr 5</t>
  </si>
  <si>
    <t>ul. Budziwojska 194</t>
  </si>
  <si>
    <t>35-317 Rzeszów</t>
  </si>
  <si>
    <t>Wojewódzka i Miejska Biblioteka Publiczna, Filia Nr 7</t>
  </si>
  <si>
    <t>Wojewódzka i Miejska Biblioteka Publiczna, Filia Nr 8</t>
  </si>
  <si>
    <t>Wojewódzka i Miejska Biblioteka Publiczna, Punkt biblioteczny Filii Nr 9</t>
  </si>
  <si>
    <t>ul. Dąbrowskiego 79a</t>
  </si>
  <si>
    <t>35-036 Rzeszów</t>
  </si>
  <si>
    <t>Wojewódzka i Miejska Biblioteka Publiczna w Rzeszowie, Filia Nr 10</t>
  </si>
  <si>
    <t>Wojewódzka i Miejska Biblioteka Publiczna w Rzeszowie, Filia Nr 11</t>
  </si>
  <si>
    <t>Wojewódzka i Miejska Biblioteka Publiczna, Filia Nr 13</t>
  </si>
  <si>
    <t>DKK dla młodzieży „Fani literatury”</t>
  </si>
  <si>
    <t>Wojewódzka i Miejska Biblioteka Publiczna, Filia Nr 16</t>
  </si>
  <si>
    <t>DKK dla dzieci "BAJKOMILUSIE"</t>
  </si>
  <si>
    <t>Sanok</t>
  </si>
  <si>
    <t>www.biblioteka.sanok.pl</t>
  </si>
  <si>
    <t>Sieniawa</t>
  </si>
  <si>
    <t>Biblioteka Miasta i Gminy Sieniawa</t>
  </si>
  <si>
    <t>www.sieniawa.pl/biblioteka</t>
  </si>
  <si>
    <t>Skołyszyn</t>
  </si>
  <si>
    <t>Gminny Ośrodek Kultury i Czytelnictwa</t>
  </si>
  <si>
    <t>Stalowa Wola</t>
  </si>
  <si>
    <t>Miejska Biblioteka Publiczna w Stalowej Woli</t>
  </si>
  <si>
    <t>www.biblioteka.stalowawola.pl</t>
  </si>
  <si>
    <t>Miejska Biblioteka Publiczna, Filia Nr 2</t>
  </si>
  <si>
    <t>Strzyżów</t>
  </si>
  <si>
    <t>Biblioteka Publiczna Gminy i Miasta w Strzyżowie</t>
  </si>
  <si>
    <t>www.bpgimstrzyzow.pl</t>
  </si>
  <si>
    <t>Tarnobrzeg</t>
  </si>
  <si>
    <t>Miejska Biblioteka Publiczna, Filia Nr 1</t>
  </si>
  <si>
    <t>www.mbp.tarnobrzeg.pl</t>
  </si>
  <si>
    <t>Torki</t>
  </si>
  <si>
    <t>Gminna Biblioteka Publiczna w Medyce, Filia w Torkach</t>
  </si>
  <si>
    <t>Tyczyn</t>
  </si>
  <si>
    <t>Miejska i Gminna Biblioteka Publiczna w Tyczynie</t>
  </si>
  <si>
    <t>Ustrzyki Dolne</t>
  </si>
  <si>
    <t>Powiatowa i Miejska Biblioteka Publiczna w Ustrzykach Dolnych</t>
  </si>
  <si>
    <t>www.biblioteka-ustrzyki.pl</t>
  </si>
  <si>
    <t>Werynia</t>
  </si>
  <si>
    <t>Miejska i Powiatowa Biblioteka Publiczna w Kolbuszowej, Filia w Weryni</t>
  </si>
  <si>
    <t>Wola Mielecka</t>
  </si>
  <si>
    <t>Biblioteka Publiczna w Woli Mieleckiej</t>
  </si>
  <si>
    <t>Wola Rafałowska</t>
  </si>
  <si>
    <t>Gminna biblioteka Publiczna w Chmielniku , Filia w Woli Rafałowskiej</t>
  </si>
  <si>
    <t>Wola Zgłobieńska</t>
  </si>
  <si>
    <t>Gminna Biblioteka Publiczna w Boguchwale, Filia w Woli Zgłobieńskiej</t>
  </si>
  <si>
    <t>Zabratówka</t>
  </si>
  <si>
    <t>Gminna Biblioteka Publiczna w Chmielniku, Filia w Zabratówce</t>
  </si>
  <si>
    <t>Zagórz</t>
  </si>
  <si>
    <t>Miejsko-Gminna Biblioteka Publiczna w Zagórzu</t>
  </si>
  <si>
    <t>www.mgbp-zagorz.pl</t>
  </si>
  <si>
    <t>Zaklików</t>
  </si>
  <si>
    <t>Gminny Ośrodek Kultury i Biblioteka w Zaklikowie</t>
  </si>
  <si>
    <t>Zarzecze</t>
  </si>
  <si>
    <t>Gminna Biblioteka Publiczna w Zarzeczu</t>
  </si>
  <si>
    <t>Żołynia</t>
  </si>
  <si>
    <t>www.biblioteka.zolynia.pl</t>
  </si>
  <si>
    <t>Żyraków</t>
  </si>
  <si>
    <t>Gminna Biblioteka Publiczna w Żyrakowie</t>
  </si>
  <si>
    <t>Giedlarowa</t>
  </si>
  <si>
    <t>Renata Domka</t>
  </si>
  <si>
    <t>604 099 977</t>
  </si>
  <si>
    <t>39-450 Baranów Sandomierski</t>
  </si>
  <si>
    <t>ul. Fabryczna 39</t>
  </si>
  <si>
    <t>Ewa Ożibko</t>
  </si>
  <si>
    <t>16 672 50 78</t>
  </si>
  <si>
    <t>Anna Heller</t>
  </si>
  <si>
    <t>17 229 71 70</t>
  </si>
  <si>
    <t>36-030 Błażowa</t>
  </si>
  <si>
    <t>ul. 3 Maja 24</t>
  </si>
  <si>
    <t>Agnieszka Wąsacz</t>
  </si>
  <si>
    <t>17 229 23 53</t>
  </si>
  <si>
    <t>Małgorzata Sehn</t>
  </si>
  <si>
    <t>14 682 57 77</t>
  </si>
  <si>
    <t>39-203 Bobrowa</t>
  </si>
  <si>
    <t>Bobrowa 83</t>
  </si>
  <si>
    <t>Aneta Świeca</t>
  </si>
  <si>
    <t>17 871 53 55</t>
  </si>
  <si>
    <t>ul. Suszyckich 13</t>
  </si>
  <si>
    <t>Irena Jakubiec</t>
  </si>
  <si>
    <t>Edyta Wilczyńska</t>
  </si>
  <si>
    <t>17 227 00 53</t>
  </si>
  <si>
    <t>Bukowiec 45</t>
  </si>
  <si>
    <t>Miejska i Powiatowa Biblioteka Publiczna w Kolbuszowej, Filia w Bukowcu</t>
  </si>
  <si>
    <t>Irena Szczypek</t>
  </si>
  <si>
    <t>17 229 66 11</t>
  </si>
  <si>
    <t>36-016 Chmielnik</t>
  </si>
  <si>
    <t>Chmielnik 50</t>
  </si>
  <si>
    <t>Małgorzata Mizyn</t>
  </si>
  <si>
    <t>16 631 13 01</t>
  </si>
  <si>
    <t>37-611 Cieszanów</t>
  </si>
  <si>
    <t>ul. Kościuszki 6</t>
  </si>
  <si>
    <t>Magdalena Mozgowiec</t>
  </si>
  <si>
    <t>14 683 35 04</t>
  </si>
  <si>
    <t>39-200 Dębica</t>
  </si>
  <si>
    <t>ul. Akademicka 10</t>
  </si>
  <si>
    <t>Jolanta Zarszyńska</t>
  </si>
  <si>
    <t>17 277 76 88</t>
  </si>
  <si>
    <t>38-130 Frysztak</t>
  </si>
  <si>
    <t>ul. ks. Wojciecha Blajera 14</t>
  </si>
  <si>
    <t>Grażyna Krówka</t>
  </si>
  <si>
    <t>17 242 56 65</t>
  </si>
  <si>
    <t>bibliotekagoramotyczna[et]gmail.com</t>
  </si>
  <si>
    <t>Sylwia Mazur</t>
  </si>
  <si>
    <t>14 682 98 88</t>
  </si>
  <si>
    <t>Góra Motyczna 55</t>
  </si>
  <si>
    <t>Gminna Biblioteka Publiczna w Żyrakowie, Filia w Górze Motycznej</t>
  </si>
  <si>
    <t>Krystyna Zagrodzka</t>
  </si>
  <si>
    <t>17 243 60 37</t>
  </si>
  <si>
    <t>37-306 Grodzisko Dolne</t>
  </si>
  <si>
    <t>Grodzisko Dolne 489 A</t>
  </si>
  <si>
    <t>Grażyna Serafin</t>
  </si>
  <si>
    <t>13 439 13 84</t>
  </si>
  <si>
    <t>36-213 Haczów</t>
  </si>
  <si>
    <t>Haczów 95</t>
  </si>
  <si>
    <t>Barbara Stybak</t>
  </si>
  <si>
    <t>17 22 99 601</t>
  </si>
  <si>
    <t>36-020 Tyczyn</t>
  </si>
  <si>
    <t>Hermanowa 225</t>
  </si>
  <si>
    <t>Lucyna Majka</t>
  </si>
  <si>
    <t>17 745 59 42</t>
  </si>
  <si>
    <t>39-124 Iwierzyce</t>
  </si>
  <si>
    <t>Iwierzyce 185</t>
  </si>
  <si>
    <t>Marzena Daniel</t>
  </si>
  <si>
    <t>Barbara Reń</t>
  </si>
  <si>
    <t>16 621 55 77</t>
  </si>
  <si>
    <t>37-500 Jarosław</t>
  </si>
  <si>
    <t>ul. ks. Jakuba Makary 1</t>
  </si>
  <si>
    <t>Aneta Zgryźniak</t>
  </si>
  <si>
    <t>16 621 38 47</t>
  </si>
  <si>
    <t>Jarosławiu, Filia Nr 4Osiedle Kopernika 5</t>
  </si>
  <si>
    <t>Miejska Biblioteka Publiczna w</t>
  </si>
  <si>
    <t>Krystyna Ziemba</t>
  </si>
  <si>
    <t>13 226 26 02</t>
  </si>
  <si>
    <t>38-200 Jasło</t>
  </si>
  <si>
    <t>ul. Kołłątaja 1</t>
  </si>
  <si>
    <t>Magdalena Chart</t>
  </si>
  <si>
    <t>Małgorzata Smyka</t>
  </si>
  <si>
    <t>13 446 26 02</t>
  </si>
  <si>
    <t>DKK dla dorosłych COPERNICUS</t>
  </si>
  <si>
    <t>Wiesława Warchoł</t>
  </si>
  <si>
    <t>13 446 90 01</t>
  </si>
  <si>
    <t>ul. Kopernika 8</t>
  </si>
  <si>
    <t>Anna Gubernat-Rutana</t>
  </si>
  <si>
    <t>13 446 52 25</t>
  </si>
  <si>
    <t>ul. Szopena 22</t>
  </si>
  <si>
    <t>Miejska Biblioteka Publiczna w Jaśle, Filia Nr 3</t>
  </si>
  <si>
    <t>Jadwiga Uliasz</t>
  </si>
  <si>
    <t>13 438 09 45</t>
  </si>
  <si>
    <t>Agnieszka Szewczyk</t>
  </si>
  <si>
    <t>14 681 35 14</t>
  </si>
  <si>
    <t>39-225 Jodłowa</t>
  </si>
  <si>
    <t>Jodłowa 25 B</t>
  </si>
  <si>
    <t>Justyna Marchut</t>
  </si>
  <si>
    <t>15 841 07 48</t>
  </si>
  <si>
    <t>37-403 Kłyżów</t>
  </si>
  <si>
    <t>ul. Mickiewicza 46</t>
  </si>
  <si>
    <t>Agnieszka Mierzejewska</t>
  </si>
  <si>
    <t>17 227 02 20</t>
  </si>
  <si>
    <t>biblioteka.komancza@onet.pl</t>
  </si>
  <si>
    <t>Joanna Deląg</t>
  </si>
  <si>
    <t>13 467 70 37</t>
  </si>
  <si>
    <t>Agnieszka Urbanek</t>
  </si>
  <si>
    <t>13 432 50 15</t>
  </si>
  <si>
    <t>ul. Ordynacka 8</t>
  </si>
  <si>
    <t>Aleksandra Szponar</t>
  </si>
  <si>
    <t>13 436 85 37</t>
  </si>
  <si>
    <t>Maria Michna</t>
  </si>
  <si>
    <t>13 432 55 20</t>
  </si>
  <si>
    <t>ul. Krakowska 124</t>
  </si>
  <si>
    <t>Monika Król</t>
  </si>
  <si>
    <t>Joanna Krawczyk</t>
  </si>
  <si>
    <t>13 469 62 71</t>
  </si>
  <si>
    <t>38-600 Lesko</t>
  </si>
  <si>
    <t>Joanna Zygmunt</t>
  </si>
  <si>
    <t>17 242 12 68</t>
  </si>
  <si>
    <t>37-307 Leżajsk</t>
  </si>
  <si>
    <t>ul. Jarosławska 1</t>
  </si>
  <si>
    <t>Katarzyna Żukowicz</t>
  </si>
  <si>
    <t>16 632 93 50</t>
  </si>
  <si>
    <t>37-600 Lubaczów</t>
  </si>
  <si>
    <t>ul. Tadeusza Kościuszki 18</t>
  </si>
  <si>
    <t>Wiesława Piekarz</t>
  </si>
  <si>
    <t>17 871 90 95</t>
  </si>
  <si>
    <t>36-042 Lubenia</t>
  </si>
  <si>
    <t>Lubenia 131</t>
  </si>
  <si>
    <t>Alicja Warzybok</t>
  </si>
  <si>
    <t>Beata Lęcznar</t>
  </si>
  <si>
    <t>17 225 22 46</t>
  </si>
  <si>
    <t>36-100 Łańcut</t>
  </si>
  <si>
    <t>ul. S. Moniuszki 2</t>
  </si>
  <si>
    <t>Maria Czarny</t>
  </si>
  <si>
    <t>503 828 202</t>
  </si>
  <si>
    <t>37-100 Łańcut</t>
  </si>
  <si>
    <t>ul. Podzwierzyniec 74</t>
  </si>
  <si>
    <t>Marta Nowakowska</t>
  </si>
  <si>
    <t>17 585 57 72</t>
  </si>
  <si>
    <t>39-300 Mielec</t>
  </si>
  <si>
    <t>ul. Kusocińskiego 2</t>
  </si>
  <si>
    <t>Iwona Kubik</t>
  </si>
  <si>
    <t>17 585 63 93</t>
  </si>
  <si>
    <t>ul. Tańskiego 4</t>
  </si>
  <si>
    <t>Anna Grzebyk</t>
  </si>
  <si>
    <t>666 016 501</t>
  </si>
  <si>
    <t>Katarzyna Osak</t>
  </si>
  <si>
    <t>14 681 51 50</t>
  </si>
  <si>
    <t>Nagoszyn 21a</t>
  </si>
  <si>
    <t>Gminna Biblioteka Publiczna w Żyrakowie, Filia w Nagoszynie</t>
  </si>
  <si>
    <t>Barbara Sikora</t>
  </si>
  <si>
    <t>16 631 17 01</t>
  </si>
  <si>
    <t>Ewa Kiełb</t>
  </si>
  <si>
    <t>15 841 21 00</t>
  </si>
  <si>
    <t>37-400 Nisko</t>
  </si>
  <si>
    <t>ul. Tysiąclecia 12A</t>
  </si>
  <si>
    <t>Marta Piłat</t>
  </si>
  <si>
    <t>15 841 12 10</t>
  </si>
  <si>
    <t>ul. Tysiąclecia 12 A</t>
  </si>
  <si>
    <t>Małgorzata Trela</t>
  </si>
  <si>
    <t>15 846 24 10</t>
  </si>
  <si>
    <t>39-460 Nowa Dęba</t>
  </si>
  <si>
    <t>biblioteka.nowadeba@gmail.com</t>
  </si>
  <si>
    <t>Marzena Urbaniak</t>
  </si>
  <si>
    <t>15 846 24 10 w. 13</t>
  </si>
  <si>
    <t>Hubert Kołtun</t>
  </si>
  <si>
    <t>17 241 15 71</t>
  </si>
  <si>
    <t>Małgorzata Chmielowska</t>
  </si>
  <si>
    <t>13 460 70 69</t>
  </si>
  <si>
    <t>38-722 Olszanica 2</t>
  </si>
  <si>
    <t>Olszanica 209</t>
  </si>
  <si>
    <t>Lidia Szarek</t>
  </si>
  <si>
    <t>13 442 10 10</t>
  </si>
  <si>
    <t>38-223 Osiek Jasielski</t>
  </si>
  <si>
    <t>Osiek Jasielski 9</t>
  </si>
  <si>
    <t>Kazimiera Starzec</t>
  </si>
  <si>
    <t>17 744 66 95</t>
  </si>
  <si>
    <t>36-100 Przedbórz</t>
  </si>
  <si>
    <t>Przedbórz 187</t>
  </si>
  <si>
    <t>Katarzyna Bednarz-Soja</t>
  </si>
  <si>
    <t>16 675 16 75</t>
  </si>
  <si>
    <t>37-700 Przemyśl</t>
  </si>
  <si>
    <t>ul. Grodzka 8</t>
  </si>
  <si>
    <t>Halina Jasnosz</t>
  </si>
  <si>
    <t>16 648 76 92</t>
  </si>
  <si>
    <t>37-200 Przeworsk</t>
  </si>
  <si>
    <t>ul. Piłsudskiego 8</t>
  </si>
  <si>
    <t>Katarzyna Rudnicka</t>
  </si>
  <si>
    <t>16 648 81 76</t>
  </si>
  <si>
    <t>ul. Jagiellońska 16</t>
  </si>
  <si>
    <t>Elżbieta Chmura</t>
  </si>
  <si>
    <t>605 127 732</t>
  </si>
  <si>
    <t>Joanna Sztaba</t>
  </si>
  <si>
    <t>15 841 00 05</t>
  </si>
  <si>
    <t>37-403 Pysznica</t>
  </si>
  <si>
    <t>ul. Wolności 259</t>
  </si>
  <si>
    <t>Agnieszka Jajo</t>
  </si>
  <si>
    <t>668 748 213</t>
  </si>
  <si>
    <t>36-047 Racławówka</t>
  </si>
  <si>
    <t>Racławówka 215</t>
  </si>
  <si>
    <t>Agnieszka Szela</t>
  </si>
  <si>
    <t>17 221 83 67</t>
  </si>
  <si>
    <t>39-100 Ropczyce</t>
  </si>
  <si>
    <t>ul. Grunwaldzka 18</t>
  </si>
  <si>
    <t>Danuta Wiktor</t>
  </si>
  <si>
    <t>13 467 85 09</t>
  </si>
  <si>
    <t>DKK: dla dzieci BAJKOTEKA, KSIĄŻKOŁAKI i dla młodzieży</t>
  </si>
  <si>
    <t>Agnieszka Dworak, Marcelina Janisz, Hanna Szafrańska, Anna Pieniążek</t>
  </si>
  <si>
    <t>17 866 94 56</t>
  </si>
  <si>
    <t>35-959 Rzeszów</t>
  </si>
  <si>
    <t>ul. Słowackiego 11</t>
  </si>
  <si>
    <t>Liliana Nowojewska</t>
  </si>
  <si>
    <t>17 866 94 50</t>
  </si>
  <si>
    <t>ul. Dąbrowskiego 33 a</t>
  </si>
  <si>
    <t>Aldona Wiśniowska</t>
  </si>
  <si>
    <t>17 866 94 67</t>
  </si>
  <si>
    <t>Anna Kurowska</t>
  </si>
  <si>
    <t>17 866 94 71</t>
  </si>
  <si>
    <t>35-506 Rzeszów</t>
  </si>
  <si>
    <t>ul. Osmeckiego 51</t>
  </si>
  <si>
    <t>Małgorzata Świder</t>
  </si>
  <si>
    <t>17 866 94 73</t>
  </si>
  <si>
    <t>35-222 Rzeszów</t>
  </si>
  <si>
    <t>ul. Okulickiego 8</t>
  </si>
  <si>
    <t>punkt-filia-9@wimbp.rzeszow.pl</t>
  </si>
  <si>
    <t>Monika Samolewicz</t>
  </si>
  <si>
    <t>17 866 94 96</t>
  </si>
  <si>
    <t>Małgorzata Chlebowska</t>
  </si>
  <si>
    <t>17 866 94 76</t>
  </si>
  <si>
    <t>35-216 Rzeszów</t>
  </si>
  <si>
    <t>ul. Podchorążych 1</t>
  </si>
  <si>
    <t>Elżbieta Kotowicz</t>
  </si>
  <si>
    <t>17 866 94 79</t>
  </si>
  <si>
    <t>35-213 Rzeszów</t>
  </si>
  <si>
    <t>ul. Dębicka 170</t>
  </si>
  <si>
    <t>Beata Terlicka</t>
  </si>
  <si>
    <t>17 866 94 95</t>
  </si>
  <si>
    <t>35-505 Rzeszów</t>
  </si>
  <si>
    <t>ul. Iwonicka 38</t>
  </si>
  <si>
    <t>Monika Kotarba</t>
  </si>
  <si>
    <t>17 866 94 82</t>
  </si>
  <si>
    <t>35-233 Rzeszów</t>
  </si>
  <si>
    <t>ul. Gromskiego 10 c</t>
  </si>
  <si>
    <t>Joanna Kijowska</t>
  </si>
  <si>
    <t>13 464 57 50</t>
  </si>
  <si>
    <t>38-500 Sanok</t>
  </si>
  <si>
    <t>ul. Lenartowicza 2</t>
  </si>
  <si>
    <t>Beata Nosek</t>
  </si>
  <si>
    <t>Wioletta Szewc</t>
  </si>
  <si>
    <t>16 642 14 33</t>
  </si>
  <si>
    <t>37-530 Sieniawa</t>
  </si>
  <si>
    <t>ul. Kościuszki 4</t>
  </si>
  <si>
    <t>Elżbieta Jagusztyn</t>
  </si>
  <si>
    <t>Marta Gąsiorowska</t>
  </si>
  <si>
    <t>13 449 10 17</t>
  </si>
  <si>
    <t>38-242 Skołyszyn</t>
  </si>
  <si>
    <t>Skołyszyn 283</t>
  </si>
  <si>
    <t>Maria Chodukowska</t>
  </si>
  <si>
    <t>15 842 10 63</t>
  </si>
  <si>
    <t>37-450 Stalowa Wola</t>
  </si>
  <si>
    <t>ul. ks. J. Popiełuszki 10</t>
  </si>
  <si>
    <t>Barbara Nowak</t>
  </si>
  <si>
    <t>15 824 60 51</t>
  </si>
  <si>
    <t>ul. Sielanowskiego 3</t>
  </si>
  <si>
    <t>Marzena Midura</t>
  </si>
  <si>
    <t>17 276 10 91</t>
  </si>
  <si>
    <t>38-100 Strzyżów</t>
  </si>
  <si>
    <t>ul. Przecławczyka 6</t>
  </si>
  <si>
    <t>Anna Pałys</t>
  </si>
  <si>
    <t>15 823 42 55</t>
  </si>
  <si>
    <t>39-400 Tarnobrzeg</t>
  </si>
  <si>
    <t>ul. Marii Dąbrowskiej 31 a</t>
  </si>
  <si>
    <t>Bogusława Szaruga</t>
  </si>
  <si>
    <t>509 532 679</t>
  </si>
  <si>
    <t>37-732 Torki</t>
  </si>
  <si>
    <t>Torki 49</t>
  </si>
  <si>
    <t>Agnieszka Rożek-Janda</t>
  </si>
  <si>
    <t>17 22 19 410</t>
  </si>
  <si>
    <t>ul. Mickiewicza 1</t>
  </si>
  <si>
    <t>13 461 12 53</t>
  </si>
  <si>
    <t>38-700 Ustrzyki Dolne</t>
  </si>
  <si>
    <t>Rynek 5</t>
  </si>
  <si>
    <t>Maria Starzec</t>
  </si>
  <si>
    <t>17 227 18 23</t>
  </si>
  <si>
    <t>36-100 Werynia</t>
  </si>
  <si>
    <t>Werynia 98</t>
  </si>
  <si>
    <t>Justyna Ryczek</t>
  </si>
  <si>
    <t>660 828 344</t>
  </si>
  <si>
    <t>Wola Mielecka 402</t>
  </si>
  <si>
    <t>17 229 66 12</t>
  </si>
  <si>
    <t>36-017 Wola Rafałowska</t>
  </si>
  <si>
    <t>Wola Rafałowska 137</t>
  </si>
  <si>
    <t>gbp.wolazglobienska@wp.pl</t>
  </si>
  <si>
    <t>Paulina Piechowicz</t>
  </si>
  <si>
    <t>696 501 090</t>
  </si>
  <si>
    <t>36-046 Wola Zgłobieńska</t>
  </si>
  <si>
    <t>Wola Zgłobieńska 77</t>
  </si>
  <si>
    <t>DKK dla dzieci „Lubię to!”</t>
  </si>
  <si>
    <t>DKK dla młodzieży gimnazjalnej</t>
  </si>
  <si>
    <t>DKK dla młodzieży licealnej</t>
  </si>
  <si>
    <t>17 229 26 11</t>
  </si>
  <si>
    <t>36-017 Zabratówka</t>
  </si>
  <si>
    <t>Zabratówka 42</t>
  </si>
  <si>
    <t>Aniceta Brągiel</t>
  </si>
  <si>
    <t>13 462 21 89</t>
  </si>
  <si>
    <t>38-540 Zagórz</t>
  </si>
  <si>
    <t>ul. Piłsudskiego 37</t>
  </si>
  <si>
    <t>Joanna Paleń</t>
  </si>
  <si>
    <t>15 873 84 02</t>
  </si>
  <si>
    <t>37-470 Zaklików</t>
  </si>
  <si>
    <t>ul. Strażacka 4</t>
  </si>
  <si>
    <t>Magdalena Ćwikła</t>
  </si>
  <si>
    <t>16 640 25 17</t>
  </si>
  <si>
    <t>37-205 Zarzecze</t>
  </si>
  <si>
    <t>ul. ks. Stanisława Gajeckiego 5</t>
  </si>
  <si>
    <t>Małgorzata Babiarz</t>
  </si>
  <si>
    <t>17 224 30 48</t>
  </si>
  <si>
    <t>37-110 Żołynia</t>
  </si>
  <si>
    <t>Gminna Biblioteka Publiczna w Żołyni</t>
  </si>
  <si>
    <t>Anna Glinka</t>
  </si>
  <si>
    <t>14 682 28 92</t>
  </si>
  <si>
    <t>Żyraków 77</t>
  </si>
  <si>
    <t>Barlinek</t>
  </si>
  <si>
    <t>Białogard</t>
  </si>
  <si>
    <t>Pl. Wolności 4-5</t>
  </si>
  <si>
    <t>78-200 Białogard</t>
  </si>
  <si>
    <t>Bierzwnik</t>
  </si>
  <si>
    <t>Gminna Biblioteka Publiczna w Bierzwniku</t>
  </si>
  <si>
    <t>ul. Dworcowa 11</t>
  </si>
  <si>
    <t>73-240 Bierzwnik</t>
  </si>
  <si>
    <t>Błotno</t>
  </si>
  <si>
    <t>Miejska Biblioteka Publiczna w Nowogardzie – Filia w Błotnie</t>
  </si>
  <si>
    <t>Błotno 22</t>
  </si>
  <si>
    <t>72-200 Nowogard</t>
  </si>
  <si>
    <t>Bobolice</t>
  </si>
  <si>
    <t>Plac Zwycięstwa 5</t>
  </si>
  <si>
    <t>76-020 Bobolice</t>
  </si>
  <si>
    <t>Bonin</t>
  </si>
  <si>
    <t>Biblioteka Publiczna Gminy Manowo – Filia w Boninie</t>
  </si>
  <si>
    <t>Chojna</t>
  </si>
  <si>
    <t>74-500 Chojna</t>
  </si>
  <si>
    <t>Choszczno</t>
  </si>
  <si>
    <t>ul. Wolności 13</t>
  </si>
  <si>
    <t>73-200 Choszczno</t>
  </si>
  <si>
    <t>Czaplinek</t>
  </si>
  <si>
    <t>Gminna Biblioteka Publiczna w Czaplinku</t>
  </si>
  <si>
    <t>ul. Wałecka 49</t>
  </si>
  <si>
    <t>78-550 Czaplinek</t>
  </si>
  <si>
    <t>Darłowo</t>
  </si>
  <si>
    <t>Miejska Biblioteka Publiczna w Darłowie</t>
  </si>
  <si>
    <t>ul. Wieniawskiego 19 c</t>
  </si>
  <si>
    <t>76-150 Darłowo</t>
  </si>
  <si>
    <t>Darłówko</t>
  </si>
  <si>
    <t>Miejska Biblioteka Publiczna w Darłowie – Filia nr 1 W Darłówku</t>
  </si>
  <si>
    <t>ul. Zwycięstwa 1</t>
  </si>
  <si>
    <t>76-153 Darłowo</t>
  </si>
  <si>
    <t>Dąbrowa Nowogardzka</t>
  </si>
  <si>
    <t>Dębno</t>
  </si>
  <si>
    <t>Szkoła Podstawowa nr 1</t>
  </si>
  <si>
    <t>ul. Piłsudskiego 10</t>
  </si>
  <si>
    <t>74-400 Dębno</t>
  </si>
  <si>
    <t>Długołęka</t>
  </si>
  <si>
    <t>Miejska Biblioteka Publiczna w Nowogardzie – Filia w Długołęce</t>
  </si>
  <si>
    <t>Długołęka 16a</t>
  </si>
  <si>
    <t>Dobra</t>
  </si>
  <si>
    <t>Gminne Centrum Kultury i Bibliotek w Dobrej</t>
  </si>
  <si>
    <t>ul. Graniczna 31</t>
  </si>
  <si>
    <t>72-003 Dobra</t>
  </si>
  <si>
    <t>Dołuje</t>
  </si>
  <si>
    <t>Gminne Centrum Kultury i Bibliotek w Dobrej – Filia Dołuje</t>
  </si>
  <si>
    <t>ul. Daniela 1</t>
  </si>
  <si>
    <t>72-002 Dołuje</t>
  </si>
  <si>
    <t>Drawno</t>
  </si>
  <si>
    <t>Biblioteka Publiczna w Drawnie</t>
  </si>
  <si>
    <t>ul. Szpitalna 2</t>
  </si>
  <si>
    <t>73-220 Drawno</t>
  </si>
  <si>
    <t>Dziwnów</t>
  </si>
  <si>
    <t>Miejska Biblioteka Publiczna w Dziwnowie</t>
  </si>
  <si>
    <t>ul. Reymonta 10</t>
  </si>
  <si>
    <t>72-420 Dziwnów</t>
  </si>
  <si>
    <t>Goleniów</t>
  </si>
  <si>
    <t>Miejska i Powiatowa Biblioteka Publiczna w Goleniowie</t>
  </si>
  <si>
    <t>ul. Konstytucji 3 Maja 26</t>
  </si>
  <si>
    <t>72-100 Goleniów</t>
  </si>
  <si>
    <t>Biblioteka Publiczna Miasta i Gminy w Trzebiatowie – Filia w Gołańczy Pomorskiej</t>
  </si>
  <si>
    <t>72-320 Gołańcz Pomorska</t>
  </si>
  <si>
    <t>Gryfice</t>
  </si>
  <si>
    <t>ul. Wojska Polskiego 23</t>
  </si>
  <si>
    <t>72-300 Gryfice</t>
  </si>
  <si>
    <t>Gryfino</t>
  </si>
  <si>
    <t>ul. Kościelna 24</t>
  </si>
  <si>
    <t>74-100 Gryfino</t>
  </si>
  <si>
    <t>Ińsko</t>
  </si>
  <si>
    <t>Biblioteka Publiczna w Ińsku</t>
  </si>
  <si>
    <t>ul. Przybrzeżna 1</t>
  </si>
  <si>
    <t>73-140 Ińsko</t>
  </si>
  <si>
    <t>Kalisz Pomorski</t>
  </si>
  <si>
    <t>Biblioteka Publiczna w Kaliszu Pomorskim</t>
  </si>
  <si>
    <t>ul. Wolności 31</t>
  </si>
  <si>
    <t>78-540 Kalisz Pomorski</t>
  </si>
  <si>
    <t>Kamień Pomorski</t>
  </si>
  <si>
    <t>ul. Wolińska 9</t>
  </si>
  <si>
    <t>72-400 Kamień Pomorski</t>
  </si>
  <si>
    <t>Karsko</t>
  </si>
  <si>
    <t>ul. Pionierów 15/3</t>
  </si>
  <si>
    <t>74-305 Karsko</t>
  </si>
  <si>
    <t>Kołobrzeg</t>
  </si>
  <si>
    <t>ul. Frankowskiego 3</t>
  </si>
  <si>
    <t>78-100 Kołobrzeg</t>
  </si>
  <si>
    <t>Koszalin</t>
  </si>
  <si>
    <t>Koszalińska Biblioteka Publiczna – Filia nr 3</t>
  </si>
  <si>
    <t>ul. Młyńska 12</t>
  </si>
  <si>
    <t>75-054 Koszalin</t>
  </si>
  <si>
    <t>Zespół Szkół nr 1 w Koszalinie</t>
  </si>
  <si>
    <t>ul. Władysława Andersa 30</t>
  </si>
  <si>
    <t>75-626 Koszalin</t>
  </si>
  <si>
    <t>Biblioteka Publiczna w Krzęcinie</t>
  </si>
  <si>
    <t>ul. Pogodna 4</t>
  </si>
  <si>
    <t>73-231 Krzęcin</t>
  </si>
  <si>
    <t>Łobez</t>
  </si>
  <si>
    <t>ul. Niepodległości 50</t>
  </si>
  <si>
    <t>73-150 Łobez</t>
  </si>
  <si>
    <t>Manowo</t>
  </si>
  <si>
    <t>Biblioteka Publiczna Gminy Manowo – Filia w Manowie</t>
  </si>
  <si>
    <t>ul. Szkolna 11</t>
  </si>
  <si>
    <t>76-015 Manowo</t>
  </si>
  <si>
    <t>Mielno</t>
  </si>
  <si>
    <t>Biblioteka Publiczna Gminy Mielno</t>
  </si>
  <si>
    <t>ul. Chrobrego 13</t>
  </si>
  <si>
    <t>76-032 Mielno</t>
  </si>
  <si>
    <t>Mierzyn</t>
  </si>
  <si>
    <t>Gminna Centrum Kultury i Bibliotek – Filia w Mierzynie</t>
  </si>
  <si>
    <t>ul. Welecka 5</t>
  </si>
  <si>
    <t>72-006 Szczecin</t>
  </si>
  <si>
    <t>Międzyzdroje</t>
  </si>
  <si>
    <t>ul. Norwida 15</t>
  </si>
  <si>
    <t>72-500 Międzyzdroje</t>
  </si>
  <si>
    <t>Nowogard</t>
  </si>
  <si>
    <t>Miejska Biblioteka Publiczna w Nowogardzie</t>
  </si>
  <si>
    <t>Pl. Wolności 8</t>
  </si>
  <si>
    <t>DKK dla dzieci (0-3 klasa SP)</t>
  </si>
  <si>
    <t>DKK dla dzieci (klasy 4-6)</t>
  </si>
  <si>
    <t>Miejska Biblioteka Publiczna w Nowogardzie – Filia nr 1</t>
  </si>
  <si>
    <t>ul. Gen. Bema 41</t>
  </si>
  <si>
    <t>Nowogródek Pomorski</t>
  </si>
  <si>
    <t>Gminna Biblioteka Publiczna w Karsku – Filia Nowogródek Pomorski</t>
  </si>
  <si>
    <t>ul. Szkolna 5</t>
  </si>
  <si>
    <t>74-304 Nowogródek Pomorski</t>
  </si>
  <si>
    <t>Płoty</t>
  </si>
  <si>
    <t>Biblioteka Publiczna Miasta i Gminy w Płotach</t>
  </si>
  <si>
    <t>72-310 Płoty</t>
  </si>
  <si>
    <t>Police</t>
  </si>
  <si>
    <t>Biblioteka w Policach – Filia Naukowa</t>
  </si>
  <si>
    <t>ul. Barnima 26</t>
  </si>
  <si>
    <t>72-010 Police</t>
  </si>
  <si>
    <t>Postomino</t>
  </si>
  <si>
    <t>Biblioteka Publiczna w Postominie</t>
  </si>
  <si>
    <t>Postomino 30</t>
  </si>
  <si>
    <t>76-113 Postomino</t>
  </si>
  <si>
    <t>Pyrzyce</t>
  </si>
  <si>
    <t>Pyrzycka Biblioteka Publiczna</t>
  </si>
  <si>
    <t>Plac Wolności 3</t>
  </si>
  <si>
    <t>74-200 Pyrzyce</t>
  </si>
  <si>
    <t>Przecław</t>
  </si>
  <si>
    <t>Gminna Biblioteka Publiczna w Kołbaskowie – Filia w Przecławiu</t>
  </si>
  <si>
    <t>Przecław 27</t>
  </si>
  <si>
    <t>72-005 Przecław</t>
  </si>
  <si>
    <t>Rosnowo</t>
  </si>
  <si>
    <t>Biblioteka Publiczna Gminy Manowo Filia w Rosnowie</t>
  </si>
  <si>
    <t>Rosnowo 8</t>
  </si>
  <si>
    <t>76-042 Rosnowo</t>
  </si>
  <si>
    <t>Sianów</t>
  </si>
  <si>
    <t>Centrum Kultury i Biblioteka Publiczna Gminy i Miasta Sianów</t>
  </si>
  <si>
    <t>Plac Pod Lipami 9</t>
  </si>
  <si>
    <t>76-004 Sianów</t>
  </si>
  <si>
    <t>Sławno</t>
  </si>
  <si>
    <t>Miejska Biblioteka Publiczna w Sławnie</t>
  </si>
  <si>
    <t>ul. Rapackiego 16 a</t>
  </si>
  <si>
    <t>76-100 Sławno</t>
  </si>
  <si>
    <t>Stanomino</t>
  </si>
  <si>
    <t>Gminna Biblioteka Publiczna w Stanominie</t>
  </si>
  <si>
    <t>Stanomino 27</t>
  </si>
  <si>
    <t>78-217 Stanomino</t>
  </si>
  <si>
    <t>Stargard</t>
  </si>
  <si>
    <t>Książnica Stargardzka</t>
  </si>
  <si>
    <t>ul. Mieszka I 1</t>
  </si>
  <si>
    <t>73-110 Stargard Szczeciński</t>
  </si>
  <si>
    <t>Stepnica</t>
  </si>
  <si>
    <t>Gminna Biblioteka Publiczna w Stepnicy</t>
  </si>
  <si>
    <t>ul. B. Krzywoustego 4</t>
  </si>
  <si>
    <t>72-112 Stepnica</t>
  </si>
  <si>
    <t>Strzelewo</t>
  </si>
  <si>
    <t>Miejska Biblioteka Publiczna w Nowogardzie – Filia w Strzelewie</t>
  </si>
  <si>
    <t>Strzelewo 7</t>
  </si>
  <si>
    <t>Szczecin</t>
  </si>
  <si>
    <t>Książnica Pomorska</t>
  </si>
  <si>
    <t>ul. Podgórna 15/16</t>
  </si>
  <si>
    <t>70-205 Szczecin</t>
  </si>
  <si>
    <t>Miejska Biblioteka Publiczna – Filia nr 4</t>
  </si>
  <si>
    <t>ul. Barnima 25</t>
  </si>
  <si>
    <t>71-434 Szczecin</t>
  </si>
  <si>
    <t>ul. Dziennikarska 39</t>
  </si>
  <si>
    <t>70-822 Szczecin</t>
  </si>
  <si>
    <t>ul. Marcina 1</t>
  </si>
  <si>
    <t>71-899 Szczecin</t>
  </si>
  <si>
    <t>Miejska Biblioteka Publiczna – Filia nr 13</t>
  </si>
  <si>
    <t>ul. Księżnej Zofii 2</t>
  </si>
  <si>
    <t>71-582 Szczecin</t>
  </si>
  <si>
    <t>ul. Krzemienna 17</t>
  </si>
  <si>
    <t>70-734 Szczecin</t>
  </si>
  <si>
    <t>ul. Bartnicza 10a</t>
  </si>
  <si>
    <t>71-487 Szczecin</t>
  </si>
  <si>
    <t>Miejska Biblioteka Publiczna – Filia nr 38</t>
  </si>
  <si>
    <t>ul. 26 Kwietnia 1</t>
  </si>
  <si>
    <t>71-126 Szczecin</t>
  </si>
  <si>
    <t>Miejska Biblioteka Publiczna – Filia nr 48</t>
  </si>
  <si>
    <t>ul. Rydla 93</t>
  </si>
  <si>
    <t>70-783 Szczecin</t>
  </si>
  <si>
    <t>Miejska Biblioteka Publiczna – Filia nr 54</t>
  </si>
  <si>
    <t>Al. Wojska Polskiego 2</t>
  </si>
  <si>
    <t>70-471 Szczecin</t>
  </si>
  <si>
    <t>Fundacja Kultury, Sportu i Aktywności Lokalnej „Prawobrzeże”</t>
  </si>
  <si>
    <t>ul. Seledynowa 91a</t>
  </si>
  <si>
    <t>70-781 Szczecin</t>
  </si>
  <si>
    <t>Szczecinek</t>
  </si>
  <si>
    <t>ul. Kardynała S. Wyszyńskiego 34</t>
  </si>
  <si>
    <t>78-400 Szczecinek</t>
  </si>
  <si>
    <t>Trzebiatów</t>
  </si>
  <si>
    <t>ul. Wojska Polskiego 67</t>
  </si>
  <si>
    <t>72-320 Trzebiatów</t>
  </si>
  <si>
    <t>Tuczno</t>
  </si>
  <si>
    <t>Biblioteka Publiczna Miasta i Gminy w Tucznie</t>
  </si>
  <si>
    <t>ul. Wolności 14</t>
  </si>
  <si>
    <t>78-640 Tuczno</t>
  </si>
  <si>
    <t>Wałcz</t>
  </si>
  <si>
    <t>Miejska Biblioteka Publiczna w Wałczu</t>
  </si>
  <si>
    <t>Plac Zesłańców Sybiru 3</t>
  </si>
  <si>
    <t>78-600 Wałcz</t>
  </si>
  <si>
    <t>Wierzbięcin</t>
  </si>
  <si>
    <t>Wołczkowo</t>
  </si>
  <si>
    <t>Gminne Centrum Kultury i Bibliotek w Dobrej – Filia w Wołczkowie</t>
  </si>
  <si>
    <t>ul. Lipowa 11a</t>
  </si>
  <si>
    <t>72-003 Wołczkowo</t>
  </si>
  <si>
    <t>Wyszewo</t>
  </si>
  <si>
    <t>Biblioteka Publiczna Gminy Manowo z siedzibą w Wyszewie</t>
  </si>
  <si>
    <t>Wyszewo 18</t>
  </si>
  <si>
    <t>Złocieniec</t>
  </si>
  <si>
    <t>Biblioteka Publiczna w Złocieńcu</t>
  </si>
  <si>
    <t>ul. Obrońców Westerplatte 3</t>
  </si>
  <si>
    <t>78-520 Złocieniec</t>
  </si>
  <si>
    <t>Żabowo</t>
  </si>
  <si>
    <t>Miejska Biblioteka Publiczna w Nowogardzie – Filia w Żabowie</t>
  </si>
  <si>
    <t>Żabowo 42</t>
  </si>
  <si>
    <t>Gołańcz Pomorska</t>
  </si>
  <si>
    <t>Aldona Horoszewicz</t>
  </si>
  <si>
    <t>95 74 62 135</t>
  </si>
  <si>
    <t>74-320 Barlinek</t>
  </si>
  <si>
    <t>ul. Podwale 9</t>
  </si>
  <si>
    <t>Biblioteka Publiczna Miasta i Gminy w Barlinku</t>
  </si>
  <si>
    <t>Marcin Pierzchliński, Magda Zaziemska</t>
  </si>
  <si>
    <t>723 221 219</t>
  </si>
  <si>
    <t>Magdalena Ubych</t>
  </si>
  <si>
    <t>Danuta Nowak</t>
  </si>
  <si>
    <t>692 005 428</t>
  </si>
  <si>
    <t>Monika Żemojtel</t>
  </si>
  <si>
    <t>94 316 70 10</t>
  </si>
  <si>
    <t>Barbara Pelc</t>
  </si>
  <si>
    <t>531 671 300</t>
  </si>
  <si>
    <t>76-009 Bonin</t>
  </si>
  <si>
    <t>Bonin 18</t>
  </si>
  <si>
    <t>Teresa Błońska</t>
  </si>
  <si>
    <t>91 402 20 02</t>
  </si>
  <si>
    <t>Halina Kluczewska</t>
  </si>
  <si>
    <t>95 765 24 36</t>
  </si>
  <si>
    <t>Irena Kozłowska</t>
  </si>
  <si>
    <t>95 765 22 39</t>
  </si>
  <si>
    <t>Anna Lewicka</t>
  </si>
  <si>
    <t>Hanna Rymar</t>
  </si>
  <si>
    <t>94 375 54 64</t>
  </si>
  <si>
    <t>Jolanta Szczepaniak</t>
  </si>
  <si>
    <t>94 314 26 97</t>
  </si>
  <si>
    <t>Katarzyna Worobiej</t>
  </si>
  <si>
    <t>Dorota Sipemail biblioteka.darlowko[at]wp.pl</t>
  </si>
  <si>
    <t>94 314 22 72</t>
  </si>
  <si>
    <t>Renata Afeltowicz</t>
  </si>
  <si>
    <t>605 379 909</t>
  </si>
  <si>
    <t>Karolina Sielicka</t>
  </si>
  <si>
    <t>95 760 26 85</t>
  </si>
  <si>
    <t>ul. Mickiewicza 32</t>
  </si>
  <si>
    <t>Biblioteka Publiczna Miasta i Gminy w Dębnie</t>
  </si>
  <si>
    <t>Katarzyna Grzesiak</t>
  </si>
  <si>
    <t>Danuta Podbereska</t>
  </si>
  <si>
    <t>Ewelina Maciocha-Pławska</t>
  </si>
  <si>
    <t>Małgorzata Dziedziuch</t>
  </si>
  <si>
    <t>510 855 844</t>
  </si>
  <si>
    <t>Jolanta Jankowska</t>
  </si>
  <si>
    <t>694 483 939</t>
  </si>
  <si>
    <t>Elżbieta Wardak</t>
  </si>
  <si>
    <t>91 42 41 980</t>
  </si>
  <si>
    <t>Jolanta Różańska</t>
  </si>
  <si>
    <t>91 311 88 23</t>
  </si>
  <si>
    <t>Barbara Zajączkowska</t>
  </si>
  <si>
    <t>95 768 21 63</t>
  </si>
  <si>
    <t>Iwona Bzdyra</t>
  </si>
  <si>
    <t>91 38 13 547</t>
  </si>
  <si>
    <t>Magdalena Tomaszewska</t>
  </si>
  <si>
    <t>91 4182260</t>
  </si>
  <si>
    <t>Marzenna Dudek</t>
  </si>
  <si>
    <t>91 38 72 614</t>
  </si>
  <si>
    <t>Robert Erchardt</t>
  </si>
  <si>
    <t>91 887 337 555</t>
  </si>
  <si>
    <t>Agnieszka Smolińska</t>
  </si>
  <si>
    <t>Mariusz Kiełtyka</t>
  </si>
  <si>
    <t>91 416 26 39</t>
  </si>
  <si>
    <t>Julia Chowańska</t>
  </si>
  <si>
    <t>Angelika Kwaśniak</t>
  </si>
  <si>
    <t>91 56 23 084</t>
  </si>
  <si>
    <t>Urszula Miłoszewska</t>
  </si>
  <si>
    <t>94 361 78 05</t>
  </si>
  <si>
    <t>Mirosława Malinowska-Papuga</t>
  </si>
  <si>
    <t>91 382 05 41</t>
  </si>
  <si>
    <t>Mariola Kloska</t>
  </si>
  <si>
    <t>95 747 80 70</t>
  </si>
  <si>
    <t>Justyna Rzepecka</t>
  </si>
  <si>
    <t>Beata Zadka</t>
  </si>
  <si>
    <t>94 352 30 04, 94 354 72 03</t>
  </si>
  <si>
    <t>Elżbieta Werner</t>
  </si>
  <si>
    <t>94 348 15 73</t>
  </si>
  <si>
    <t>75-847 Koszalin</t>
  </si>
  <si>
    <t>ul. Wenedów 24b/8</t>
  </si>
  <si>
    <t>Koszalińska Biblioteka Publiczna – Filia nr 1</t>
  </si>
  <si>
    <t>94 348 15 62</t>
  </si>
  <si>
    <t>75-013 Koszalin</t>
  </si>
  <si>
    <t>ul. Władysława Andersa 4-6</t>
  </si>
  <si>
    <t>Koszalińska Biblioteka Publiczna – Filia nr 8</t>
  </si>
  <si>
    <t>75-704 Koszalin</t>
  </si>
  <si>
    <t>ul. A. Struga 5</t>
  </si>
  <si>
    <t>Koszalińska Biblioteka Publiczna – Filia nr 9</t>
  </si>
  <si>
    <t>75-233 Koszalin</t>
  </si>
  <si>
    <t>ul. Spokojna 48</t>
  </si>
  <si>
    <t>Koszalińska Biblioteka Publiczna – Filia nr 12</t>
  </si>
  <si>
    <t>Ewa Smoderek</t>
  </si>
  <si>
    <t>95 765 54 05</t>
  </si>
  <si>
    <t>Ewa Łyczkowska</t>
  </si>
  <si>
    <t>91 39 744 08</t>
  </si>
  <si>
    <t>Jolanta Barczyńska Piekarzewicz</t>
  </si>
  <si>
    <t>730 760 380</t>
  </si>
  <si>
    <t>Danuta Maciejewska</t>
  </si>
  <si>
    <t>94 31 89 251</t>
  </si>
  <si>
    <t>Edyta Sztylc</t>
  </si>
  <si>
    <t>91 483 59 95</t>
  </si>
  <si>
    <t>Anna Piecyk</t>
  </si>
  <si>
    <t>91 328 04 42</t>
  </si>
  <si>
    <t>Kazimiera Fecak</t>
  </si>
  <si>
    <t>91 39 26 260</t>
  </si>
  <si>
    <t>Ewelina Kamińska</t>
  </si>
  <si>
    <t>Milena Wiśniewska</t>
  </si>
  <si>
    <t>Marta Grycner</t>
  </si>
  <si>
    <t>Elżbieta Laskowska</t>
  </si>
  <si>
    <t>601 553 885</t>
  </si>
  <si>
    <t>Zuzanna Rusin</t>
  </si>
  <si>
    <t>95 747 17 70</t>
  </si>
  <si>
    <t>Bogumiła Sybidło</t>
  </si>
  <si>
    <t>91 385 13 50</t>
  </si>
  <si>
    <t>Grażyna Jagiełko</t>
  </si>
  <si>
    <t>91 317 58 51</t>
  </si>
  <si>
    <t>Renata Zielonka</t>
  </si>
  <si>
    <t>59 846 44 44</t>
  </si>
  <si>
    <t>Beata Statkiewicz</t>
  </si>
  <si>
    <t>91 570 15 69</t>
  </si>
  <si>
    <t>Beata Podemska</t>
  </si>
  <si>
    <t>91 434 57 09</t>
  </si>
  <si>
    <t>Maria Staciwa</t>
  </si>
  <si>
    <t>730 800 650</t>
  </si>
  <si>
    <t>Krystyna Jurgo</t>
  </si>
  <si>
    <t>94 31 85 381</t>
  </si>
  <si>
    <t>Monika Olszak</t>
  </si>
  <si>
    <t>Elżbieta Broda</t>
  </si>
  <si>
    <t>59 810 76 77</t>
  </si>
  <si>
    <t>Barbara Kacprowska</t>
  </si>
  <si>
    <t>609 189 002</t>
  </si>
  <si>
    <t>Anna Kucharska</t>
  </si>
  <si>
    <t>91 578 82 45</t>
  </si>
  <si>
    <t>Ewa Pływaczyk</t>
  </si>
  <si>
    <t>Małgorzata Gałan</t>
  </si>
  <si>
    <t>91 41 88 075</t>
  </si>
  <si>
    <t>Dominika Rossa</t>
  </si>
  <si>
    <t>663 390 276</t>
  </si>
  <si>
    <t>Grzegorz Piskorz</t>
  </si>
  <si>
    <t>91 48 19 180</t>
  </si>
  <si>
    <t>Aldona Pietkiewicz</t>
  </si>
  <si>
    <t>91 42 33 374</t>
  </si>
  <si>
    <t>Hanna Góralska</t>
  </si>
  <si>
    <t>91 46 00 703</t>
  </si>
  <si>
    <t>Anna Żurkowska</t>
  </si>
  <si>
    <t>91 422 71 09</t>
  </si>
  <si>
    <t>Agnieszka Mucha</t>
  </si>
  <si>
    <t>91 44 23 857</t>
  </si>
  <si>
    <t>Anna van de Wetering</t>
  </si>
  <si>
    <t>91 4609631</t>
  </si>
  <si>
    <t>Agnieszka Bartos</t>
  </si>
  <si>
    <t>Tomasz Połoński</t>
  </si>
  <si>
    <t>91 431 56 78</t>
  </si>
  <si>
    <t>Sandra Jóźwiak</t>
  </si>
  <si>
    <t>91 46 42 881</t>
  </si>
  <si>
    <t>Marcin Kulik</t>
  </si>
  <si>
    <t>91 506 50 56</t>
  </si>
  <si>
    <t>Renata Kubicka-Waśkiel</t>
  </si>
  <si>
    <t>94 732 65 28</t>
  </si>
  <si>
    <t>Stanisława Prętka</t>
  </si>
  <si>
    <t>91 387 26 14</t>
  </si>
  <si>
    <t>Karolina Kurczewska</t>
  </si>
  <si>
    <t>Małgorzata Karasek</t>
  </si>
  <si>
    <t>67 259 3101</t>
  </si>
  <si>
    <t>Martyna Pilarska</t>
  </si>
  <si>
    <t>67 259 31 01</t>
  </si>
  <si>
    <t>Kamila Radecka</t>
  </si>
  <si>
    <t>67 381 95 66</t>
  </si>
  <si>
    <t>Sebastian Jemilianowicz</t>
  </si>
  <si>
    <t>725 671 932</t>
  </si>
  <si>
    <t>Wierzbięcin 50</t>
  </si>
  <si>
    <t>Miejska Biblioteka Publiczna w Nowogardzie – Filia w Wierzbięcinie</t>
  </si>
  <si>
    <t>Beata Pypa</t>
  </si>
  <si>
    <t>91 43 96 670</t>
  </si>
  <si>
    <t>94 318 25 90</t>
  </si>
  <si>
    <t>Anna Styrska</t>
  </si>
  <si>
    <t>94 367 16 49</t>
  </si>
  <si>
    <t>Barbara Bielak</t>
  </si>
  <si>
    <t>Anna Śliwińska</t>
  </si>
  <si>
    <t>791 830 506</t>
  </si>
  <si>
    <t>Białogardzka Biblioteka PublicznaCzytelnia Księgozbioru Aleksandra Kwaśniewskiego</t>
  </si>
  <si>
    <t>Anna Imbiorowicz</t>
  </si>
  <si>
    <t>91 463 17 44</t>
  </si>
  <si>
    <t>Boguszewo</t>
  </si>
  <si>
    <t>Janowo</t>
  </si>
  <si>
    <t>Myśliwiec</t>
  </si>
  <si>
    <t>Papowo Biskupie</t>
  </si>
  <si>
    <t>Gminna Biblioteka Publiczna w Papowie Biskupim</t>
  </si>
  <si>
    <t>Papowo Biskupie 131</t>
  </si>
  <si>
    <t>86-221 Papowo Biskupie</t>
  </si>
  <si>
    <t>87-200 Wąbrzeźno</t>
  </si>
  <si>
    <t>DKK dla dorosłych (Klub Toruńskiego Uniwersytetu Trzeciego Wieku)</t>
  </si>
  <si>
    <t>ul. Bartkiewiczówny 94e/10</t>
  </si>
  <si>
    <t>87-100 Toruń</t>
  </si>
  <si>
    <t>Wielkie Radowiska</t>
  </si>
  <si>
    <t xml:space="preserve">Orzechowo </t>
  </si>
  <si>
    <t>Toruń</t>
  </si>
  <si>
    <t>Izabela Ostrowska</t>
  </si>
  <si>
    <t>56 468 43 22</t>
  </si>
  <si>
    <t>86-330 Boguszewo</t>
  </si>
  <si>
    <t>Gminna Biblioteka Publiczna w Grucie – Filia w Boguszewie</t>
  </si>
  <si>
    <t>Anna Murawska</t>
  </si>
  <si>
    <t>56 49 822 47</t>
  </si>
  <si>
    <t>87-300 Brodnica</t>
  </si>
  <si>
    <t>Brodnica Miejska i Powiatowa Biblioteka Publiczna w Brodnicy</t>
  </si>
  <si>
    <t>56 493 47 74</t>
  </si>
  <si>
    <t>ul. Łyskowskiego 4A/1A</t>
  </si>
  <si>
    <t>Miejska i Powiatowa Biblioteka Publiczna w Brodnicy – Filia nr 2</t>
  </si>
  <si>
    <t>Emilia Sehnke</t>
  </si>
  <si>
    <t>56 676 14 54</t>
  </si>
  <si>
    <t>86-200 Chełmno</t>
  </si>
  <si>
    <t>al. 3 Maja 2</t>
  </si>
  <si>
    <t>Chełmno Miejska Biblioteka Publiczna</t>
  </si>
  <si>
    <t>Joanna Jabłońska</t>
  </si>
  <si>
    <t>56 675 61 33 wew. 36</t>
  </si>
  <si>
    <t>87-140 Chełmża</t>
  </si>
  <si>
    <t>ul. Rynek 4</t>
  </si>
  <si>
    <t>Chełmża Powiatowa i Miejska Biblioteka Publiczna w Chełmży</t>
  </si>
  <si>
    <t>Ewa Wysińska</t>
  </si>
  <si>
    <t>54 444 72 81</t>
  </si>
  <si>
    <t>87-850 Choceń</t>
  </si>
  <si>
    <t>ul. 3 Maja 29</t>
  </si>
  <si>
    <t>Choceń Choceńskie Centrum Kultury – Biblioteka</t>
  </si>
  <si>
    <t>Aneta Sulecka</t>
  </si>
  <si>
    <t>56 683 77 01</t>
  </si>
  <si>
    <t>87-408 Ciechocin</t>
  </si>
  <si>
    <t>Monika Kowalska</t>
  </si>
  <si>
    <t>54 283 44 12</t>
  </si>
  <si>
    <t>87-720 Ciechocinek</t>
  </si>
  <si>
    <t>ul. Żelazna 5</t>
  </si>
  <si>
    <t>Ciechocinek Miejska Biblioteka Publiczna w Ciechocinku</t>
  </si>
  <si>
    <t>Lidia Wasilewska</t>
  </si>
  <si>
    <t>Miejska Biblioteka Publiczna w Ciechocinku</t>
  </si>
  <si>
    <t>Justyna Baranowicz</t>
  </si>
  <si>
    <t>54 289 74 70, 668 170 930</t>
  </si>
  <si>
    <t>87-603 Wielgie</t>
  </si>
  <si>
    <t>Czarne 7</t>
  </si>
  <si>
    <t>Ośrodek Kultury i Biblioteka Gminy Wielgie – Filia nr 2 w Czarnem</t>
  </si>
  <si>
    <t>Dorota Zmudzińska</t>
  </si>
  <si>
    <t>883 687 746</t>
  </si>
  <si>
    <t>87-640 Czernikowo</t>
  </si>
  <si>
    <t>ul. Toruńska 20</t>
  </si>
  <si>
    <t>Czernikowo Gminna Biblioteka Publiczna w Czernikowie</t>
  </si>
  <si>
    <t>Maria Drzewiecka</t>
  </si>
  <si>
    <t>54 251 67 94</t>
  </si>
  <si>
    <t>87-811 Fabianki</t>
  </si>
  <si>
    <t>Ewa Kaźmierkiewicz</t>
  </si>
  <si>
    <t>56 683 24 05</t>
  </si>
  <si>
    <t>ub-Dobrzyń</t>
  </si>
  <si>
    <t>ul. Żeromskiego 11 87-400 Gol</t>
  </si>
  <si>
    <t>Golub-Dobrzyń Miejska i Powiatowa Biblioteka Publiczna w Golubiu-Dobrzyniu</t>
  </si>
  <si>
    <t>Dorota Zapiec</t>
  </si>
  <si>
    <t>56 645 94 05</t>
  </si>
  <si>
    <t>87-122 Grębocin</t>
  </si>
  <si>
    <t>Grębocin Gminna Biblioteka Publiczna w Lubiczu – Filia w Grębocinie</t>
  </si>
  <si>
    <t>Barbara Labocha-Zielińska</t>
  </si>
  <si>
    <t>56 462 02 01</t>
  </si>
  <si>
    <t>86-300 Grudziądz</t>
  </si>
  <si>
    <t>ul. Legionów 28</t>
  </si>
  <si>
    <t>Grudziądz Biblioteka Miejska</t>
  </si>
  <si>
    <t>Hanna Czerlińska</t>
  </si>
  <si>
    <t>56 463 95 26</t>
  </si>
  <si>
    <t>ul. Nauczycielska 19</t>
  </si>
  <si>
    <t>Biblioteka Miejska – Filia nr 1</t>
  </si>
  <si>
    <t>Lilianna Majewska</t>
  </si>
  <si>
    <t>56 465 45 02, 609 460 188</t>
  </si>
  <si>
    <t>ul. Korczaka 23</t>
  </si>
  <si>
    <t>Biblioteka Miejska – Filia nr 3</t>
  </si>
  <si>
    <t>Maria Marczuk</t>
  </si>
  <si>
    <t>56 465 44 77, 663691714</t>
  </si>
  <si>
    <t>ul. Tytoniowa 1</t>
  </si>
  <si>
    <t>Biblioteka Miejska – Filia nr 4</t>
  </si>
  <si>
    <t>DKK dla dorosłych (czytelnicy niepełnosprawni/niedowidzący)</t>
  </si>
  <si>
    <t>Teresa Mazurkiewicz</t>
  </si>
  <si>
    <t>56 462 20 72, 507 481 227</t>
  </si>
  <si>
    <t>ul. Mikołaja z Ryńska 1-7</t>
  </si>
  <si>
    <t>Biblioteka Miejska – Filia nr 13 i Ośrodek Czytelnictwa Niepełnosprawnych</t>
  </si>
  <si>
    <t>Halina Kołodziejska</t>
  </si>
  <si>
    <t>56 465 15 96</t>
  </si>
  <si>
    <t>ul. Droga Mazurska 2A</t>
  </si>
  <si>
    <t>Biblioteka Miejska – Filia nr 14</t>
  </si>
  <si>
    <t>Anna Fabrykiewicz</t>
  </si>
  <si>
    <t>56 468 38 48</t>
  </si>
  <si>
    <t>86-330 Mełno</t>
  </si>
  <si>
    <t>Renata Żulewska</t>
  </si>
  <si>
    <t>56 49 49 777, 669 360 856</t>
  </si>
  <si>
    <t>87-335 Świedziebnia</t>
  </si>
  <si>
    <t>Janowo 145a</t>
  </si>
  <si>
    <t>Gminna Biblioteka w Świedziebni – Filia w Janowie</t>
  </si>
  <si>
    <t>Lidia Borkowska</t>
  </si>
  <si>
    <t>54 284 22 78</t>
  </si>
  <si>
    <t>87-820 Kowal</t>
  </si>
  <si>
    <t>ul. Matejki 8</t>
  </si>
  <si>
    <t>Kowal Miejska Biblioteka Publiczna w Kowalu</t>
  </si>
  <si>
    <t>Maria Bernacka</t>
  </si>
  <si>
    <t>509 609 594</t>
  </si>
  <si>
    <t>87-162 Krobia</t>
  </si>
  <si>
    <t>ul. Olimpijska 14</t>
  </si>
  <si>
    <t>Krobia Gminna Biblioteka Publiczna w Lubiczu – Punkt Biblioteczny w Krobi</t>
  </si>
  <si>
    <t>Elżbieta Małkowska</t>
  </si>
  <si>
    <t>54 286 22 25</t>
  </si>
  <si>
    <t>87-890 Lubraniec</t>
  </si>
  <si>
    <t>Plac dr Mariana Szulca 1</t>
  </si>
  <si>
    <t>Lubraniec Miejsko-Gminna Biblioteka Publiczna</t>
  </si>
  <si>
    <t>Barbara Kosior, Marita Klonowska</t>
  </si>
  <si>
    <t>56 466 50 42</t>
  </si>
  <si>
    <t>86-320 Łasin</t>
  </si>
  <si>
    <t>ul. Curie-Skłodowskiej 1</t>
  </si>
  <si>
    <t>Łasin Biblioteka Publiczna Miasta i Gminy Łasin</t>
  </si>
  <si>
    <t>Agnieszka Ziemba</t>
  </si>
  <si>
    <t>56 678 31 52</t>
  </si>
  <si>
    <t>87-148 Łysomice</t>
  </si>
  <si>
    <t>ul. Warszawska 19</t>
  </si>
  <si>
    <t>Łysomice Gminna Biblioteka Publiczna w Łysomicach</t>
  </si>
  <si>
    <t>Maria Miłoszewicz</t>
  </si>
  <si>
    <t>56 678 12 19</t>
  </si>
  <si>
    <t>87-103 Toruń</t>
  </si>
  <si>
    <t>ul. Leśna 1</t>
  </si>
  <si>
    <t>Mała Nieszawka Gminna Biblioteka Publiczna w Małej Nieszawce</t>
  </si>
  <si>
    <t>Kamila Fiałkowska</t>
  </si>
  <si>
    <t>726 104 157</t>
  </si>
  <si>
    <t>Myśliwiec 3</t>
  </si>
  <si>
    <t>Gminna Biblioteka Publiczna w Pływaczewie – Filia w Myśliwcu</t>
  </si>
  <si>
    <t>Daria Wrzesińska</t>
  </si>
  <si>
    <t>56 683 84 24</t>
  </si>
  <si>
    <t>87-400 Golub Dobrzyń</t>
  </si>
  <si>
    <t>Justyna Ciupak</t>
  </si>
  <si>
    <t>56 688 50 28</t>
  </si>
  <si>
    <t>Orzechowo 13</t>
  </si>
  <si>
    <t>Gminna Biblioteka Publiczna w Pływaczewie – Filia Orzechowo</t>
  </si>
  <si>
    <t>Ewelina Grzelak</t>
  </si>
  <si>
    <t>56 676 96 64</t>
  </si>
  <si>
    <t>DKK dla dzieci Pływaczewo</t>
  </si>
  <si>
    <t>Izabela Niedbała</t>
  </si>
  <si>
    <t>690680325, 56 688 72 53</t>
  </si>
  <si>
    <t>87-214 Płużnica</t>
  </si>
  <si>
    <t>Grażyna Góralska</t>
  </si>
  <si>
    <t>56 688 56 87</t>
  </si>
  <si>
    <t>Dorota Świderska</t>
  </si>
  <si>
    <t>54 285 32 80</t>
  </si>
  <si>
    <t>88-200 Radziejów</t>
  </si>
  <si>
    <t>ul. Objezdna 33</t>
  </si>
  <si>
    <t>Radziejów Miejska i Powiatowa Biblioteka Publiczna</t>
  </si>
  <si>
    <t>Ewelina Łodygowska</t>
  </si>
  <si>
    <t>692 289 835</t>
  </si>
  <si>
    <t>ul. Kościuszki 58</t>
  </si>
  <si>
    <t>Zespół Szkół Mechanicznych im. Józefa Piłsudskiego</t>
  </si>
  <si>
    <t>Edyta Miś</t>
  </si>
  <si>
    <t>56 477 52 67</t>
  </si>
  <si>
    <t>87-213 Ryńsk</t>
  </si>
  <si>
    <t>Ryńsk Gminna Biblioteka Publiczna w Pływaczewie – Filia w Ryńsku</t>
  </si>
  <si>
    <t>Natalia Baran</t>
  </si>
  <si>
    <t>54 280 21 42</t>
  </si>
  <si>
    <t>87-500 Rypin</t>
  </si>
  <si>
    <t>ul. Warszawska 21</t>
  </si>
  <si>
    <t>Rypin Miejsko-Powiatowa Biblioteka Publiczna</t>
  </si>
  <si>
    <t>Mariola Kolasińska</t>
  </si>
  <si>
    <t>518 763 652</t>
  </si>
  <si>
    <t>Joanna Bonawenturska</t>
  </si>
  <si>
    <t>56 498 14 48, 603 561 239</t>
  </si>
  <si>
    <t>Marek Ospalski</t>
  </si>
  <si>
    <t>ul. Słowackiego 8</t>
  </si>
  <si>
    <t>Książnica Kopernikańska w Toruniu</t>
  </si>
  <si>
    <t>Magdalena Gogulska-Dębska</t>
  </si>
  <si>
    <t>56 622 87 14, 56 622 56 74</t>
  </si>
  <si>
    <t>ul. Szczytna 13</t>
  </si>
  <si>
    <t>Książnica Kopernikańska w Toruniu Ośrodek Czytelnictwa Chorych i Niepełnosprawnych</t>
  </si>
  <si>
    <t>Małgorzata Rosińska</t>
  </si>
  <si>
    <t>695 586 561</t>
  </si>
  <si>
    <t>ul. Jęczmienna 23</t>
  </si>
  <si>
    <t>Książnica Kopernikańska w Toruniu – Filia nr 1</t>
  </si>
  <si>
    <t>Danuta Niebrzegowska, Małgorzata Rosińska</t>
  </si>
  <si>
    <t>ul. Jęczmienna 23 / Kopernika 22</t>
  </si>
  <si>
    <t>Książnica Kopernikańska w Toruniu – Kamienica Inicjatyw</t>
  </si>
  <si>
    <t>Krzysztof Żebrowski</t>
  </si>
  <si>
    <t>607 083 838</t>
  </si>
  <si>
    <t>Danuta Marchlewicz</t>
  </si>
  <si>
    <t>56 621 08 69</t>
  </si>
  <si>
    <t>Magdalena Chołys</t>
  </si>
  <si>
    <t>56 655 98 04</t>
  </si>
  <si>
    <t>ul. Kościuszki 47</t>
  </si>
  <si>
    <t>Książnica Kopernikańska w Toruniu – Filia nr 2</t>
  </si>
  <si>
    <t>Paulina Jakubanis</t>
  </si>
  <si>
    <t>56 6225668, 798659255</t>
  </si>
  <si>
    <t>ul. Mickiewicza 61</t>
  </si>
  <si>
    <t>Książnica Kopernikańska w Toruniu – Filia nr 3</t>
  </si>
  <si>
    <t>Lidia Klimaszewska</t>
  </si>
  <si>
    <t>56 651 36 85</t>
  </si>
  <si>
    <t>ul. Poznańska 52</t>
  </si>
  <si>
    <t>Książnica Kopernikańska w Toruniu – Filia nr 4</t>
  </si>
  <si>
    <t>Krzysztof Łodygowski</t>
  </si>
  <si>
    <t>Katarzyna Żelaskowska</t>
  </si>
  <si>
    <t>56 655 31 82</t>
  </si>
  <si>
    <t>ul. Lubicka 45c</t>
  </si>
  <si>
    <t>Książnica Kopernikańska w Toruniu – Filia nr 5</t>
  </si>
  <si>
    <t>Marlena Hałas</t>
  </si>
  <si>
    <t>56 655 18 48</t>
  </si>
  <si>
    <t>ul. Lelewela 3</t>
  </si>
  <si>
    <t>Książnica Kopernikańska w Toruniu – Filia nr 6</t>
  </si>
  <si>
    <t>Ewa Swobodzińska</t>
  </si>
  <si>
    <t>Joanna Jeszke</t>
  </si>
  <si>
    <t>56 654 78 52</t>
  </si>
  <si>
    <t>ul. Okólna 169</t>
  </si>
  <si>
    <t>Książnica Kopernikańska w Toruniu – Filia nr 7</t>
  </si>
  <si>
    <t>Magdalena Żywiecka</t>
  </si>
  <si>
    <t>Małgorzata Lis</t>
  </si>
  <si>
    <t>661 27 43 67</t>
  </si>
  <si>
    <t>ul. Konstytucji 3 Maja 42</t>
  </si>
  <si>
    <t>Książnica Kopernikańska w Toruniu – Filia nr 10 Szpital Specjalistyczny dla dzieci i dorosłych</t>
  </si>
  <si>
    <t>Kamilla Krajewska-Kełpińska</t>
  </si>
  <si>
    <t>56 652 09 80</t>
  </si>
  <si>
    <t>ul. Fałata 35</t>
  </si>
  <si>
    <t>Książnica Kopernikańska w Toruniu – Filia nr 12</t>
  </si>
  <si>
    <t>Grażyna Kujawa-Kamińska</t>
  </si>
  <si>
    <t>56 648 18 96</t>
  </si>
  <si>
    <t>ul. Łyskowskiego 29/35</t>
  </si>
  <si>
    <t>Książnica Kopernikańska w Toruniu – Filia nr 14</t>
  </si>
  <si>
    <t>Katarzyna Kowalczyk</t>
  </si>
  <si>
    <t>56 610 67 59</t>
  </si>
  <si>
    <t>ul. Raszei 1</t>
  </si>
  <si>
    <t>Książnica Kopernikańska w Toruniu – Filia nr 16</t>
  </si>
  <si>
    <t>Magdalena Świercz</t>
  </si>
  <si>
    <t>505 653 130</t>
  </si>
  <si>
    <t>Fundacja "Archipelag Inicjatyw"</t>
  </si>
  <si>
    <t>Mariola Guntowska</t>
  </si>
  <si>
    <t>56 687 14 83</t>
  </si>
  <si>
    <t>ul. Mączyńskiego 17</t>
  </si>
  <si>
    <t>Wałycz Gminna Biblioteka Publiczna w Pływaczewie – Filia Wałycz</t>
  </si>
  <si>
    <t>Marzena Seroka</t>
  </si>
  <si>
    <t>56 688 18 21</t>
  </si>
  <si>
    <t>ul. Matejki 11B</t>
  </si>
  <si>
    <t>Wąbrzeźno Miejska i Powiatowa Biblioteka Publiczna</t>
  </si>
  <si>
    <t>Joanna Górecka</t>
  </si>
  <si>
    <t>56 622 90 96</t>
  </si>
  <si>
    <t>ul. Tysiąclecia 1</t>
  </si>
  <si>
    <t>Katarzyna Kwiecińska</t>
  </si>
  <si>
    <t>54 289 74 70, 796 576 105</t>
  </si>
  <si>
    <t>Wielgie Ośrodek Kultury i Biblioteka Gminy Wielgie, Biblioteka w Wielgiem</t>
  </si>
  <si>
    <t>Beata Górecka</t>
  </si>
  <si>
    <t>56 688 93 78</t>
  </si>
  <si>
    <t>87-207 Dębowa Łąka</t>
  </si>
  <si>
    <t>Wielkie Radowiska 2</t>
  </si>
  <si>
    <t>Gminna Biblioteka Publiczna w Dębowej Łące – Filia w Wielkich Radowiskach</t>
  </si>
  <si>
    <t>Michał Paczkowski</t>
  </si>
  <si>
    <t>54 235 04 35</t>
  </si>
  <si>
    <t>87-809 Włocławek</t>
  </si>
  <si>
    <t>ul. Bartnicka 10</t>
  </si>
  <si>
    <t>Włocławek Zakład Karny we Włocławku Biblioteka Zakładowa</t>
  </si>
  <si>
    <t>Beata Dynowska</t>
  </si>
  <si>
    <t>54 231 55 50</t>
  </si>
  <si>
    <t>87-800 Włocławek</t>
  </si>
  <si>
    <t>ul. Warszawska 11/13</t>
  </si>
  <si>
    <t>Renata Ziółkowska</t>
  </si>
  <si>
    <t>54 231 55 50 w. 43, 669 423 908</t>
  </si>
  <si>
    <t>Miejska Biblioteka Publiczna – Filia Książki Mówionej</t>
  </si>
  <si>
    <t>Wiesława Szychulska</t>
  </si>
  <si>
    <t>54 237 15 50</t>
  </si>
  <si>
    <t>ul. Grodzka 2f</t>
  </si>
  <si>
    <t>DKK „Fantastyczna Trójka” dla dorosłych</t>
  </si>
  <si>
    <t>elibres@o2.pl</t>
  </si>
  <si>
    <t>Agata Mrówczyńska</t>
  </si>
  <si>
    <t>54 234 57 47</t>
  </si>
  <si>
    <t>ul. Dziewińska 17</t>
  </si>
  <si>
    <t>Marianna Koprowska</t>
  </si>
  <si>
    <t>600 621 651</t>
  </si>
  <si>
    <t>ul. Żytnia 66/68</t>
  </si>
  <si>
    <t>DKK dla dorosłych (Klub „Podróżnik”)</t>
  </si>
  <si>
    <t>Krystyna Matusiak</t>
  </si>
  <si>
    <t>: 54 231 55 93</t>
  </si>
  <si>
    <t>ul. Kapitulna 22A</t>
  </si>
  <si>
    <t>54 236 18 20</t>
  </si>
  <si>
    <t>ul. Sielska 6</t>
  </si>
  <si>
    <t>Agnieszka Zmierczak</t>
  </si>
  <si>
    <t>54 420 12 11</t>
  </si>
  <si>
    <t>ul. Łęgska 28</t>
  </si>
  <si>
    <t>Elżbieta Krzyżaniak</t>
  </si>
  <si>
    <t>54 272 05 03</t>
  </si>
  <si>
    <t>87-707 Zakrzewo</t>
  </si>
  <si>
    <t>Zakrzewo Gminna Bibliotek Publiczna w Zakrzewie</t>
  </si>
  <si>
    <t>Agnieszka Pejkowska</t>
  </si>
  <si>
    <t>Nastazja Berent</t>
  </si>
  <si>
    <t>56 648 70 79</t>
  </si>
  <si>
    <t xml:space="preserve">56 622 66 42 </t>
  </si>
  <si>
    <t>Amelin</t>
  </si>
  <si>
    <t>Publiczna Biblioteka Samorządowa w Krasnosielcu – Filia w Amelinie</t>
  </si>
  <si>
    <t>Amelin 33</t>
  </si>
  <si>
    <t>06-212 Krasnosielc</t>
  </si>
  <si>
    <t>Błonie</t>
  </si>
  <si>
    <t>Biblioteka Publiczna Gminy Błonie</t>
  </si>
  <si>
    <t>ul. Jana Pawła II 1b</t>
  </si>
  <si>
    <t>05-870 Błonie</t>
  </si>
  <si>
    <t>Brochów</t>
  </si>
  <si>
    <t>Brochów 27</t>
  </si>
  <si>
    <t>05-088 Brochów</t>
  </si>
  <si>
    <t>Brwinów</t>
  </si>
  <si>
    <t>Biblioteka Publiczna w Brwinowie</t>
  </si>
  <si>
    <t>ul. Kościuszki 1E</t>
  </si>
  <si>
    <t>05-840 Brwinów</t>
  </si>
  <si>
    <t>Brzóza</t>
  </si>
  <si>
    <t>Chotum</t>
  </si>
  <si>
    <t>Gminna Biblioteka Publiczna w Chotumiu</t>
  </si>
  <si>
    <t>Chotum 25</t>
  </si>
  <si>
    <t>06-452 Chotum</t>
  </si>
  <si>
    <t>Ciechanów</t>
  </si>
  <si>
    <t>Biblioteka Pedagogiczna</t>
  </si>
  <si>
    <t>ul. 17 Stycznia 49</t>
  </si>
  <si>
    <t>06-400 Ciechanów</t>
  </si>
  <si>
    <t>Biblioteka szkolna w I LO</t>
  </si>
  <si>
    <t>ul. 17 Stycznia 66</t>
  </si>
  <si>
    <t>Czernice Borowe</t>
  </si>
  <si>
    <t>ul. Chełchowskiego 12</t>
  </si>
  <si>
    <t>06-415 Czernice Borowe</t>
  </si>
  <si>
    <t>Dobieszyn</t>
  </si>
  <si>
    <t>Świetlica Wiejska w Dobieszynie</t>
  </si>
  <si>
    <t>ul. Leśna 4B</t>
  </si>
  <si>
    <t>26-804 Dobieszyn</t>
  </si>
  <si>
    <t>Biblioteka Publiczna Gminy Wiązowna – filia w Duchnowie</t>
  </si>
  <si>
    <t>ul. Wspólna 157</t>
  </si>
  <si>
    <t>05-462 Duchnów</t>
  </si>
  <si>
    <t>Głowaczów</t>
  </si>
  <si>
    <t>Biblioteka Publiczna Gminy Głowaczów</t>
  </si>
  <si>
    <t>Rynek 35</t>
  </si>
  <si>
    <t>26-903 Głowaczów</t>
  </si>
  <si>
    <t>Gniewoszów</t>
  </si>
  <si>
    <t>Biblioteka Publiczna Gminy Gniewoszów</t>
  </si>
  <si>
    <t>ul. Konopnickiej 19</t>
  </si>
  <si>
    <t>26-920 Gniewoszów</t>
  </si>
  <si>
    <t>Góra Kalwaria</t>
  </si>
  <si>
    <t>ul. Ks. Z. Sajny 1</t>
  </si>
  <si>
    <t>05-530 Góra Kalwaria</t>
  </si>
  <si>
    <t>Grabów nad Wisłą</t>
  </si>
  <si>
    <t>Gminna Biblioteka Publiczna w Przyłęku – Filia w Grabowie nad Wisłą</t>
  </si>
  <si>
    <t>Grabów nad Wisłą 58</t>
  </si>
  <si>
    <t>26-704 Przyłęk</t>
  </si>
  <si>
    <t>Grodzisk Mazowiecki</t>
  </si>
  <si>
    <t>Biblioteka Publiczna Gminy Grodzisk Mazowiecki – Filia nr 2</t>
  </si>
  <si>
    <t>ul. Westfala 3</t>
  </si>
  <si>
    <t>05-827 Grodzisk Mazowiecki</t>
  </si>
  <si>
    <t>Iłża</t>
  </si>
  <si>
    <t>ul. Warszawska 4</t>
  </si>
  <si>
    <t>27-100 Iłża</t>
  </si>
  <si>
    <t>Izabelin</t>
  </si>
  <si>
    <t>Gminna Biblioteka Publiczna w Izabelinie</t>
  </si>
  <si>
    <t>ul. Matejki 21</t>
  </si>
  <si>
    <t>05-080 Izabelin</t>
  </si>
  <si>
    <t>Jaktorów</t>
  </si>
  <si>
    <t>ul. Chełmońskiego 4</t>
  </si>
  <si>
    <t>96-313 Jaktorów</t>
  </si>
  <si>
    <t>Jasieniec Solecki</t>
  </si>
  <si>
    <t>26-700 Zwoleń</t>
  </si>
  <si>
    <t>Biblioteka Publiczna w Ożarowie Mazowieckim – Filia w Józefowie</t>
  </si>
  <si>
    <t>ul. Fabryczna 15</t>
  </si>
  <si>
    <t>05-860 Józefów</t>
  </si>
  <si>
    <t>Kampinos</t>
  </si>
  <si>
    <t>Biblioteka Publiczna Gminy Kampinos</t>
  </si>
  <si>
    <t>05-085 Kampinos</t>
  </si>
  <si>
    <t>Konstancin-Jeziorna</t>
  </si>
  <si>
    <t>Kozienice</t>
  </si>
  <si>
    <t>Legionowo</t>
  </si>
  <si>
    <t>05-120 Legionowo</t>
  </si>
  <si>
    <t>Biblioteka Publiczna Gminy Leszno</t>
  </si>
  <si>
    <t>ul. Polna 22 A</t>
  </si>
  <si>
    <t>05-084 Leszno</t>
  </si>
  <si>
    <t>Lubowidz</t>
  </si>
  <si>
    <t>Miejsko-Gminna Biblioteka Publiczna w Lubowidzu</t>
  </si>
  <si>
    <t>ul. Zielona 10</t>
  </si>
  <si>
    <t>09-304 Lubowidz</t>
  </si>
  <si>
    <t>Łagów</t>
  </si>
  <si>
    <t>Gminna Biblioteka Publiczna w Przyłęku – Filia w Łagowie</t>
  </si>
  <si>
    <t>Łagów 30A</t>
  </si>
  <si>
    <t>26-704 Łagów</t>
  </si>
  <si>
    <t>Łomianki</t>
  </si>
  <si>
    <t>Biblioteka w Szkole Podstawowej nr 1</t>
  </si>
  <si>
    <t>ul. Warszawska 73</t>
  </si>
  <si>
    <t>05-092 Łomianki</t>
  </si>
  <si>
    <t>Magnuszew</t>
  </si>
  <si>
    <t>Gminna Biblioteka Publiczna – Centrum Kultury w Magnuszewie</t>
  </si>
  <si>
    <t>ul. Saperów 24</t>
  </si>
  <si>
    <t>26-910 Magnuszew</t>
  </si>
  <si>
    <t>Marki</t>
  </si>
  <si>
    <t>Biblioteka Publiczna Miasta Marki</t>
  </si>
  <si>
    <t>ul. Lisa Kuli 3A</t>
  </si>
  <si>
    <t>05-270 Marki</t>
  </si>
  <si>
    <t>ul. Raszyńska 34</t>
  </si>
  <si>
    <t>05-816 Michałowice</t>
  </si>
  <si>
    <t>Międzyborów</t>
  </si>
  <si>
    <t>Gminna Biblioteka Publiczna w Jaktorowie – Filia w Międzyborowie</t>
  </si>
  <si>
    <t>ul. Poniatowskiego 1</t>
  </si>
  <si>
    <t>96-316 Międzyborów</t>
  </si>
  <si>
    <t>Milanówek</t>
  </si>
  <si>
    <t>ul. Spacerowa 4</t>
  </si>
  <si>
    <t>05-822 Milanówek</t>
  </si>
  <si>
    <t>Młochów</t>
  </si>
  <si>
    <t>Biblioteka Publiczna Gminy Nadarzyn – Filia Młochów</t>
  </si>
  <si>
    <t>ul. Mazowiecka 5c</t>
  </si>
  <si>
    <t>05-831 Młochów</t>
  </si>
  <si>
    <t>Mroków</t>
  </si>
  <si>
    <t>Gminna Biblioteka Publiczna w Lesznowoli – Filia w Mrokowie</t>
  </si>
  <si>
    <t>ul. Rejonowa 44</t>
  </si>
  <si>
    <t>05-552 Mroków</t>
  </si>
  <si>
    <t>Mszczonów</t>
  </si>
  <si>
    <t>96-320 Mszczonów</t>
  </si>
  <si>
    <t>Nadarzyn</t>
  </si>
  <si>
    <t>Biblioteka Publiczna Gminy Nadarzyn</t>
  </si>
  <si>
    <t>Pl. Poniatowskiego 42</t>
  </si>
  <si>
    <t>05-830 Nadarzyn</t>
  </si>
  <si>
    <t>Nasielsk</t>
  </si>
  <si>
    <t>Nowy Dwór Mazowiecki</t>
  </si>
  <si>
    <t>Miejska i Powiatowa Biblioteka Publiczna w Nowym Dworze Mazowieckim</t>
  </si>
  <si>
    <t>ul. I. J. Paderewskiego 22</t>
  </si>
  <si>
    <t>05-100 Nowy Dwór Mazowiecki</t>
  </si>
  <si>
    <t>Nur</t>
  </si>
  <si>
    <t>Biblioteka Publiczna Gminy Nur</t>
  </si>
  <si>
    <t>ul. Drohiczyńska 2</t>
  </si>
  <si>
    <t>07-322 Nur</t>
  </si>
  <si>
    <t>Ostrów Mazowiecka</t>
  </si>
  <si>
    <t>Otrębusy</t>
  </si>
  <si>
    <t>Biblioteka Publiczna w Brwinowie – Filia w Otrębusach</t>
  </si>
  <si>
    <t>ul. Wiejska 1</t>
  </si>
  <si>
    <t>05-805 Otrębusy</t>
  </si>
  <si>
    <t>Otwock</t>
  </si>
  <si>
    <t>Miejska Biblioteka Publiczna w Otwocku</t>
  </si>
  <si>
    <t>ul. Andriollego 45</t>
  </si>
  <si>
    <t>05-400 Otwock</t>
  </si>
  <si>
    <t>Liceum Ogólnokształcące nr 3</t>
  </si>
  <si>
    <t>ul. Słowackiego 4/10</t>
  </si>
  <si>
    <t>Liceum Ogólnokształcące</t>
  </si>
  <si>
    <t>ul. Gen. J. Filipowicza 9</t>
  </si>
  <si>
    <t>Ożarów Mazowiecki</t>
  </si>
  <si>
    <t>05-850 Ożarów Mazowiecki</t>
  </si>
  <si>
    <t>Piaseczno</t>
  </si>
  <si>
    <t>Biblioteka Publiczna w Piasecznie – Oddział dla dorosłych</t>
  </si>
  <si>
    <t>ul. Jana Pawła II 55</t>
  </si>
  <si>
    <t>05-500 Piaseczno</t>
  </si>
  <si>
    <t>Piastów</t>
  </si>
  <si>
    <t>Płock Książnica Płocka – Filia nr 4</t>
  </si>
  <si>
    <t>ul. Krzywoustego 3</t>
  </si>
  <si>
    <t>09-400 Płock</t>
  </si>
  <si>
    <t>Książnica Płocka – Filia nr 7</t>
  </si>
  <si>
    <t>ul. Piaska 5</t>
  </si>
  <si>
    <t>09-407 Płock</t>
  </si>
  <si>
    <t>Pniewy</t>
  </si>
  <si>
    <t>Gminna Biblioteka Publiczna w Pniewach</t>
  </si>
  <si>
    <t>Pniewy 2</t>
  </si>
  <si>
    <t>05-652 Pniewy</t>
  </si>
  <si>
    <t>Podkowa Leśna</t>
  </si>
  <si>
    <t>Pomiechówek</t>
  </si>
  <si>
    <t>Biblioteka Publiczna Gminy Pomiechówek</t>
  </si>
  <si>
    <t>ul. Jana Kilińskiego 3</t>
  </si>
  <si>
    <t>05-180 Pomiechówek</t>
  </si>
  <si>
    <t>Prażmów</t>
  </si>
  <si>
    <t>Biblioteka Publiczna Gminy Prażmów</t>
  </si>
  <si>
    <t>ul. F. Ryxa 53</t>
  </si>
  <si>
    <t>05-505 Prażmów</t>
  </si>
  <si>
    <t>Pruszków</t>
  </si>
  <si>
    <t>Książnica Pruszkowska – Filia nr 7</t>
  </si>
  <si>
    <t>ul. Ks. Józefa 1</t>
  </si>
  <si>
    <t>05-800 Pruszków</t>
  </si>
  <si>
    <t>Przasnysz</t>
  </si>
  <si>
    <t>ul. J. Dąbrowskiego 3</t>
  </si>
  <si>
    <t>06-300 Przasnysz</t>
  </si>
  <si>
    <t>Przyłęk</t>
  </si>
  <si>
    <t>Radom</t>
  </si>
  <si>
    <t>Miejska Biblioteka Publiczna w Radomiu – Filia nr 6</t>
  </si>
  <si>
    <t>ul. J. Kusocińskiego 13</t>
  </si>
  <si>
    <t>26-600 Radom</t>
  </si>
  <si>
    <t>Miejska Biblioteka Publiczna w Radomiu – Filia nr 16</t>
  </si>
  <si>
    <t>ul. Barycka 2</t>
  </si>
  <si>
    <t>Radzymin</t>
  </si>
  <si>
    <t>Biblioteka Publiczna Miasta i Gminy Radzymin</t>
  </si>
  <si>
    <t>ul. Konstytucji 3 Maja 15</t>
  </si>
  <si>
    <t>05-250 Radzymin</t>
  </si>
  <si>
    <t>Raszyn</t>
  </si>
  <si>
    <t>Gminna Biblioteka Publiczna w Raszynie</t>
  </si>
  <si>
    <t>ul. Poniatowskiego 20</t>
  </si>
  <si>
    <t>05-090 Raszyn</t>
  </si>
  <si>
    <t>Rudki</t>
  </si>
  <si>
    <t>Gminna Biblioteka Publiczna w Przyłęku – Filia w Rudkach</t>
  </si>
  <si>
    <t>Rudki 53a</t>
  </si>
  <si>
    <t>96-514 Rybno</t>
  </si>
  <si>
    <t>Ryczywół</t>
  </si>
  <si>
    <t>Biblioteka Publiczna Gminy Kozienice – Filia nr 6 w Ryczywole</t>
  </si>
  <si>
    <t>ul. Osiedlowa 5; Ryczywół</t>
  </si>
  <si>
    <t>26-900 Kozienice</t>
  </si>
  <si>
    <t>Sanniki</t>
  </si>
  <si>
    <t>Biblioteka Muzyczno-Etnograficzna</t>
  </si>
  <si>
    <t>ul. Warszawska 142</t>
  </si>
  <si>
    <t>09-540 Sanniki</t>
  </si>
  <si>
    <t>Sikórz</t>
  </si>
  <si>
    <t>Sikórz 85</t>
  </si>
  <si>
    <t>09-411 Biała</t>
  </si>
  <si>
    <t>Skolimów</t>
  </si>
  <si>
    <t>Słubice</t>
  </si>
  <si>
    <t>Gminna Biblioteka Publiczna w Słubicach</t>
  </si>
  <si>
    <t>ul. Krakowska 2</t>
  </si>
  <si>
    <t>09-533 Słubice</t>
  </si>
  <si>
    <t>Sochaczew</t>
  </si>
  <si>
    <t>ul. 1 Maja 21</t>
  </si>
  <si>
    <t>96-500 Sochaczew</t>
  </si>
  <si>
    <t>ul. 15 Sierpnia 4</t>
  </si>
  <si>
    <t>Stare Babice</t>
  </si>
  <si>
    <t>Biblioteka Publiczna Gminy Stare Babice</t>
  </si>
  <si>
    <t>ul. Południowa 2A</t>
  </si>
  <si>
    <t>05-082 Zielonki Parcela</t>
  </si>
  <si>
    <t>Stromiec</t>
  </si>
  <si>
    <t>ul. Białobrzeska 74B</t>
  </si>
  <si>
    <t>36-804 Stromiec</t>
  </si>
  <si>
    <t>Strykowice Górne</t>
  </si>
  <si>
    <t>Miejsko-Gminna Biblioteka Publiczna w Zwoleniu – Filia w Strykowicach Górnych</t>
  </si>
  <si>
    <t>Strykowice Górne 141</t>
  </si>
  <si>
    <t>Syberia</t>
  </si>
  <si>
    <t>Miejsko-Gminna Biblioteka Publiczna w Lubowidzu – Filia Biblioteczna w Syberii</t>
  </si>
  <si>
    <t>Syberia 49</t>
  </si>
  <si>
    <t>Sycyna</t>
  </si>
  <si>
    <t>Miejsko-Gminna Biblioteka Publiczna w Zwoleniu – Filia w Sycynie</t>
  </si>
  <si>
    <t>Sycyna Kolonia 126 A</t>
  </si>
  <si>
    <t>Tarczyn</t>
  </si>
  <si>
    <t>Gminna Biblioteka Publiczna w Tarczynie</t>
  </si>
  <si>
    <t>ul. Juliana Stępkowskiego 17</t>
  </si>
  <si>
    <t>05-555 Tarczyn</t>
  </si>
  <si>
    <t>Teresin</t>
  </si>
  <si>
    <t>Gminna Biblioteka Publiczna w Teresinie</t>
  </si>
  <si>
    <t>Al. XX-lecia 32</t>
  </si>
  <si>
    <t>96-515 Teresin</t>
  </si>
  <si>
    <t>Warszawa</t>
  </si>
  <si>
    <t>Bemowo</t>
  </si>
  <si>
    <t>Biblioteka Szkoły Podstawowej nr 306</t>
  </si>
  <si>
    <t>ul. Tkaczy 27</t>
  </si>
  <si>
    <t>01-346 Warszawa</t>
  </si>
  <si>
    <t>Białołęka</t>
  </si>
  <si>
    <t>Bielany</t>
  </si>
  <si>
    <t>Al. Reymonta 6</t>
  </si>
  <si>
    <t>01-842 Warszawa</t>
  </si>
  <si>
    <t>Bielański Ośrodek Kultury - Filia</t>
  </si>
  <si>
    <t>ul. Estrady 112</t>
  </si>
  <si>
    <t>01-932 Warszawa</t>
  </si>
  <si>
    <t>Mokotów</t>
  </si>
  <si>
    <t>ul. Narbutta 47</t>
  </si>
  <si>
    <t>02-536 Warszawa</t>
  </si>
  <si>
    <t>Biblioteka Zespołu Szkół Licealnych i Technicznych nr 1</t>
  </si>
  <si>
    <t>ul. Wiśniowa 56</t>
  </si>
  <si>
    <t>02-520 Warszawa</t>
  </si>
  <si>
    <t>Ochota</t>
  </si>
  <si>
    <t>Biblioteka Publiczna w Dzielnicy Ochota m.st. Warszawy Biblioteka dla Dzieci i Młodzieży nr 68</t>
  </si>
  <si>
    <t>ul. Skarżyńskiego 5</t>
  </si>
  <si>
    <t>02-377 Warszawa</t>
  </si>
  <si>
    <t>Biblioteka XLVIII LO</t>
  </si>
  <si>
    <t>ul. Szczęśliwicka 50/54</t>
  </si>
  <si>
    <t>02-353 Warszawa</t>
  </si>
  <si>
    <t>Praga Południe</t>
  </si>
  <si>
    <t>Rembertów</t>
  </si>
  <si>
    <t>Śródmieście</t>
  </si>
  <si>
    <t>ul. Czerniakowska 178 A</t>
  </si>
  <si>
    <t>00-440 Warszawa</t>
  </si>
  <si>
    <t>Targówek</t>
  </si>
  <si>
    <t>Biblioteka Szkolna przy Szkole Podstawowej nr 298</t>
  </si>
  <si>
    <t>ul. Krakusa 2</t>
  </si>
  <si>
    <t>03-390 Warszawa</t>
  </si>
  <si>
    <t>ul. Kuflewska 6</t>
  </si>
  <si>
    <t>03-554 Warszawa</t>
  </si>
  <si>
    <t>Ursus</t>
  </si>
  <si>
    <t>Biblioteka Publiczna w Dzielnicy Ursus m.st. Warszawy Biblioteka „Niedźwiadek”</t>
  </si>
  <si>
    <t>ul. Czerwonej Drogi 6</t>
  </si>
  <si>
    <t>02-496 Warszawa</t>
  </si>
  <si>
    <t>ul. Plutonu Torpedy 47</t>
  </si>
  <si>
    <t>02-495 Warszawa</t>
  </si>
  <si>
    <t>Ursynów</t>
  </si>
  <si>
    <t>ul. Koński Jar 10</t>
  </si>
  <si>
    <t>02-785 Warszawa</t>
  </si>
  <si>
    <t>ul. Kłobucka 14</t>
  </si>
  <si>
    <t>02-699 Warszawa</t>
  </si>
  <si>
    <t>ul. Lachmana 5</t>
  </si>
  <si>
    <t>02-786 Warszawa</t>
  </si>
  <si>
    <t>Wesoła</t>
  </si>
  <si>
    <t>Wilanów</t>
  </si>
  <si>
    <t>ul. Kolegiacka 3</t>
  </si>
  <si>
    <t>02-960 Warszawa</t>
  </si>
  <si>
    <t>ul. Przyczółkowa 27A</t>
  </si>
  <si>
    <t>02-968 Warszawa</t>
  </si>
  <si>
    <t>Włochy</t>
  </si>
  <si>
    <t>Biblioteka Publiczna w Dzielnicy Włochy m.st. Warszawy Wypożyczalnia nr 30</t>
  </si>
  <si>
    <t>ul. Astronautów 1</t>
  </si>
  <si>
    <t>02-154 Warszawa</t>
  </si>
  <si>
    <t>02-486 Warszawa</t>
  </si>
  <si>
    <t>ul. 1 sierpnia 36a</t>
  </si>
  <si>
    <t>02-134 Warszawa</t>
  </si>
  <si>
    <t>Wola</t>
  </si>
  <si>
    <t>ul. Młynarska 35a</t>
  </si>
  <si>
    <t>01-175 Warszawa</t>
  </si>
  <si>
    <t>ul. Żytnia 64</t>
  </si>
  <si>
    <t>01-154 Warszawa</t>
  </si>
  <si>
    <t>Al. Solidarności 90</t>
  </si>
  <si>
    <t>01-003 Warszawa</t>
  </si>
  <si>
    <t>ul. M. Bielskiego 3</t>
  </si>
  <si>
    <t>01-406 Warszawa</t>
  </si>
  <si>
    <t>01-156 Warszawa</t>
  </si>
  <si>
    <t>ul. J. K. Ordona 12 F</t>
  </si>
  <si>
    <t>01-237 Warszawa</t>
  </si>
  <si>
    <t>Żoliborz</t>
  </si>
  <si>
    <t>ul. Śmiała 24</t>
  </si>
  <si>
    <t>Wierzbica</t>
  </si>
  <si>
    <t>Gminna Biblioteka Publiczna w Wierzbicy</t>
  </si>
  <si>
    <t>ul. Krasickiego 20</t>
  </si>
  <si>
    <t>26-680 Wierzbica</t>
  </si>
  <si>
    <t>Wołomin</t>
  </si>
  <si>
    <t>Zajezierze</t>
  </si>
  <si>
    <t>Gminna Biblioteka Publiczna w Sieciechowie – Filia w Zajezierzu</t>
  </si>
  <si>
    <t>ul. 28 Pułku Artylerii Lekkiej 8</t>
  </si>
  <si>
    <t>26-922 Sieciechów</t>
  </si>
  <si>
    <t>Zalesie Górne</t>
  </si>
  <si>
    <t>ul. Białej Brzozy 3</t>
  </si>
  <si>
    <t>05-540 Zalesie Górne</t>
  </si>
  <si>
    <t>Zielona</t>
  </si>
  <si>
    <t>Gminna Biblioteka Samorządowa w Kuczborku – Filia w Zielonej</t>
  </si>
  <si>
    <t>ul. 1 Maja 17</t>
  </si>
  <si>
    <t>09-310 Kuczbork, Zielona</t>
  </si>
  <si>
    <t>Zielonka</t>
  </si>
  <si>
    <t>Miejska Biblioteka Publiczna w Zielonce</t>
  </si>
  <si>
    <t>ul. Długa 18 bl 14</t>
  </si>
  <si>
    <t>05-220 Zielonka</t>
  </si>
  <si>
    <t>Złotokłos</t>
  </si>
  <si>
    <t>Biblioteka Publiczna Miasta i Gminy Piaseczno – Filia w Złotokłosie</t>
  </si>
  <si>
    <t>ul. 3 maja 30</t>
  </si>
  <si>
    <t>05-504 Złotokłos</t>
  </si>
  <si>
    <t>Zwoleń</t>
  </si>
  <si>
    <t>Al. Jana Pawła II 6a</t>
  </si>
  <si>
    <t>Żuromin</t>
  </si>
  <si>
    <t>Powiatowo-Miejska Biblioteka Publiczna</t>
  </si>
  <si>
    <t>09-300 Żuromin</t>
  </si>
  <si>
    <t>ul. Wyzwolenia 12</t>
  </si>
  <si>
    <t>Anna Larenta</t>
  </si>
  <si>
    <t>694 960 962</t>
  </si>
  <si>
    <t>Monika Dzięgielewska</t>
  </si>
  <si>
    <t>22 725 47 82</t>
  </si>
  <si>
    <t>Małgorzata Rokitnicka</t>
  </si>
  <si>
    <t>505 955 437</t>
  </si>
  <si>
    <t>Małgorzata Sławińska</t>
  </si>
  <si>
    <t>022 729-57-55</t>
  </si>
  <si>
    <t>ul. Grodziska 12</t>
  </si>
  <si>
    <t>Renata Falkowska</t>
  </si>
  <si>
    <t>022 729 30 84</t>
  </si>
  <si>
    <t>Anna Łepecka</t>
  </si>
  <si>
    <t>48 332 19 67</t>
  </si>
  <si>
    <t>Brzeźnica 94</t>
  </si>
  <si>
    <t>Biblioteka Publiczna Gminy Kozienice – Filia nr 2 w Brzeźnicy</t>
  </si>
  <si>
    <t>Małgorzata Skierniewska</t>
  </si>
  <si>
    <t>48 623 01 44</t>
  </si>
  <si>
    <t>26-903 Brzóza</t>
  </si>
  <si>
    <t>al. Lipowa 4</t>
  </si>
  <si>
    <t>Biblioteka Publiczna Gminy Głowaczów – Filia w Brzózie</t>
  </si>
  <si>
    <t>Justyna Komorowska</t>
  </si>
  <si>
    <t>23 611 18 82</t>
  </si>
  <si>
    <t>Jolanta Nagiel</t>
  </si>
  <si>
    <t>23 672 33 77</t>
  </si>
  <si>
    <t>Marzena Rybicka</t>
  </si>
  <si>
    <t>23 672 24 04</t>
  </si>
  <si>
    <t>Iwona Zakrzewska</t>
  </si>
  <si>
    <t>23 674 60 72</t>
  </si>
  <si>
    <t>Martyna Dymowska</t>
  </si>
  <si>
    <t>22 780 44 44</t>
  </si>
  <si>
    <t>48 623 14 55</t>
  </si>
  <si>
    <t>Paula Stępień</t>
  </si>
  <si>
    <t>48 621 50 90</t>
  </si>
  <si>
    <t>Katarzyna Sioćko</t>
  </si>
  <si>
    <t>662 122 702</t>
  </si>
  <si>
    <t>Anna Nędzi</t>
  </si>
  <si>
    <t>364 95 83</t>
  </si>
  <si>
    <t>kontakt@biblioteka.grodzisk.pl</t>
  </si>
  <si>
    <t>Beata Krupińska</t>
  </si>
  <si>
    <t>22 100 58 70</t>
  </si>
  <si>
    <t>Katarzyna Pomorska, Małgorzata Kosel</t>
  </si>
  <si>
    <t>48 341 22 55</t>
  </si>
  <si>
    <t>Małgorzata Kozińska-Rychner</t>
  </si>
  <si>
    <t>691 682 828</t>
  </si>
  <si>
    <t>Żaneta Ceglińska</t>
  </si>
  <si>
    <t>46 856 40 17</t>
  </si>
  <si>
    <t>Marlena Rybak</t>
  </si>
  <si>
    <t>609 959 690</t>
  </si>
  <si>
    <t>Ewa Bojarowska</t>
  </si>
  <si>
    <t>22 292 60 22</t>
  </si>
  <si>
    <t>Karina Leszczyńska</t>
  </si>
  <si>
    <t>22 725 01 49</t>
  </si>
  <si>
    <t>Monika Latkowska</t>
  </si>
  <si>
    <t>048 614 25 54</t>
  </si>
  <si>
    <t>ul. J. Kochanowskiego 22</t>
  </si>
  <si>
    <t>Biblioteka Publiczna Gminy Kozienice</t>
  </si>
  <si>
    <t>Elżbieta Stąpór</t>
  </si>
  <si>
    <t>48 611 00 42</t>
  </si>
  <si>
    <t>Mirosława Dymek</t>
  </si>
  <si>
    <t>22 299 20 05</t>
  </si>
  <si>
    <t>Anna Szczepańska</t>
  </si>
  <si>
    <t>23 658 20 33</t>
  </si>
  <si>
    <t>508 579 624</t>
  </si>
  <si>
    <t>Magdalena Wesołowska-Doroba</t>
  </si>
  <si>
    <t>22 751 32 23</t>
  </si>
  <si>
    <t>05-092 Warszawa</t>
  </si>
  <si>
    <t>ul. Wiejska 12a</t>
  </si>
  <si>
    <t>Biblioteka Publiczna w Łomiankach</t>
  </si>
  <si>
    <t>22 751 15 54</t>
  </si>
  <si>
    <t>Edyta Staluszka</t>
  </si>
  <si>
    <t>48 621 70 97</t>
  </si>
  <si>
    <t>Małgorzata Rowicka</t>
  </si>
  <si>
    <t>22 781 11 44</t>
  </si>
  <si>
    <t>Ewa Kisiel</t>
  </si>
  <si>
    <t>22 723 86 00</t>
  </si>
  <si>
    <t>Alicja Nowakowska</t>
  </si>
  <si>
    <t>46 855 55 01</t>
  </si>
  <si>
    <t>Ewa Szczepaniak</t>
  </si>
  <si>
    <t>22 755 81 13</t>
  </si>
  <si>
    <t>Mirosława Kwiatka</t>
  </si>
  <si>
    <t>22 729 90 09</t>
  </si>
  <si>
    <t>mrokow@bp-lesznowola.pl</t>
  </si>
  <si>
    <t>Joanna Konofalska</t>
  </si>
  <si>
    <t>22 756 16 60</t>
  </si>
  <si>
    <t>Karolina Chrościcka</t>
  </si>
  <si>
    <t>46 857 13 46</t>
  </si>
  <si>
    <t>Bożena Szkiela</t>
  </si>
  <si>
    <t>22 729 89 13</t>
  </si>
  <si>
    <t>Izabela Mazińska</t>
  </si>
  <si>
    <t>23 69 12 552</t>
  </si>
  <si>
    <t>05-190 Nasielsk</t>
  </si>
  <si>
    <t>ul. Piłsudskiego 6</t>
  </si>
  <si>
    <t>Agnieszka Gburzyńska</t>
  </si>
  <si>
    <t>22 775 23 11</t>
  </si>
  <si>
    <t>Lucyna Mazur-Warchała</t>
  </si>
  <si>
    <t>86 277 99 11</t>
  </si>
  <si>
    <t>Anna Dziełak</t>
  </si>
  <si>
    <t>29 745 35 82</t>
  </si>
  <si>
    <t>07-300 Ostrów Mazowiecka</t>
  </si>
  <si>
    <t>ul. R. Rubinkowskiego 15</t>
  </si>
  <si>
    <t>Biblioteka Pedagogiczna w Ostrołęce – Filia w Ostrowi Mazowieckiej</t>
  </si>
  <si>
    <t>Agnieszka Mielczarek</t>
  </si>
  <si>
    <t>22 758 50 79</t>
  </si>
  <si>
    <t>Zuzanna Komar</t>
  </si>
  <si>
    <t>22 779 29 22</t>
  </si>
  <si>
    <t>Elżbieta Paderewska</t>
  </si>
  <si>
    <t>22 722 12 65</t>
  </si>
  <si>
    <t>Ewa Pawlak</t>
  </si>
  <si>
    <t>Edyta Dryja</t>
  </si>
  <si>
    <t>22 484 21 50</t>
  </si>
  <si>
    <t>Monika Wilim</t>
  </si>
  <si>
    <t>22 723 65 54</t>
  </si>
  <si>
    <t>05-820 Piastów</t>
  </si>
  <si>
    <t>ul. Warszawska 24</t>
  </si>
  <si>
    <t>Elżbieta Nowakowska</t>
  </si>
  <si>
    <t>24 263 34 28</t>
  </si>
  <si>
    <t>Renata Kraszewska</t>
  </si>
  <si>
    <t>24 268 00 36</t>
  </si>
  <si>
    <t>Julia Janda-Wilk</t>
  </si>
  <si>
    <t>48 66 86 456</t>
  </si>
  <si>
    <t>Dorota Skotnicka, Marta Uss, Luiza Roman</t>
  </si>
  <si>
    <t>022 758 96 48</t>
  </si>
  <si>
    <t>05-807 Podkowa Leśna</t>
  </si>
  <si>
    <t>ul. Błońska 50</t>
  </si>
  <si>
    <t>Ewa Mróz</t>
  </si>
  <si>
    <t>22 785 46 97</t>
  </si>
  <si>
    <t>Beata Szatanowska</t>
  </si>
  <si>
    <t>22 736 28 16</t>
  </si>
  <si>
    <t>Krystyna Stępień</t>
  </si>
  <si>
    <t>22 758 88 28</t>
  </si>
  <si>
    <t>Iwona Robakowska</t>
  </si>
  <si>
    <t>Monika Krześniak</t>
  </si>
  <si>
    <t>48 677 30 38</t>
  </si>
  <si>
    <t>PrzyłękuLipiny 30</t>
  </si>
  <si>
    <t>Gminna Biblioteka Publiczna w</t>
  </si>
  <si>
    <t>Katarzyna Rodek</t>
  </si>
  <si>
    <t>48 364 04 51</t>
  </si>
  <si>
    <t>Kinga Olbromska-Miłosz</t>
  </si>
  <si>
    <t>48 360 51 95</t>
  </si>
  <si>
    <t>Anna Rasińska</t>
  </si>
  <si>
    <t>22 786 50 24</t>
  </si>
  <si>
    <t>Dagna Kruszewska-Mach</t>
  </si>
  <si>
    <t>22 720 03 81</t>
  </si>
  <si>
    <t>Ewa Żaczkiewicz</t>
  </si>
  <si>
    <t>48 677 90 70</t>
  </si>
  <si>
    <t>Ola Kacprzak</t>
  </si>
  <si>
    <t>46 862 26 53</t>
  </si>
  <si>
    <t>Beata Bogumił</t>
  </si>
  <si>
    <t>48 623 73 36</t>
  </si>
  <si>
    <t>Monika Gadzińska</t>
  </si>
  <si>
    <t>24 268 11 08</t>
  </si>
  <si>
    <t>Katarzyna Skonieczna, Wioletta Skowrońska, Katarzyna Nowakowska</t>
  </si>
  <si>
    <t>24 261 28 26</t>
  </si>
  <si>
    <t>Gminna Biblioteka Publiczna w Brudzeniu DużymZespół Szkolno-Przedszkolny w Sikorzu</t>
  </si>
  <si>
    <t>Katarzyna Świeczak</t>
  </si>
  <si>
    <t>22 756 49 89</t>
  </si>
  <si>
    <t>in-Jeziorna</t>
  </si>
  <si>
    <t>ul. Moniuszki 22B05-510 Konstanc</t>
  </si>
  <si>
    <t>Biblioteka Publiczna Miasta i Gminy Konstancin-Jeziorna – filia w Skolimowie</t>
  </si>
  <si>
    <t>Artur Bedyk</t>
  </si>
  <si>
    <t>24 277 80 63</t>
  </si>
  <si>
    <t>Hanna Jażdżyk</t>
  </si>
  <si>
    <t>46 862 22 65</t>
  </si>
  <si>
    <t>Halina Kobierecka</t>
  </si>
  <si>
    <t>797 160 780</t>
  </si>
  <si>
    <t>Stowarzyszenie Uniwersytet Trzeciego Wieku</t>
  </si>
  <si>
    <t>Urszula Hoczyk</t>
  </si>
  <si>
    <t>22 722 92 77</t>
  </si>
  <si>
    <t>Teresa Wieczorek</t>
  </si>
  <si>
    <t>48 389 53 35</t>
  </si>
  <si>
    <t>Iwona Grzebała</t>
  </si>
  <si>
    <t>506 350 106</t>
  </si>
  <si>
    <t>Jolanta Krzemińska</t>
  </si>
  <si>
    <t>506 705 483</t>
  </si>
  <si>
    <t>Lidia Kęmpińska</t>
  </si>
  <si>
    <t>506 509 699</t>
  </si>
  <si>
    <t>Agata Litwińska, Anna Iwańczyk</t>
  </si>
  <si>
    <t>22 715 79 60</t>
  </si>
  <si>
    <t>DKK dla dorosłychWarszawa</t>
  </si>
  <si>
    <t>Aleksandra Starus</t>
  </si>
  <si>
    <t>792 303 869</t>
  </si>
  <si>
    <t>Agnieszka Kownatka-Ruszkowska</t>
  </si>
  <si>
    <t>22 664 73 13</t>
  </si>
  <si>
    <t>Diana Chmiel, Magdalena Widejko-Makowska</t>
  </si>
  <si>
    <t>22 614 64 35</t>
  </si>
  <si>
    <t>03-188 Warszawa</t>
  </si>
  <si>
    <t>ul. Van Gogha 1</t>
  </si>
  <si>
    <t>Biblioteka Publiczna w Dzielnicy Białołęka m.st. WarszawyCzytelnia Naukowa nr XX</t>
  </si>
  <si>
    <t>Katarzyna Gosiewska</t>
  </si>
  <si>
    <t>22 663 73 85</t>
  </si>
  <si>
    <t>Biblioteka Publiczna w Dzielnicy Bielany m.st. WarszawyWypożyczalnia dla Dorosłych i Młodzieży nr 103</t>
  </si>
  <si>
    <t>Natalia Mołodowiec</t>
  </si>
  <si>
    <t>22 835 54 44</t>
  </si>
  <si>
    <t>Magdalena Majewska</t>
  </si>
  <si>
    <t>22 849 63 56</t>
  </si>
  <si>
    <t>Biblioteka Publiczna w Dzielnicy Mokotów m. st. WarszawyWypożyczalnia dla Dorosłych i Młodzieży nr 35</t>
  </si>
  <si>
    <t>Beata Walczak</t>
  </si>
  <si>
    <t>646 44 99</t>
  </si>
  <si>
    <t>Anna Mozola</t>
  </si>
  <si>
    <t>22 629 79 58</t>
  </si>
  <si>
    <t>02-017 Warszawa</t>
  </si>
  <si>
    <t>Ochota m.st. WarszawyWypożyczalnia dla Dorosłych i Młodzieży Nr 76 Aleje Jerozolimskie 121/123</t>
  </si>
  <si>
    <t>Biblioteka Publiczna w Dzielnicy</t>
  </si>
  <si>
    <t>Kinga Stojek</t>
  </si>
  <si>
    <t>22 822 36 81</t>
  </si>
  <si>
    <t>Aleksandra Zegarska, Katarzyna Rewera-Malec</t>
  </si>
  <si>
    <t>600 213 795</t>
  </si>
  <si>
    <t>Wiesława Krynicka</t>
  </si>
  <si>
    <t>22 671 04 51</t>
  </si>
  <si>
    <t>03-982 Warszawa</t>
  </si>
  <si>
    <t>ul. Meissnera 5</t>
  </si>
  <si>
    <t>Biblioteka Publiczna w Dzielnicy Praga Południe m.st. Warszawy</t>
  </si>
  <si>
    <t>Ewa Kuba</t>
  </si>
  <si>
    <t>22 255 39 99</t>
  </si>
  <si>
    <t>04-401 Warszawa</t>
  </si>
  <si>
    <t>ul. Gawędziarzy 8</t>
  </si>
  <si>
    <t>Biblioteka Publiczna w Dzielnicy Rembertów m.st. WarszawyWypożyczalnia dla Dorosłych i Młodzieży Nr 55</t>
  </si>
  <si>
    <t>Urszula Paduch</t>
  </si>
  <si>
    <t>22 629 60 95</t>
  </si>
  <si>
    <t>Biblioteka Publiczna w Dzielnicy Śródmieście m.st. WarszawyWypożyczalnia nr 97Centrum Informacji im. Jana Nowaka Jeziorańskiego</t>
  </si>
  <si>
    <t>Katarzyna Stańczuk-Gronecka</t>
  </si>
  <si>
    <t>22 811 36 82</t>
  </si>
  <si>
    <t>Justyna Żebrowska</t>
  </si>
  <si>
    <t>22 679 70 57</t>
  </si>
  <si>
    <t>Biblioteka Publiczna w Dzielnicy Targówek m.st. WarszawyWypożyczalnia dla Dorosłych i Młodzieży nr 64</t>
  </si>
  <si>
    <t>Ewa Furmanik</t>
  </si>
  <si>
    <t>22 667 09 56</t>
  </si>
  <si>
    <t>ul. M. Keniga 14</t>
  </si>
  <si>
    <t>Marta Prządka</t>
  </si>
  <si>
    <t>22 823 46 00</t>
  </si>
  <si>
    <t>ul. Dzieci Warszawy 27a</t>
  </si>
  <si>
    <t>Biblioteka Publiczna w Dzielnicy Ursus m.st. Warszawy Filia „Skorosze”</t>
  </si>
  <si>
    <t>Agnieszka Majewska</t>
  </si>
  <si>
    <t>514 893 405</t>
  </si>
  <si>
    <t>Lucyna Dąbrowska</t>
  </si>
  <si>
    <t>22 662 70 01</t>
  </si>
  <si>
    <t>Aneta Szydłowska-Cieślik</t>
  </si>
  <si>
    <t>22 643 77 59</t>
  </si>
  <si>
    <t>Biblioteka Publiczna w Dzielnicy Ursynów m. st. WarszawyWypożyczalnia nr 109</t>
  </si>
  <si>
    <t>Izabela Lipińska-Okulus</t>
  </si>
  <si>
    <t>: 22 718 32 82</t>
  </si>
  <si>
    <t>Teresa Jedynak</t>
  </si>
  <si>
    <t>22 773 40 08</t>
  </si>
  <si>
    <t>05-075 Warszawa</t>
  </si>
  <si>
    <t>ul. 1. Praskiego Pułku 31</t>
  </si>
  <si>
    <t>Biblioteka Publiczna Dzielnicy Wesoła m.st. Warszawy</t>
  </si>
  <si>
    <t>Zefiryna Moryc</t>
  </si>
  <si>
    <t>22 423 57 55</t>
  </si>
  <si>
    <t>Biblioteka Publiczna w Dzielnicy Wilanów m. st. WarszawyWypożyczalnia 52</t>
  </si>
  <si>
    <t>Marta Janek</t>
  </si>
  <si>
    <t>22 648 25 03</t>
  </si>
  <si>
    <t>Barbara Sudoł</t>
  </si>
  <si>
    <t>22 863 89 62</t>
  </si>
  <si>
    <t>02-421 Warszawa</t>
  </si>
  <si>
    <t>ul. ks. J. Chrościckiego 2</t>
  </si>
  <si>
    <t>Jolanta Jagiełło</t>
  </si>
  <si>
    <t>22 846 03 51</t>
  </si>
  <si>
    <t>Biblioteka Publiczna w Dzielnicy Włochy m. st. WarszawyWypożyczalnia nr 71</t>
  </si>
  <si>
    <t>Katarzyna Muszyńska</t>
  </si>
  <si>
    <t>22 667 00 00</t>
  </si>
  <si>
    <t>Włochy m.st. WarszawyWypożyczalnia nr 17Aleje Jerozolimskie 200</t>
  </si>
  <si>
    <t>Magdalena Szkwarek</t>
  </si>
  <si>
    <t>22 846 17 16</t>
  </si>
  <si>
    <t>Biblioteka Publiczna w Dzielnicy Włochy m.st. WarszawyWypożyczalnia nr 28</t>
  </si>
  <si>
    <t>Aneta Suchańska</t>
  </si>
  <si>
    <t>22 836 77 44</t>
  </si>
  <si>
    <t>01-131 Warszawa</t>
  </si>
  <si>
    <t>ul. Redutowa 48</t>
  </si>
  <si>
    <t>Paulina Bakun, Urszula Skorupa</t>
  </si>
  <si>
    <t>22 632 09 86</t>
  </si>
  <si>
    <t>Monika Bąder</t>
  </si>
  <si>
    <t>22 631 63 45</t>
  </si>
  <si>
    <t>Aleksandra Warowna</t>
  </si>
  <si>
    <t>22 838 91 00</t>
  </si>
  <si>
    <t>Violetta Filutowska</t>
  </si>
  <si>
    <t>22 837 04 92</t>
  </si>
  <si>
    <t>Biblioteka Publiczna w Dzielnicy Wola m.st. WarszawyWypożyczalnia dla Dorosłych i Młodzieży nr 51</t>
  </si>
  <si>
    <t>Mateusz Szymański</t>
  </si>
  <si>
    <t>Biblioteka Publiczna w Dzielnicy Wola m. st. WarszawyWypożyczalnia dla Dorosłych i Młodzieży nr 73</t>
  </si>
  <si>
    <t>Kinga Ratyńska</t>
  </si>
  <si>
    <t>22 855 12 61</t>
  </si>
  <si>
    <t>Biblioteka Publiczna w Dzielnicy Wola m. st. WarszawyWypożyczalnia dla Dorosłych, Młodzieży i Dzieci nr 83 „Odolanka”</t>
  </si>
  <si>
    <t>Małgorzata Dwulatek</t>
  </si>
  <si>
    <t>22 839 04 20</t>
  </si>
  <si>
    <t>Biblioteka Publiczna w Dzielnicy Żoliborz m.st. WarszawyWypożyczalnia nr 13</t>
  </si>
  <si>
    <t>Katarzyna Drab</t>
  </si>
  <si>
    <t>48 618 22 66</t>
  </si>
  <si>
    <t>Bernadeta Lorent</t>
  </si>
  <si>
    <t>519 723 455</t>
  </si>
  <si>
    <t>05-200 Wołomin</t>
  </si>
  <si>
    <t>ul. Wileńska 32</t>
  </si>
  <si>
    <t>Jolanta Nowakowska</t>
  </si>
  <si>
    <t>48 621 41 86</t>
  </si>
  <si>
    <t>Małgorzata Fafrowicz-Szamocka</t>
  </si>
  <si>
    <t>22 756 73 58</t>
  </si>
  <si>
    <t>Renata Pogorzelska</t>
  </si>
  <si>
    <t>23 657 90 06</t>
  </si>
  <si>
    <t>Beata Zahn</t>
  </si>
  <si>
    <t>22 781 03 58</t>
  </si>
  <si>
    <t>Agnieszka Woźniak</t>
  </si>
  <si>
    <t>22 726 92 01</t>
  </si>
  <si>
    <t>Elżbieta Cywka</t>
  </si>
  <si>
    <t>48 676 24 19</t>
  </si>
  <si>
    <t>Aleksandra Pesta</t>
  </si>
  <si>
    <t>23 657 25 97</t>
  </si>
  <si>
    <t>Aleksandra Welenc-Pazikowska</t>
  </si>
  <si>
    <t>Aneta Czyżyk</t>
  </si>
  <si>
    <t>534 720 488</t>
  </si>
  <si>
    <t>Janina Wichowska</t>
  </si>
  <si>
    <t>23 672 41 64</t>
  </si>
  <si>
    <t>ul. Warszawska 34</t>
  </si>
  <si>
    <t>Małgorzata Zberowska</t>
  </si>
  <si>
    <t>Biblioteka Publiczna w Dzielnicy Ursus m. st. Warszawy Wypożyczalnia dla Dorosłych i Młodzieży nr 116</t>
  </si>
  <si>
    <t>Biblioteka Publiczna w Dzielnicy Ursynów m.st. Warszawy Biblioteka dla Dzieci i Młodzieży nr 37</t>
  </si>
  <si>
    <t>Biblioteka Publiczna w Dzielnicy Wola m. st. Warszawy Wypożyczalnia dla Dorosłych i Młodzieży Nr 80</t>
  </si>
  <si>
    <t>Biblioteka Publiczna w Dzielnicy Ursus m. st. Warszawy Filia „Gołąbki”</t>
  </si>
  <si>
    <t>Biblioteka Publiczna w Dzielnicy Wilanów m.st. Warszawy Filia „Powsin”</t>
  </si>
  <si>
    <t>Biblioteka Publiczna w Dzielnicy Wola m. st. Warszawy Wypożyczalnia Nr 14</t>
  </si>
  <si>
    <t>Biblioteka Publiczna w Dzielnicy Wola m. st. Warszawy Biblioteka dla Dzieci i Młodzieży nr 25</t>
  </si>
  <si>
    <t>Biblioteka Publiczna w Dzielnicy Wola m.st. Warszawy Biblioteka dla Dzieci i Młodzieży nr 21 i XII Czytelnia Młodzieżowa</t>
  </si>
  <si>
    <t>Centrum Kultury w Piasecznie – Klub Kultury w Zalesiu Górnym Biblioteka Publiczna Miasta i Gminy Piaseczno</t>
  </si>
  <si>
    <t>Duchnów</t>
  </si>
  <si>
    <t>DKK dla młodzieży i dorosłych</t>
  </si>
  <si>
    <t>Monika Adamczyk</t>
  </si>
  <si>
    <t>696 151 120</t>
  </si>
  <si>
    <t>Agnieszka Ogonowska</t>
  </si>
  <si>
    <t>Dom Kultury Stokłosy - Biblioteka</t>
  </si>
  <si>
    <t>Renata Sowińska</t>
  </si>
  <si>
    <t>507 490 965</t>
  </si>
  <si>
    <t>ul. Stefana Batorego 17</t>
  </si>
  <si>
    <t>Księgarnia Jarosława Gąski</t>
  </si>
  <si>
    <t>Anna Cichosz</t>
  </si>
  <si>
    <t>22 758 37 52</t>
  </si>
  <si>
    <t>ul. Krakowska 11 c</t>
  </si>
  <si>
    <t>Biblioteka Tajemniczy Ogród</t>
  </si>
  <si>
    <t>Grzegorz Kopański</t>
  </si>
  <si>
    <t>22 779 22 01</t>
  </si>
  <si>
    <t>Agnieszka Pieczonka</t>
  </si>
  <si>
    <t>22 779 31 84</t>
  </si>
  <si>
    <t>Małgorzata Malejka</t>
  </si>
  <si>
    <t>693 251 700</t>
  </si>
  <si>
    <t>ul. Długa 2</t>
  </si>
  <si>
    <t>Kawiarnia "Lawendowy Zakątek"</t>
  </si>
  <si>
    <t>Marta Białecka-Zubrzycka</t>
  </si>
  <si>
    <t>46 862 23 35</t>
  </si>
  <si>
    <t>Elżbieta Walter</t>
  </si>
  <si>
    <t>22 855 35 17</t>
  </si>
  <si>
    <t>Małgorzata Flis</t>
  </si>
  <si>
    <t>022 484 20 20</t>
  </si>
  <si>
    <t>ul. Mostowa 15 05-510 Konstanc</t>
  </si>
  <si>
    <t>Konstanciński Dom Kultury-Biblioteka</t>
  </si>
  <si>
    <t>Wrocław</t>
  </si>
  <si>
    <t>Borowa</t>
  </si>
  <si>
    <t>Czernina</t>
  </si>
  <si>
    <t>ul. Szkolna 40a</t>
  </si>
  <si>
    <t>55-095 Długołęka</t>
  </si>
  <si>
    <t>Kamieniec Wrocławski</t>
  </si>
  <si>
    <t>Kowary</t>
  </si>
  <si>
    <t>ul. Górna 2</t>
  </si>
  <si>
    <t>58-530 Kowary</t>
  </si>
  <si>
    <t>DKK dziecięco-młodzieżowe</t>
  </si>
  <si>
    <t>Łozina</t>
  </si>
  <si>
    <t>Oleszna</t>
  </si>
  <si>
    <t>Ostroszowice</t>
  </si>
  <si>
    <t>Pławna</t>
  </si>
  <si>
    <t>Ratowice</t>
  </si>
  <si>
    <t>Ruszów</t>
  </si>
  <si>
    <t>Siciny</t>
  </si>
  <si>
    <t>Sułów</t>
  </si>
  <si>
    <t>Święta Katarzyna</t>
  </si>
  <si>
    <t>Żerniki Wrocławskie</t>
  </si>
  <si>
    <t xml:space="preserve">Jerzmanowa </t>
  </si>
  <si>
    <t>Leśna</t>
  </si>
  <si>
    <t>Lwówek Śląski</t>
  </si>
  <si>
    <t>Powiatowa i Miejska Biblioteka Publiczna Oddział Dziecięco-Młodzieżowy</t>
  </si>
  <si>
    <t xml:space="preserve">Oleśnica </t>
  </si>
  <si>
    <t>Piotrowice</t>
  </si>
  <si>
    <t>Wałbrzych</t>
  </si>
  <si>
    <t xml:space="preserve">Wrocław </t>
  </si>
  <si>
    <t>Marcelina Ulińska</t>
  </si>
  <si>
    <t>58-260 Bielawa</t>
  </si>
  <si>
    <t>ul. Piastowska 19c</t>
  </si>
  <si>
    <t>DKK "Ka-Ka-Du" dla dorosłych</t>
  </si>
  <si>
    <t>74 844 92 84</t>
  </si>
  <si>
    <t>Ewa Rosińska</t>
  </si>
  <si>
    <t>75 73 22 345</t>
  </si>
  <si>
    <t>59-700 Bolesławiec</t>
  </si>
  <si>
    <t>ul. B. Głowackiego 5</t>
  </si>
  <si>
    <t>Bolesławiec Miejska Biblioteka Publiczna</t>
  </si>
  <si>
    <t>Elżbieta Piesyk</t>
  </si>
  <si>
    <t>DKK "Klub miłośników poezji" dla dorosłych</t>
  </si>
  <si>
    <t>Sylwia Polańska</t>
  </si>
  <si>
    <t>75 732 28 75</t>
  </si>
  <si>
    <t>59-701 Bolesławiec</t>
  </si>
  <si>
    <t>ul. Staroszkolna 6C</t>
  </si>
  <si>
    <t>DKK „Głuchego Czytelnika” dla dorosłych</t>
  </si>
  <si>
    <t>Karolina Krzemińska</t>
  </si>
  <si>
    <t>DKK „Vege fani” dla dorosłych</t>
  </si>
  <si>
    <t>75 61 21 388</t>
  </si>
  <si>
    <t>609 145 281</t>
  </si>
  <si>
    <t>Krzysztof Lendra</t>
  </si>
  <si>
    <t>55-095 Mirków</t>
  </si>
  <si>
    <t>ul. Parkowa 2/4</t>
  </si>
  <si>
    <t>Gminna Biblioteka Publiczna w Długołęce – Filia w Borowej</t>
  </si>
  <si>
    <t>71 39 33 143</t>
  </si>
  <si>
    <t>Katarzyna Majchrzycka</t>
  </si>
  <si>
    <t>57-160 Borów</t>
  </si>
  <si>
    <t>Borów Gminna Biblioteka Publiczna w Borowie</t>
  </si>
  <si>
    <t>Sabina Zawer</t>
  </si>
  <si>
    <t>ul. B. Chrobrego 3</t>
  </si>
  <si>
    <t>Borek Strzeliński Gminna Biblioteka Publiczna w Borowie – Filia w Borku Strzelińskim</t>
  </si>
  <si>
    <t>DKK Klub Iskierek Zapalonych Przez „Węgielek” dla dorosłych</t>
  </si>
  <si>
    <t>Halina Węgiel</t>
  </si>
  <si>
    <t>71 319 55 09</t>
  </si>
  <si>
    <t>56-120 Brzeg Dolny</t>
  </si>
  <si>
    <t>ul. Zwycięstwa 3</t>
  </si>
  <si>
    <t>Brzeg Dolny Miejska i Gminna Biblioteka Publiczna</t>
  </si>
  <si>
    <t>DKK Płomyczki Wytrawne Czytelniczki dla dorosłych</t>
  </si>
  <si>
    <t>DKK dla Dorosłych</t>
  </si>
  <si>
    <t>Małgorzata Teuchmann</t>
  </si>
  <si>
    <t>71 313 02 80</t>
  </si>
  <si>
    <t>55-200 Bystrzyca</t>
  </si>
  <si>
    <t>Bystrzyca Gminna Biblioteka Publiczna</t>
  </si>
  <si>
    <t>Dorota Krawczyk</t>
  </si>
  <si>
    <t>74 411 14 47</t>
  </si>
  <si>
    <t>57-500 Bystrzyca Kłodzka</t>
  </si>
  <si>
    <t>Plac Wolności 16</t>
  </si>
  <si>
    <t>Bystrzyca Kłodzka Biblioteka Publiczna Miasta i Gminy</t>
  </si>
  <si>
    <t>Natalia Jesionka</t>
  </si>
  <si>
    <t>71 317 28 14</t>
  </si>
  <si>
    <t>55-300 Środa Śląska</t>
  </si>
  <si>
    <t>ul. Średzka 17</t>
  </si>
  <si>
    <t>Ciechów Biblioteka Publiczna w Środzie Śląskiej – Filia Ciechów</t>
  </si>
  <si>
    <t>DKK „ŁGARZ” dla dorosłych</t>
  </si>
  <si>
    <t>Anna Kopyra</t>
  </si>
  <si>
    <t>76 818 83 46</t>
  </si>
  <si>
    <t>59-225 Chojnów</t>
  </si>
  <si>
    <t>Plac Zamkowy 2</t>
  </si>
  <si>
    <t>Chojnów Miejska Biblioteka Publiczna</t>
  </si>
  <si>
    <t>DKK dla młodzieży Czernica</t>
  </si>
  <si>
    <t>DKK „Klub Przyjaciół Dobrej Książki” dla młodzieży</t>
  </si>
  <si>
    <t>Barbara Rudyk, Bogusława Pusz</t>
  </si>
  <si>
    <t>71 318 01 29</t>
  </si>
  <si>
    <t>55-003 Czernica</t>
  </si>
  <si>
    <t>ul. Wojska Polskiego 9</t>
  </si>
  <si>
    <t>Dorota Telega-Łosek</t>
  </si>
  <si>
    <t>Lidia Borysowska</t>
  </si>
  <si>
    <t>65 543 67 94</t>
  </si>
  <si>
    <t>56-200 Góra</t>
  </si>
  <si>
    <t>Miejska Biblioteka Publiczna w Górze – Filia w Czerninie Czernina,</t>
  </si>
  <si>
    <t>Agnieszka Konieczna-Mazur</t>
  </si>
  <si>
    <t>71 315 17 23</t>
  </si>
  <si>
    <t>71 315 26 86</t>
  </si>
  <si>
    <t>Krystyna Gliwa</t>
  </si>
  <si>
    <t>74 646 46 42</t>
  </si>
  <si>
    <t>58-200 Dzierżoniów</t>
  </si>
  <si>
    <t>Dzierżoniów Powiatowa i Miejska Biblioteka Publiczna</t>
  </si>
  <si>
    <t>Elżbieta Smyk</t>
  </si>
  <si>
    <t>74 866 94 82</t>
  </si>
  <si>
    <t>ki-Zdrój</t>
  </si>
  <si>
    <t>ul. Zdrojowa 8 57-340 Duszni</t>
  </si>
  <si>
    <t>Duszniki-Zdrój Miejska Biblioteka Publiczna</t>
  </si>
  <si>
    <t>Renata Jurek</t>
  </si>
  <si>
    <t>76 726 56 22 wew. 36</t>
  </si>
  <si>
    <t>67-200 Głogów</t>
  </si>
  <si>
    <t>ul. Jedności Robotniczej 15</t>
  </si>
  <si>
    <t>Głogów Miejska Biblioteka Publiczna</t>
  </si>
  <si>
    <t>Krystyna Astapczyk</t>
  </si>
  <si>
    <t>65 543 23 24</t>
  </si>
  <si>
    <t>ul. Piastów 6 56–200 Góra</t>
  </si>
  <si>
    <t>Góra Miejska Biblioteka Publiczna – Filia nr 1</t>
  </si>
  <si>
    <t>Agnieszka Fiedorek</t>
  </si>
  <si>
    <t>76 831 51 82</t>
  </si>
  <si>
    <t>59-150 Grębocice</t>
  </si>
  <si>
    <t>ul. Kościelna 34</t>
  </si>
  <si>
    <t>Grębocice Gminna Biblioteka Publiczna</t>
  </si>
  <si>
    <t>DKK „Nie-poczytalni” dla dorosłych</t>
  </si>
  <si>
    <t>Marzena Wojciechowska</t>
  </si>
  <si>
    <t>75 781 33 87</t>
  </si>
  <si>
    <t>59-620 Gryfów Śląski</t>
  </si>
  <si>
    <t>ul. Kolejowa 44</t>
  </si>
  <si>
    <t>Gryfów Śląski Biblioteka Publiczna Miasta i Gminy</t>
  </si>
  <si>
    <t>DKK „Wieża Ciśnień” dla dorosłych</t>
  </si>
  <si>
    <t>Wioletta Żerobska</t>
  </si>
  <si>
    <t>76 870 26 02 wew. 25</t>
  </si>
  <si>
    <t>59-400 Jawor</t>
  </si>
  <si>
    <t>Pl. Seniora 4</t>
  </si>
  <si>
    <t>Jawor Miejska Biblioteka Publiczna</t>
  </si>
  <si>
    <t>Dorota Fajkiel</t>
  </si>
  <si>
    <t>76 870 47 36</t>
  </si>
  <si>
    <t>ul. Moniuszki 10</t>
  </si>
  <si>
    <t>Aneta Palasek</t>
  </si>
  <si>
    <t>74 851 09 75</t>
  </si>
  <si>
    <t>na-Zdrój</t>
  </si>
  <si>
    <t>ul. Piastowska 13 58-330 Jedli</t>
  </si>
  <si>
    <t>Jedlina-Zdrój Miejska Biblioteka Publiczna</t>
  </si>
  <si>
    <t>DKK "Czeski čtvrtek albo inny dzień tygodnia" dla dorosłych</t>
  </si>
  <si>
    <t>Tomasz Jaskułowski</t>
  </si>
  <si>
    <t>75 752 28 84</t>
  </si>
  <si>
    <t>58-500 Jelenia Góra</t>
  </si>
  <si>
    <t>ul. Bankowa 27</t>
  </si>
  <si>
    <t>Jelenia Góra Jeleniogórskie Centrum Informacji i Edukacji Regionalnej Książnica Karkonoska</t>
  </si>
  <si>
    <t>DKK "Laboranci z Karkonoszy" dla dorosłych</t>
  </si>
  <si>
    <t>Kamila Wilk</t>
  </si>
  <si>
    <t>75 752 59 26</t>
  </si>
  <si>
    <t>Jeleniogórskie Centrum Informacji i Edukacji Regionalnej Książnica Karkonoska</t>
  </si>
  <si>
    <t>DKK „Poeci” dla dorosłych</t>
  </si>
  <si>
    <t>Ewa Milińska</t>
  </si>
  <si>
    <t>DKK „Fraszka” dla dzieci</t>
  </si>
  <si>
    <t>Krystyna Spólnik</t>
  </si>
  <si>
    <t>75 753 35 35</t>
  </si>
  <si>
    <t>DKK „Zabobrze” dla dorosłych</t>
  </si>
  <si>
    <t>Marzena Drzymkowska</t>
  </si>
  <si>
    <t>75 752 16 65</t>
  </si>
  <si>
    <t>58-506 Jelenia Góra ul. Różyckiego 4</t>
  </si>
  <si>
    <t>Jeleniogórskie Centrum Informacji i Edukacji Regionalnej Książnica Karkonoska – Filia nr 3</t>
  </si>
  <si>
    <t>DKK „Cieplice” dla dorosłych</t>
  </si>
  <si>
    <t>Grażyna Bahrij</t>
  </si>
  <si>
    <t>75 755 11 08</t>
  </si>
  <si>
    <t>58-560 Jelenia Góra</t>
  </si>
  <si>
    <t>Pl. Piastowski 32</t>
  </si>
  <si>
    <t>Jeleniogórskie Centrum Informacji i Edukacji Regionalnej Książnica Karkonoska – Filia nr 4</t>
  </si>
  <si>
    <t>DKK „Sobieszów” dla dorosłych</t>
  </si>
  <si>
    <t>Dorota Nawrocka</t>
  </si>
  <si>
    <t>75 75 546 14</t>
  </si>
  <si>
    <t>58-570 Jelenia Góra</t>
  </si>
  <si>
    <t>ul. Cieplicka 172</t>
  </si>
  <si>
    <t>Jeleniogórskie Centrum Informacji i Edukacji Regionalnej Książnica Karkonoska – Filia nr 5</t>
  </si>
  <si>
    <t>DKK „Maciejowa” dla dorosłych</t>
  </si>
  <si>
    <t>Barbara Ziemlanowska</t>
  </si>
  <si>
    <t>75 75 216 65</t>
  </si>
  <si>
    <t>58-506 Jelenia Góra</t>
  </si>
  <si>
    <t>ul. Wrocławska 71</t>
  </si>
  <si>
    <t>Jeleniogórskie Centrum Informacji i Edukacji Regionalnej Książnica Karkonoska – Filia nr 6</t>
  </si>
  <si>
    <t>DKK „Kubuś” dla Dzieci</t>
  </si>
  <si>
    <t>Ewa Podgórna</t>
  </si>
  <si>
    <t>75 767 24 48</t>
  </si>
  <si>
    <t>ul. Sygietyńskiego 7</t>
  </si>
  <si>
    <t>Jeleniogórskie Centrum Informacji i Edukacji Regionalnej Jeleniogórskie Centrum Informacji i Edukacji Regionalnej Książnica Karkonoska – Filia nr 8</t>
  </si>
  <si>
    <t>Patrycja Barna</t>
  </si>
  <si>
    <t>76 752 16 65</t>
  </si>
  <si>
    <t>67-222 Jerzmanowa</t>
  </si>
  <si>
    <t>ul. Głogowska 19B</t>
  </si>
  <si>
    <t>Aleksandra Kuroń</t>
  </si>
  <si>
    <t>71 303 59 67</t>
  </si>
  <si>
    <t>55-002 Kamieniec Wrocławski</t>
  </si>
  <si>
    <t>ul. Kolejowa 4</t>
  </si>
  <si>
    <t>Gminna Biblioteka Publiczna w Czernicy – Filia w Kamieńcu Wrocławskim</t>
  </si>
  <si>
    <t>Katarzyna Madeksza</t>
  </si>
  <si>
    <t>75 761 98 83</t>
  </si>
  <si>
    <t>58-540 Karpacz</t>
  </si>
  <si>
    <t>Karpacz Miejska Biblioteka Publiczna</t>
  </si>
  <si>
    <t>DKK "Dygresyjny" dla dorosłych Kotowice</t>
  </si>
  <si>
    <t>Klaudia Lutosławska-Nowak</t>
  </si>
  <si>
    <t>74 865 74 81</t>
  </si>
  <si>
    <t>57-300 Kłodzko</t>
  </si>
  <si>
    <t>ul. B. Chrobrego 1</t>
  </si>
  <si>
    <t>Kłodzko Powiatowa i Miejska Biblioteka Publiczna</t>
  </si>
  <si>
    <t>Ewa Solińska</t>
  </si>
  <si>
    <t>71 302 94 65</t>
  </si>
  <si>
    <t>55-010 Kotowice</t>
  </si>
  <si>
    <t>ul. Podwalna 1</t>
  </si>
  <si>
    <t>Centrum Kultury - Miejska Biblioteka Publiczna w Siechnicach – Filia w Kotowicach</t>
  </si>
  <si>
    <t>Danuta Bunij</t>
  </si>
  <si>
    <t>75 718 25 71</t>
  </si>
  <si>
    <t>DKK „Czytodajnia” dla dzieci i młodzieży</t>
  </si>
  <si>
    <t>Urszula Faroń-Bielecka</t>
  </si>
  <si>
    <t>74 8661 435</t>
  </si>
  <si>
    <t>57-350 Kudowa Zdrój</t>
  </si>
  <si>
    <t>ul. Zdrojowa 16a</t>
  </si>
  <si>
    <t>Kudowa Zdrój Miejska Biblioteka Publiczna</t>
  </si>
  <si>
    <t>Violetta Biernacik</t>
  </si>
  <si>
    <t>Joanna Gelczyńska</t>
  </si>
  <si>
    <t>76 722 60 21</t>
  </si>
  <si>
    <t>59-220 Legnica</t>
  </si>
  <si>
    <t>ul. Piastowska 22</t>
  </si>
  <si>
    <t>Legnica Legnicka Biblioteka Publiczna</t>
  </si>
  <si>
    <t>DKK „Fantasy i SF” dla dorosłych</t>
  </si>
  <si>
    <t>Joanna Gelczyńska, Mieczysław Pytel</t>
  </si>
  <si>
    <t>Legnicka Biblioteka Publiczna</t>
  </si>
  <si>
    <t>DKK „Czytelnika Głuchego” dla dorosłych</t>
  </si>
  <si>
    <t>Wanda Kwiatkowska</t>
  </si>
  <si>
    <t>75 721 13 32</t>
  </si>
  <si>
    <t>59-820 Leśna</t>
  </si>
  <si>
    <t>ul. Pocztowa 10</t>
  </si>
  <si>
    <t>Marta Kaba</t>
  </si>
  <si>
    <t>75 722 24 69</t>
  </si>
  <si>
    <t>59-800 Lubań</t>
  </si>
  <si>
    <t>Rynek-Ratusz</t>
  </si>
  <si>
    <t>Lubań Miejska i Powiatowa Biblioteka Publiczna</t>
  </si>
  <si>
    <t>DKK „zaczytanylubin.pl” dla dorosłych</t>
  </si>
  <si>
    <t>Agata Krawczyńska</t>
  </si>
  <si>
    <t>76 746 83 96</t>
  </si>
  <si>
    <t>59-300 Lubin</t>
  </si>
  <si>
    <t>ul. Norwida 10</t>
  </si>
  <si>
    <t>Lubin Miejska Biblioteka Publiczna – Filia nr 5</t>
  </si>
  <si>
    <t>Danuta Adamowicz</t>
  </si>
  <si>
    <t>75 78 33 185</t>
  </si>
  <si>
    <t>59-623 Lubomierz</t>
  </si>
  <si>
    <t>Plac Wolności 50</t>
  </si>
  <si>
    <t>Lubomierz Gminna Biblioteka Publiczna</t>
  </si>
  <si>
    <t>DKK „Chochlik” dla dorosłych</t>
  </si>
  <si>
    <t>Renata Urszula Matkowska</t>
  </si>
  <si>
    <t>75 782 45 44</t>
  </si>
  <si>
    <t>59-600 Lwówek Śląski</t>
  </si>
  <si>
    <t>Plac Wolności 1</t>
  </si>
  <si>
    <t>DKK „Spod lady” dla dzieci</t>
  </si>
  <si>
    <t>Aniela Pacuszka</t>
  </si>
  <si>
    <t>DKK „Czytulinki” dla dzieci</t>
  </si>
  <si>
    <t>Elżbieta Bagińska</t>
  </si>
  <si>
    <t>74 893 93 97</t>
  </si>
  <si>
    <t>58-210 Łagiewniki</t>
  </si>
  <si>
    <t>ul. Wrocławska 1</t>
  </si>
  <si>
    <t>Łagiewniki Gminny Ośrodek Kultury, Bibliotek i Sportu</t>
  </si>
  <si>
    <t>Mariola Golinczak</t>
  </si>
  <si>
    <t>71 315 49 81</t>
  </si>
  <si>
    <t>ul. Milicka 6</t>
  </si>
  <si>
    <t>Gminna Biblioteka Publiczna w Długołęce – Filia w Łozinie</t>
  </si>
  <si>
    <t>DKK dla dorosłych M</t>
  </si>
  <si>
    <t>biblioteka-marcinkowice@wp.pl</t>
  </si>
  <si>
    <t>Agnieszka Schitter</t>
  </si>
  <si>
    <t>71 302 84 70</t>
  </si>
  <si>
    <t>55-200 Marcinkowice</t>
  </si>
  <si>
    <t>ul. Szkolna 1</t>
  </si>
  <si>
    <t>Marcinkowice Gminna Biblioteka Publiczna w Bystrzycy – Filia w Marcinkowicach</t>
  </si>
  <si>
    <t>Justyna Koziarska</t>
  </si>
  <si>
    <t>ul. Wrocławska 8</t>
  </si>
  <si>
    <t>iędzybórz Biblioteka Publiczna Miasta i Gminy</t>
  </si>
  <si>
    <t>DKK „Dyskusyjka” dla dorosłych</t>
  </si>
  <si>
    <t>Monika Cieśla</t>
  </si>
  <si>
    <t>71 384 00 96</t>
  </si>
  <si>
    <t>56-300 Milicz</t>
  </si>
  <si>
    <t>ul. Piłsudskiego 14</t>
  </si>
  <si>
    <t>Milicz Biblioteka Publiczna</t>
  </si>
  <si>
    <t>Danuta Wiśniewska</t>
  </si>
  <si>
    <t>74 830 31 42</t>
  </si>
  <si>
    <t>58-116 Mościsko</t>
  </si>
  <si>
    <t>ul. Kolejowa 12 b</t>
  </si>
  <si>
    <t>Mościsko Biblioteka Publiczna Gminy Dzierżoniów z/s w Mościsku</t>
  </si>
  <si>
    <t>Justyna Skwarska</t>
  </si>
  <si>
    <t>71 318 92 65</t>
  </si>
  <si>
    <t>55-003 Nadolice Wielkie</t>
  </si>
  <si>
    <t>ul. Wrocławska 56A</t>
  </si>
  <si>
    <t>Nadolice Wielkie Gminna Biblioteka Publiczna w Czernicy – Filia w Nadolicach</t>
  </si>
  <si>
    <t>Karolina Czak</t>
  </si>
  <si>
    <t>65 543 58 01</t>
  </si>
  <si>
    <t>56-215 Niechlów</t>
  </si>
  <si>
    <t>ul. Dworcowa 9</t>
  </si>
  <si>
    <t>Niechlów Gminna Biblioteka Publiczna</t>
  </si>
  <si>
    <t>Małgorzata Wietecha</t>
  </si>
  <si>
    <t>71 71 72 237</t>
  </si>
  <si>
    <t>55-120 Oborniki Śląskie</t>
  </si>
  <si>
    <t>Oborniki Śląskie Obornicki Ośrodek Kultury, Biblioteka Publiczna</t>
  </si>
  <si>
    <t>DKK „Książki szkodzą” dla dorosłych</t>
  </si>
  <si>
    <t>Krystyna Szumiejło</t>
  </si>
  <si>
    <t>56-400 Oleśnica</t>
  </si>
  <si>
    <t>ul. M. Reja 10</t>
  </si>
  <si>
    <t>Biblioteka i Forum Kultury</t>
  </si>
  <si>
    <t>Anna Zielińska-Rybak</t>
  </si>
  <si>
    <t>Biblioteka i Forum Kultury w Oleśnicy</t>
  </si>
  <si>
    <t>DKK „Czytanie uskrzydla” dla młodzieży</t>
  </si>
  <si>
    <t>Beata Szukalska-Woźnicka</t>
  </si>
  <si>
    <t>71 716 52 21</t>
  </si>
  <si>
    <t>ul. Kleeberga 4</t>
  </si>
  <si>
    <t>Biblioteka i Forum Kultury – Fonoteka</t>
  </si>
  <si>
    <t>DKK "W Ratuszu" dla dorosłych</t>
  </si>
  <si>
    <t>Dorota Kamińska</t>
  </si>
  <si>
    <t>71 301 07 36</t>
  </si>
  <si>
    <t>55-200 Oława</t>
  </si>
  <si>
    <t>Oława Powiatowa i Miejska Biblioteka Publiczna</t>
  </si>
  <si>
    <t>DKK dla dorosłych Osiek</t>
  </si>
  <si>
    <t>Urszula Lisiecka, Edyta Dębicka</t>
  </si>
  <si>
    <t>71 31 38 817</t>
  </si>
  <si>
    <t>ul. Iwaszkiewicza 11</t>
  </si>
  <si>
    <t>71 313 19 92</t>
  </si>
  <si>
    <t>55-200 Osiek</t>
  </si>
  <si>
    <t>DKK „Klub Motyli Książkowych” dla dzieci</t>
  </si>
  <si>
    <t>Maria Kirkiewicz</t>
  </si>
  <si>
    <t>74 833 01 37</t>
  </si>
  <si>
    <t>58-262 Ostroszowice</t>
  </si>
  <si>
    <t>ul. Bielawska 57</t>
  </si>
  <si>
    <t>Biblioteka Publiczna Gminy Dzierżoniów z/s w Mościsku – Filia nr 1 w Ostroszowicach</t>
  </si>
  <si>
    <t>DKK „Z natury miłośnicy literatury” dla dorosłych</t>
  </si>
  <si>
    <t>Agnieszka Sierdzińska</t>
  </si>
  <si>
    <t>76 87 75 124</t>
  </si>
  <si>
    <t>59-524 Pielgrzymka</t>
  </si>
  <si>
    <t>Bożena Korzeniowska</t>
  </si>
  <si>
    <t>74 626 26 18</t>
  </si>
  <si>
    <t>58-250 Pieszyce</t>
  </si>
  <si>
    <t>ul. Kopernika 37</t>
  </si>
  <si>
    <t>Pieszyce Miejska Biblioteka Publiczna - Centrum Kultury</t>
  </si>
  <si>
    <t>Irena Haluk, Patrycja Tuchorska</t>
  </si>
  <si>
    <t>74 837 13 83</t>
  </si>
  <si>
    <t>58-240 Piława Górna</t>
  </si>
  <si>
    <t>ul. Sienkiewicza 32</t>
  </si>
  <si>
    <t>Piława Górna Miejska Biblioteka Publiczna</t>
  </si>
  <si>
    <t>Bożena Moderacka</t>
  </si>
  <si>
    <t>76 870 86 13</t>
  </si>
  <si>
    <t>59-424 Męcinka</t>
  </si>
  <si>
    <t>Piotrowice 113</t>
  </si>
  <si>
    <t>Gminna Biblioteka Publiczna w Męcince – Filia w Piotrowicach</t>
  </si>
  <si>
    <t>Kamila Kulig</t>
  </si>
  <si>
    <t>Pławna 23</t>
  </si>
  <si>
    <t>Gminna Biblioteka Publiczna w Lubomierzu – Filia w Pławnej</t>
  </si>
  <si>
    <t>DKK „Między półkami” dla dorosłych</t>
  </si>
  <si>
    <t>Marta Szczykutowicz</t>
  </si>
  <si>
    <t>76 723 96 66</t>
  </si>
  <si>
    <t>59-101 Polkowice</t>
  </si>
  <si>
    <t>ul. Skalników 6</t>
  </si>
  <si>
    <t>Polkowice Miejsko-Gminna Biblioteka Publiczna</t>
  </si>
  <si>
    <t>DKK "Pod Piątką” dla dorosłych</t>
  </si>
  <si>
    <t>Bogusława Spryszyńska</t>
  </si>
  <si>
    <t>76 85 84 687</t>
  </si>
  <si>
    <t>59-230 Prochowice</t>
  </si>
  <si>
    <t>ul. Rynek 5</t>
  </si>
  <si>
    <t>Prochowice Miejsko-Gminna Biblioteka Publiczna</t>
  </si>
  <si>
    <t>Barbara Włodarska</t>
  </si>
  <si>
    <t>ul. Wrocławska 52A</t>
  </si>
  <si>
    <t>Gminna Biblioteka Publiczna w Czernicy – Filia w Ratowicach</t>
  </si>
  <si>
    <t>biblioteka.wegliniec@interia.pl</t>
  </si>
  <si>
    <t>Jadwiga Kuternozińska</t>
  </si>
  <si>
    <t>75 771 45 51 lub 78 411 81 88</t>
  </si>
  <si>
    <t>59-950 Ruszów</t>
  </si>
  <si>
    <t>ul. Strzelecka 3</t>
  </si>
  <si>
    <t>Biblioteka Publiczna Miasta i Gminy Węgliniec – Filia w Ruszowie</t>
  </si>
  <si>
    <t>DKK „Za-księgowani” dla dorosłych</t>
  </si>
  <si>
    <t>Siciny 82</t>
  </si>
  <si>
    <t>Gminna Biblioteka Publiczna w Niechlowie – Filia w Sicinach</t>
  </si>
  <si>
    <t>DKK „Gadka Literatka” dla dorosłych</t>
  </si>
  <si>
    <t>Maria Tyws</t>
  </si>
  <si>
    <t>71 392 02 81</t>
  </si>
  <si>
    <t>57-100 Strzelin</t>
  </si>
  <si>
    <t>ul. Grahama Bella 3a</t>
  </si>
  <si>
    <t>Strzelin Miejska i Gminna Biblioteka Publiczna</t>
  </si>
  <si>
    <t>Anna Matusewicz</t>
  </si>
  <si>
    <t>75 77 87 599</t>
  </si>
  <si>
    <t>59-975 Sulików</t>
  </si>
  <si>
    <t>Plac Wolności 9</t>
  </si>
  <si>
    <t>Sulików Gminny Ośrodek Kultury, Biblioteka Publiczna</t>
  </si>
  <si>
    <t>Elżbieta Andrzejak</t>
  </si>
  <si>
    <t>71 384 71 84</t>
  </si>
  <si>
    <t>56-300 Sułów</t>
  </si>
  <si>
    <t>Rynek 12</t>
  </si>
  <si>
    <t>Biblioteka Publiczna w Miliczu – Filia w Sułowie</t>
  </si>
  <si>
    <t>Elżbieta Witkowska</t>
  </si>
  <si>
    <t>74 843 86 29</t>
  </si>
  <si>
    <t>no-Zdrój</t>
  </si>
  <si>
    <t>al. Wojska Polskiego 4a 58-310 Szczaw</t>
  </si>
  <si>
    <t>Szczawno Zdrój Miejska Biblioteka Publiczna</t>
  </si>
  <si>
    <t>Danuta Fita</t>
  </si>
  <si>
    <t>Plac Wolności 58</t>
  </si>
  <si>
    <t>Środa Śląska Biblioteka Publiczna</t>
  </si>
  <si>
    <t>DKK "Melina literacka" dla dorosłych</t>
  </si>
  <si>
    <t>Robert Staniszewski</t>
  </si>
  <si>
    <t>74 665 28 33</t>
  </si>
  <si>
    <t>58-100 Świdnica</t>
  </si>
  <si>
    <t>ul. Franciszkańska 18</t>
  </si>
  <si>
    <t>Świdnica Miejska Biblioteka Publiczna</t>
  </si>
  <si>
    <t>Małgorzata Grudzińska</t>
  </si>
  <si>
    <t>74 666 95 73</t>
  </si>
  <si>
    <t>58-160 Świebodzice</t>
  </si>
  <si>
    <t>ul. Świdnicka 15</t>
  </si>
  <si>
    <t>Świebodzice Miejska Biblioteka Publiczna</t>
  </si>
  <si>
    <t>DKK Fantasy dla młodzieży</t>
  </si>
  <si>
    <t>Agnieszka Okarmus</t>
  </si>
  <si>
    <t>74 666 95 76</t>
  </si>
  <si>
    <t>ul. Wolności 23</t>
  </si>
  <si>
    <t>Miejska Biblioteka Publiczna Oddział dziecięcy</t>
  </si>
  <si>
    <t>Krystyna Piotrowska</t>
  </si>
  <si>
    <t>75 78 16 394</t>
  </si>
  <si>
    <t>59-850 Świeradów Zdrój</t>
  </si>
  <si>
    <t>ul. 11 listopada 35</t>
  </si>
  <si>
    <t>Świeradów Zdrój Miejska Biblioteka Publiczna</t>
  </si>
  <si>
    <t>71 311 62 63</t>
  </si>
  <si>
    <t>55-010 Święta Katarzyna</t>
  </si>
  <si>
    <t>ul. Główna 82</t>
  </si>
  <si>
    <t>Centrum Kultury - Miejska Biblioteka Publiczna w Siechnicach – Filia w Świętej Katarzynie</t>
  </si>
  <si>
    <t>DKK dla dorosłych Tw</t>
  </si>
  <si>
    <t>Danuta Jędruszek</t>
  </si>
  <si>
    <t>71 312 12 43</t>
  </si>
  <si>
    <t>55-100 Trzebnica</t>
  </si>
  <si>
    <t>ul. Prusicka 12</t>
  </si>
  <si>
    <t>Trzebnica Miejska i Gminna Biblioteka Publiczna</t>
  </si>
  <si>
    <t>Marta Faraniec email bibdor[at]o2.pl</t>
  </si>
  <si>
    <t>71 315 80 17</t>
  </si>
  <si>
    <t>56-416 Twardogóra</t>
  </si>
  <si>
    <t>ul. Wielkopolska 11</t>
  </si>
  <si>
    <t>ardogóra Biblioteka Publiczna Miasta i Gminy</t>
  </si>
  <si>
    <t>Beata Kościelna; Agata Czajor</t>
  </si>
  <si>
    <t>74 648 37 10</t>
  </si>
  <si>
    <t>58-300 Wałbrzych</t>
  </si>
  <si>
    <t>Powiatowa i Miejska Biblioteka Publiczna „Biblioteka pod Atlantami”</t>
  </si>
  <si>
    <t>Maria Kuchta</t>
  </si>
  <si>
    <t>74 648 37 41</t>
  </si>
  <si>
    <t>58-301 Wałbrzych</t>
  </si>
  <si>
    <t>ul. Piłsudskiego 90</t>
  </si>
  <si>
    <t>Powiatowa i Miejska Biblioteka Publiczna „Biblioteka pod Atlantami” – Filia nr 1</t>
  </si>
  <si>
    <t>Dorota Sternik</t>
  </si>
  <si>
    <t>74 648 37 39</t>
  </si>
  <si>
    <t>58-309 Wałbrzych</t>
  </si>
  <si>
    <t>ul. Broniewskiego 65A</t>
  </si>
  <si>
    <t>Powiatowa i Miejska Biblioteka Publiczna „Biblioteka pod Atlantami” – Filia nr 7</t>
  </si>
  <si>
    <t>Lidia Zielińska</t>
  </si>
  <si>
    <t>DKK „Chmurdalia” dla dorosłych</t>
  </si>
  <si>
    <t>Magdalena Urbanek</t>
  </si>
  <si>
    <t>74 640 12 57</t>
  </si>
  <si>
    <t>58-316 Wałbrzych</t>
  </si>
  <si>
    <t>ul. Kasztelańska 1</t>
  </si>
  <si>
    <t>Powiatowa i Miejska Biblioteka Publiczna „Biblioteka pod Atlantami” – Filia nr 11</t>
  </si>
  <si>
    <t>DKK „Literka” dla dzieci</t>
  </si>
  <si>
    <t>Agnieszka Babij</t>
  </si>
  <si>
    <t>65 543 79 92</t>
  </si>
  <si>
    <t>56-210 Wąsosz</t>
  </si>
  <si>
    <t>Placówek Kultury. Biblioteka Publiczna Krzywa 11</t>
  </si>
  <si>
    <t>Wąsosz Zespół</t>
  </si>
  <si>
    <t>DKK „Pełnia” dla dorosłych</t>
  </si>
  <si>
    <t>Wiesława Dominiarczyk</t>
  </si>
  <si>
    <t>58-230 Niemcza</t>
  </si>
  <si>
    <t>Sylwia Drząszcz</t>
  </si>
  <si>
    <t>71 312 42 82</t>
  </si>
  <si>
    <t>55-114 Wisznia Mała</t>
  </si>
  <si>
    <t>Wisznia Mała Ośrodek Kultury, Sportu i Rekreacji. Gminna Biblioteka Publiczna</t>
  </si>
  <si>
    <t>Kamila Kiezik-Gożdzicka</t>
  </si>
  <si>
    <t>Renata Rzeźniczek, Iwona Piekarek</t>
  </si>
  <si>
    <t>71 389 25 31</t>
  </si>
  <si>
    <t>56-100 Wołów</t>
  </si>
  <si>
    <t>ul. Sikorskiego 8</t>
  </si>
  <si>
    <t>Wołów Miejska i Gminna Biblioteka Publiczna</t>
  </si>
  <si>
    <t>DKK „Zakład Karny” dla Dorosłych</t>
  </si>
  <si>
    <t>Anna Rębacz</t>
  </si>
  <si>
    <t>71 389 25 31 w. 22</t>
  </si>
  <si>
    <t>Katarzyna Dąbrowska</t>
  </si>
  <si>
    <t>DKK Seniora dla dorosłych</t>
  </si>
  <si>
    <t>Beata Tarnowska</t>
  </si>
  <si>
    <t>71 33 52 204</t>
  </si>
  <si>
    <t>50-116 Wrocław</t>
  </si>
  <si>
    <t>Rynek 58</t>
  </si>
  <si>
    <t>DKK „Globtrotter” turystyczny dla dorosłych</t>
  </si>
  <si>
    <t>Krystyna Lasota-Kotowicz</t>
  </si>
  <si>
    <t>DKK „Audiobooka” dla dorosłych</t>
  </si>
  <si>
    <t>Ewelina Tulko</t>
  </si>
  <si>
    <t>DKK „Loża Fantastyczna” dla dorosłych</t>
  </si>
  <si>
    <t>Marta Witkowska</t>
  </si>
  <si>
    <t>DKK „Zbrodnia we wtorek” dla dorosłych</t>
  </si>
  <si>
    <t>Katarzyna Zborowska, Katarzyna Kilber</t>
  </si>
  <si>
    <t>Irina Orzechowska</t>
  </si>
  <si>
    <t>DKK „Czytelniczy Klub Seniora” dla dorosłych</t>
  </si>
  <si>
    <t>71 364 69 68 w. 349</t>
  </si>
  <si>
    <t>53-310 Wrocław</t>
  </si>
  <si>
    <t>ul. Sztabowa 98</t>
  </si>
  <si>
    <t>Małgorzata Kawecka</t>
  </si>
  <si>
    <t>71 364 69 68</t>
  </si>
  <si>
    <t>50-550 Wrocław</t>
  </si>
  <si>
    <t>ul. Wieczysta 105</t>
  </si>
  <si>
    <t>Rozalia Podgórska</t>
  </si>
  <si>
    <t>71 712 00 13</t>
  </si>
  <si>
    <t>54-104 Wrocław</t>
  </si>
  <si>
    <t>ul. Suwalska 3</t>
  </si>
  <si>
    <t>Joanna Gil</t>
  </si>
  <si>
    <t>71 777 99 44, wew. 1</t>
  </si>
  <si>
    <t>51-312 Wrocław</t>
  </si>
  <si>
    <t>ul. Krzywoustego 286</t>
  </si>
  <si>
    <t>Miejska Biblioteka Publiczna – Filia nr 11 Filia nr 11</t>
  </si>
  <si>
    <t>Agnieszka Nieścior</t>
  </si>
  <si>
    <t>Joanna Grzelczyk</t>
  </si>
  <si>
    <t>71 34 71 263</t>
  </si>
  <si>
    <t>50-085 Wrocław</t>
  </si>
  <si>
    <t>ul. Piłsudskiego 105</t>
  </si>
  <si>
    <t>Miejska Biblioteka Publiczna we Wrocławiu – Filia 12</t>
  </si>
  <si>
    <t>DKK „Pod Szesnastką” dla dorosłych</t>
  </si>
  <si>
    <t>Dagmara Kapuściarek</t>
  </si>
  <si>
    <t>71 354 72 75</t>
  </si>
  <si>
    <t>ul. Kolista 17</t>
  </si>
  <si>
    <t>DKK Książki i Filmu „Zakładka” dla dorosłych</t>
  </si>
  <si>
    <t>Agnieszka Borkowska</t>
  </si>
  <si>
    <t>50-310 Wrocław</t>
  </si>
  <si>
    <t>ul. Grabiszyńska 236 a</t>
  </si>
  <si>
    <t>Miejska Biblioteka Publiczna – Filia nr 18</t>
  </si>
  <si>
    <t>DKK „Fiszka” dla dorosłych</t>
  </si>
  <si>
    <t>Beata Baranowska, Jakub Sobieralski</t>
  </si>
  <si>
    <t>71 354 72 64</t>
  </si>
  <si>
    <t>54-130 Wrocław</t>
  </si>
  <si>
    <t>Irena Michałowska</t>
  </si>
  <si>
    <t>71 326 60 62</t>
  </si>
  <si>
    <t>50-243 Wrocław</t>
  </si>
  <si>
    <t>ul. Łokietka 13</t>
  </si>
  <si>
    <t>Miejska Biblioteka Publiczna – Filia nr 27</t>
  </si>
  <si>
    <t>DKK “Sodalitas” dla dorosłych</t>
  </si>
  <si>
    <t>Dorota Surman</t>
  </si>
  <si>
    <t>71 326 60 63</t>
  </si>
  <si>
    <t>ul. Reja 23 a</t>
  </si>
  <si>
    <t>Miejska Biblioteka Publiczna – Filia nr 29</t>
  </si>
  <si>
    <t>Ewa Kicol</t>
  </si>
  <si>
    <t>71 347 12 74</t>
  </si>
  <si>
    <t>51-671 Wrocław</t>
  </si>
  <si>
    <t>ul. 8 maja 26</t>
  </si>
  <si>
    <t>Miejska Biblioteka Publiczna – Filia nr 32</t>
  </si>
  <si>
    <t>DKK "LA BEFANA" dla dorosłych</t>
  </si>
  <si>
    <t>Joanna Łajdanowicz</t>
  </si>
  <si>
    <t>71 326 60 72</t>
  </si>
  <si>
    <t>51-111 Wrocław</t>
  </si>
  <si>
    <t>ul. Serbska 5</t>
  </si>
  <si>
    <t>Miejska Biblioteka Publiczna – Filia nr 42</t>
  </si>
  <si>
    <t>Ewa Gorzkowska</t>
  </si>
  <si>
    <t>71 337 07 18</t>
  </si>
  <si>
    <t>ul. Powstańców Śląskich 210</t>
  </si>
  <si>
    <t>Miejska Biblioteka Publiczna – Filia nr 44</t>
  </si>
  <si>
    <t>DKK „Bergamuty” dla dzieci</t>
  </si>
  <si>
    <t>Bożena Mateusiak</t>
  </si>
  <si>
    <t>71 347 12 80</t>
  </si>
  <si>
    <t>52-021 Wrocław</t>
  </si>
  <si>
    <t>ul. Tarnogórska 1</t>
  </si>
  <si>
    <t>Miejska Biblioteka Publiczna – Filia nr 46</t>
  </si>
  <si>
    <t>DKK „Krasnale” dla dzieci</t>
  </si>
  <si>
    <t>Mariola Michalska</t>
  </si>
  <si>
    <t>71 347 12 61</t>
  </si>
  <si>
    <t>52-118 Wrocław</t>
  </si>
  <si>
    <t>ul. Polna 4</t>
  </si>
  <si>
    <t>Miejska Biblioteka Publiczna – Filia nr 47</t>
  </si>
  <si>
    <t>DKK "Klub Podróżnika" dla dorosłych</t>
  </si>
  <si>
    <t>Marzena Karwowska, Barbara Snacka</t>
  </si>
  <si>
    <t>71 34 71 267</t>
  </si>
  <si>
    <t>50-054 Wrocław</t>
  </si>
  <si>
    <t>ul. Szewska 78</t>
  </si>
  <si>
    <t>Miejska Biblioteka Publiczna – Filia nr 57</t>
  </si>
  <si>
    <t>Dorota Szczęśniak</t>
  </si>
  <si>
    <t>71 32 220 68</t>
  </si>
  <si>
    <t>50-238 Wrocław</t>
  </si>
  <si>
    <t>ul. Niemcewicza 2</t>
  </si>
  <si>
    <t>Biblioteka Państwowego Pomaturalnego Studium Kształcenia Animatorów Kultury i Bibliotekarzy</t>
  </si>
  <si>
    <t>Maria Kret</t>
  </si>
  <si>
    <t>75 775 25 57</t>
  </si>
  <si>
    <t>59-900 Zgorzelec</t>
  </si>
  <si>
    <t>ul. Bohaterów Getta 1</t>
  </si>
  <si>
    <t>Zgorzelec Miejska Biblioteka Publiczna</t>
  </si>
  <si>
    <t>Genowefa Laszczak</t>
  </si>
  <si>
    <t>Barbara Klimaszewska</t>
  </si>
  <si>
    <t>76 878 33 28</t>
  </si>
  <si>
    <t>59-500 Złotoryja</t>
  </si>
  <si>
    <t>Złotoryja Miejska Biblioteka Publiczna</t>
  </si>
  <si>
    <t>Stanisława Biernacka</t>
  </si>
  <si>
    <t>74 858 05 40</t>
  </si>
  <si>
    <t>58-130 Żarów</t>
  </si>
  <si>
    <t>ul. Piastowska 10</t>
  </si>
  <si>
    <t>Żarów Biblioteka Publiczna Miasta i Gminy</t>
  </si>
  <si>
    <t>Teresa Budziar</t>
  </si>
  <si>
    <t>71 311 32 21</t>
  </si>
  <si>
    <t>55-010 Żerniki Wrocławskie</t>
  </si>
  <si>
    <t>ul. Kolejowa 7a</t>
  </si>
  <si>
    <t>Centrum Kultury - Miejska Biblioteka Publiczna w Siechnicach - Filia w Żernikach Wrocławskich</t>
  </si>
  <si>
    <t>DKK  dla dorosłych</t>
  </si>
  <si>
    <t>Gminny Ośrodek Kultury, Bibliotek i Sportu w Łagiewnikach – Filia w Olesznej</t>
  </si>
  <si>
    <t>ul. Wesoła 2</t>
  </si>
  <si>
    <t>58-214 Oleszna</t>
  </si>
  <si>
    <t>74/ 834 22 81</t>
  </si>
  <si>
    <t>Alina Zamęcka</t>
  </si>
  <si>
    <t xml:space="preserve">Sobótka </t>
  </si>
  <si>
    <t xml:space="preserve">ul. F. Chopina 25 </t>
  </si>
  <si>
    <t xml:space="preserve">55-050 Sobótka </t>
  </si>
  <si>
    <t>Magdalena Deląg</t>
  </si>
  <si>
    <t xml:space="preserve">DKK „Nowe Tory” dla dorosłych </t>
  </si>
  <si>
    <t>Zielona Góra</t>
  </si>
  <si>
    <t>Babimost</t>
  </si>
  <si>
    <t>Biblioteka Publiczna w Babimoście ul. Konstytucji 3 Maja 9 66-110 Babimost tel. 68 351 20 69 moderatorki: Irena Spodzieja, Marta Wieczorek e-mail: bibliotekababimost[at]wp.pl DKK dla dorosłych DKK dla dzieci</t>
  </si>
  <si>
    <t>Biecz</t>
  </si>
  <si>
    <t>Gminna Biblioteka Publiczna w Brodach – Filia w Bieczu Biecz 82 68-343 Brody tel. 68 371 25 64 moderatorka: Katarzyna Cwudzińska e-mail: bibliotekabrody[at]wp.pl DKK dla dzieci</t>
  </si>
  <si>
    <t>Bieniów</t>
  </si>
  <si>
    <t>Gminna Biblioteka Publiczna Gminy Żary z/s w Bieniowie ul. Zielonogórska 14 68-200 Bieniów tel. 68 374 16 88 moderatorka: Aneta Winnicka e-mail: anetawinnicka[at]o2.pl DKK dla dorosłych</t>
  </si>
  <si>
    <t>Bojadła</t>
  </si>
  <si>
    <t>Gminna Biblioteka Publiczna w Bojadłach ul. Boczna 1a 66-130 Bojadła tel. 68 352 22 68 moderatorka: Katarzyna Tomaszewska e-mail: biblioteka.bojadla[at]poczta.onet.pl DKK dla dorosłych</t>
  </si>
  <si>
    <t>Bożnów</t>
  </si>
  <si>
    <t>Gminna Biblioteka Publiczna w Dzietrzychowicach – Filia Bożnów Bożnów 56 68-100 Żagań tel. 68 377 22 14 moderatorka: Danuta Bielawska e-mail: danbibl[at]o2.pl DKK dla dzieci</t>
  </si>
  <si>
    <t>Brody</t>
  </si>
  <si>
    <t>Gminna Biblioteka Publiczna w Brodach ul. Kilińskiego 9 68-343 Brody tel. 68 371 25 64 moderatorka: Kamila Borzych e-mail: bibliotekabrody[at]wp.pl DKK dla dzieci</t>
  </si>
  <si>
    <t>Gminna Biblioteka Publiczna w Brzeźnicy ul. Zielononogórska 24 b 68-113 Brzeźnica tel. 68 377 18 04 moderatorka: Małgorzata Krumpolc e-mail: biblioteka.brzeznica[at]op.pl DKK dla dzieci DKK dla dorosłych</t>
  </si>
  <si>
    <t>Bytom Odrzański</t>
  </si>
  <si>
    <t>Biblioteka Publiczna w Bytomiu Odrzańskim ul. Kożuchowska 15 67-115 Bytom Odrzański tel. 68 388 49 52 moderatorka: Bożena Romańska e-mail: bp-bytomodrzanski[at]o2.pl DKK dla dorosłych DKK dla dzieci DKK dla dzieci</t>
  </si>
  <si>
    <t>Chotków</t>
  </si>
  <si>
    <t>Gminna Biblioteka Publiczna w Brzeźnicy – Filia w Chotkowie ul. Kożuchowska 55 68-113 Brzeźnica tel. 68 360 33 19</t>
  </si>
  <si>
    <t>moderatorka: Elżbieta Skrzyczewska e-mail: biblioteka.chotkow[at]poczta.onet.pl DKK dla dzieci</t>
  </si>
  <si>
    <t>Dąbie Gminna Biblioteka w Dąbiu ul. Strażacka 4 66-615 Dąbie tel. 68 38 32 110 moderator: Wojciech Brodziński e-mail: gbp[at]dabie.pl DKK dla dzieci</t>
  </si>
  <si>
    <t>Długie</t>
  </si>
  <si>
    <t>MBP w Szprotawie – Filia w Długiem Długie 79 67-312 Niegosławice tel. 68 376 24 81 moderatorka: Renata Migas e-mail: bp-dlugie[at]wp.pl DKK dla dzieci</t>
  </si>
  <si>
    <t>Dzietrzychowice</t>
  </si>
  <si>
    <t>Gminna Biblioteka Publiczna w Dzietrzychowicach Dzietrzychowice 51 68-111 Miodnica tel. 68 377 24 64 moderatorka: Agnieszka Lasoń e-mail: gbpdzietrzychowice[at]wp.pl DKK dla dzieci</t>
  </si>
  <si>
    <t>Gozdnica</t>
  </si>
  <si>
    <t>Miejska Biblioteka Publiczna ul. Ceramików 25 68-130 Gozdnica tel. 68 360 10 15 moderatorka: Teresa Kurzepa e-mail biblioteka[at]gozdnica.pl DKK dla dorosłych</t>
  </si>
  <si>
    <t>Grabik</t>
  </si>
  <si>
    <t>Gminna Biblioteka Publiczna Gminy Żary z/s w Bieniowie – Filia w Grabiku</t>
  </si>
  <si>
    <t>Grabik 102 68-200 Żary tel. 68 362 06 84</t>
  </si>
  <si>
    <t>moderatorka: Anna Kowalczewska e-mail: bibliotekagrabik[at]o2.pl DKK dla dzieci</t>
  </si>
  <si>
    <t>Gubin</t>
  </si>
  <si>
    <t>Miejska Biblioteka Publiczna w Gubinie al. Bohaterów Westerplatte 14 66-620 Gubin tel. 68 455 81 66 moderatorka: Ewa Dąbek e-mail: czytelniambpgubin[at]interia.pl DKK dla dorosłych</t>
  </si>
  <si>
    <t>Guzów</t>
  </si>
  <si>
    <t>Biblioteka Publiczna Miasta i Gminy Jasień – Filia w Guzowie Guzów 3 68-320 Guzów tel. 697 628 726 moderatorka: Justyna Sierko e-mail: justyna.sierko[at]wp.pl DKK dla dzieci</t>
  </si>
  <si>
    <t>Iłowa Miejska Biblioteka Publiczna w Iłowej ul. Żagańska 11 68-120 Iłowa tel. 68 371 13 90 moderatorka: Alicja Moneta e-mail: biblioteka.ilowa[at]gmail.com DKK dla dorosłych</t>
  </si>
  <si>
    <t>Jabłoniec</t>
  </si>
  <si>
    <t>Biblioteka Publiczna Miasta i Gminy Jasień – Filia w Jabłońcu Jabłoniec 73 68-320 Jasień tel. 606 199 660 moderatorka: Elżbieta Ferenc e-mail: fbjabloniec[at]gmail.com DKK dla dzieci</t>
  </si>
  <si>
    <t>Jasień</t>
  </si>
  <si>
    <t>Biblioteka Publiczna Miasta i Gminy Jasień ul. Kolejowa 9 68-320 Jasień tel. 68 371 04 57</t>
  </si>
  <si>
    <t>moderatorki: Irena Ludwig, Marzena Rudzińska e-mail: bp.jasien[at]noestrada.pl DKK dla dzieci DKK dla dorosłych</t>
  </si>
  <si>
    <t>Kargowa</t>
  </si>
  <si>
    <t>Gminna Biblioteka Publiczna w Kargowej ul. Browarna 7 66-120 Kargowa tel. 68 352 63 68 moderatorka: Małgorzata Kwiecień e-mail: gbpkargowa[at]wp.pl DKK dla dorosłych</t>
  </si>
  <si>
    <t>Klenica</t>
  </si>
  <si>
    <t>Biblioteka Publiczna w Bojadłach z siedzibą w Klenicy ul. Kargowska 7 66-133 Klenica tel. 68 352 34 43 moderatorka: Monika Niedbalska e-mail: klenica_bibliofil[at]op.pl DKK dla dzieci</t>
  </si>
  <si>
    <t>Kosierz Gminna Biblioteka Publiczna w Dąbiu – Filia w Kosierzu</t>
  </si>
  <si>
    <t>Kosierz 39</t>
  </si>
  <si>
    <t>66-627 Bobrowice tel. 68 38 34 375 moderatorka: Aleksandra Bujda e-mail: gbp[at]dabie.pl DKK dla dzieci</t>
  </si>
  <si>
    <t>Krzepielów</t>
  </si>
  <si>
    <t>Miejska Biblioteka Publiczna w Szprotawie – Filia w Lesznie Górnym ul. Bolesławiecka 17 67-321 Leszno Górne</t>
  </si>
  <si>
    <t>tel. 68 376 65 39 moderatorka: Andżelika Przysiężna e-mail: biblioteka.leszno[at]neostrada.pl DKK dla dzieci</t>
  </si>
  <si>
    <t>Lipinki Łużyckie</t>
  </si>
  <si>
    <t>Gminna Biblioteka Publiczna w Lipinkach Łużyckich ul. Główna 21 68-213 Lipinki Łużyckie tel. 68 375 20 87 moderatorka: Lidia Bumbul e-mail: gbplipinkiluzyckie[at]o2.pl DKK dla dorosłych DKK dla młodzieży</t>
  </si>
  <si>
    <t>Lipiny</t>
  </si>
  <si>
    <t>Gminna Biblioteka Publiczna w Przyborowie – Filia w Lipinach Lipiny 77 67-100 Lipiny tel. 503 022 077 moderatorka: Agnieszka Gąsior e-mail: biblioteka.lipiny[at]gmail.com DKK dla dzieci</t>
  </si>
  <si>
    <t>Lubanice</t>
  </si>
  <si>
    <t>Gminna Biblioteka Publiczna Gminy Żary z/s w Bieniowie – Filia w Lubanicach Lubanice 17 68-200 Żary tel. 68 362 08 54 moderatorka: Anna Kuczko e-mail: gbplubanice[at]o2.pl DKK dla dorosłych</t>
  </si>
  <si>
    <t>Biblioteka Publiczna w Łagowie ul. Spacerowa 12 66-220 Łagów tel. 68 341 27 31 moderatorka: Ewa Zawiślak e-mail: biblioteka.lagow.[at]op.pl DKK dla dorosłych</t>
  </si>
  <si>
    <t>Maszewo</t>
  </si>
  <si>
    <t>Gminna Biblioteka Publiczna w Maszewie Maszewo 114</t>
  </si>
  <si>
    <t>66-614 Maszewo tel. 68 391 43 58 moderatorka: Krystyna Bobel e-mail: krystyna510[at]poczta.onet.pl DKK dla dorosłych</t>
  </si>
  <si>
    <t>Mirostowice Dolne</t>
  </si>
  <si>
    <t>Gminna Biblioteka Publiczna Gminy Żary z/s w Bieniowie – Filia w Mirostowicach Dolnych ul. Plac Kościelny 19 68-205 Mirostowice Dolne tel. 68 362 14 42 moderatorka: Wiesława Zegiel</t>
  </si>
  <si>
    <t>e-mail: biblioteka.mirostowicedolne[at]wp.pl DKK dla dzieci DKK dla dorosłych</t>
  </si>
  <si>
    <t>Nowa Sól</t>
  </si>
  <si>
    <t>Miejska Biblioteka Publiczna w Nowej Soli ul. Bankowa 3 67-100 Nowa Sól tel. 68 355 34 28 moderatorki: Agata Wojtkowiak, Krystyna Zakrzewska e-mail: wagawoja[at]tlen.pl, biblioteka_ns_dzieci[at]tlen.pl DKK dla dzieci DKK dla dorosłych</t>
  </si>
  <si>
    <t>Nowe Kramsko</t>
  </si>
  <si>
    <t>Biblioteka Publiczna w Babimoście – Filia w Nowym Kramsku ul. Gromadzka 3 66-111 Nowe Kramsko tel. 68 351 20 69 moderatorka: Daria Linowiecka e-mail: filianowekramsko[at]wp.pl DKK dla dzieci</t>
  </si>
  <si>
    <t>Nowogród Bobrzański</t>
  </si>
  <si>
    <t>Biblioteka Publiczna Miasta i Gminy w Nowogrodzie Bobrzańskim ul. Pocztowa 7 66-010 Nowogród Bobrzański tel. 68 327 66 65 moderatorka: Zofia Rogasik e-mail: zosia.rogasik[at]wp.pl DKK dla dorosłych</t>
  </si>
  <si>
    <t>Olbrachtów</t>
  </si>
  <si>
    <t>Gminna Biblioteka Publiczna Gminy Żary z/s w Bieniowie – Filia w Olbrachtowie Olbrachtów 40</t>
  </si>
  <si>
    <t>68-200 Żary tel. 68 362 18 34 moderatorka: Barbara Szałęga e-mail: barbaraszalega[at]wp.pl DKK dla dorosłych DKK dla dzieci</t>
  </si>
  <si>
    <t>Osiecznica Biblioteka Publiczna Miasta i Gminy w Krośnie Odrzańskim – Filia w Osiecznicy ul. Szkolna 15 66-600 Krosno Odrzańskie tel. 68 359 00 25 moderatorka: Barbara Przeździęk e-mail: bibioteka_osiecznica[at]onet.pl DKK dla dorosłych DKK dla dzieci</t>
  </si>
  <si>
    <t>Otyń</t>
  </si>
  <si>
    <t>Gminna Biblioteka Publiczna w Otyniu ul. Chrobrego 18 67-106 Otyń tel. 68 355 38 60/61 moderatorka: Maria Zatorska e-mail: biblioteka[at]otyn.pl DKK dla dorosłych</t>
  </si>
  <si>
    <t>Połupin Gminna Biblioteka w Dąbiu – Filia w Połupinie ul. Kolejowa 4/A 66-600 Połupin tel. 68 38 34 283</t>
  </si>
  <si>
    <t>moderatorka: Joanna Naharnowicz e-mail: gbp[at]dabie.pl DKK dla dzieci</t>
  </si>
  <si>
    <t>Przyborów Gminna Biblioteka w Przyborowie ul. Szkolna 16 67-100 Przyborów tel. 781 304 219 e-mail: biblioteka.lipiny[at]gmail.com moderatorka: Mirosława Marasek</t>
  </si>
  <si>
    <t>Przylep</t>
  </si>
  <si>
    <t>Biblioteka Publiczna w Zielonej Górze – Filia w Przylepie Przylep – 8 maja 9 66-015 Zielona Góra tel. 68 321 37 44 moderatorka: Magdalena Piotrowska e-mail: biblioteka[at]gminazg.pl DKK dla dzieci</t>
  </si>
  <si>
    <t>Racula</t>
  </si>
  <si>
    <t>Biblioteka Publiczna w Zielonej Górze – Filia w Raculi ul. Racula -Głogowska 64 65-004 Zielona Góra tel. 68 321 42 00 moderatorka: Daria Bednarek e-mail: biblioteka[at]gminazg.pl DKK dla dzieci</t>
  </si>
  <si>
    <t>Siecieborzyce</t>
  </si>
  <si>
    <t>Miejska Biblioteka Publiczna w Szprotawie – Filia Siecieborzyce Siecieborzyce 49a</t>
  </si>
  <si>
    <t>67-320 Małomice tel. 68 376 07 40 moderatorka: Dorota Klimejko e-mail: bibl.siecieborzyce[at]wp.pl DKK dla dzieci</t>
  </si>
  <si>
    <t>Siedlisko</t>
  </si>
  <si>
    <t>Biblioteka Publiczna w Siedlisku ul. Kasztanowa 19 67-112 Siedlisko tel. 68 288 3521 moderatorka: Regina Wygiera e-mail: bpsiedlisko[at]o2.pl DKK dla dorosłych</t>
  </si>
  <si>
    <t>Sieniawa Żarska</t>
  </si>
  <si>
    <t>Gminna Biblioteka Publiczna Gminy Żary z/s w Bieniowie – Filia w Sieniawie Żarskiej Sienawa Żarska 40</t>
  </si>
  <si>
    <t>68-213 Sieniawa Żarska tel. 68 375 97 03 moderatorka: Paulina Bartkowiak</t>
  </si>
  <si>
    <t>e-mail: gbp.sieniawa.zarska[at]gmail.com DKK dla dorosłych</t>
  </si>
  <si>
    <t>Słone</t>
  </si>
  <si>
    <t>Gminna Biblioteka Publiczna w Świdnicy – Biblioteka Szkolno-Publiczna w Słonem ul. Szkolna 1 66-008 Świdnica tel. 68 327 31 36 moderatorka: Ewa Sułek-Mulawa e-mail: slonebiblioteka[at]wp.pl DKK dla dzieci</t>
  </si>
  <si>
    <t>Stare Strącze</t>
  </si>
  <si>
    <t>Biblioteka Publiczna w Sławie – Filia w Starym Strączu Stare Strącze 191 A 67-410 Sława tel. 68 356 8002 moderatorka: Natalia Kołtowska e-mail: biblioteka-starestracze[at]wp.pl DKK dla dorosłych DKK dla młodzieży</t>
  </si>
  <si>
    <t>Stary Kisielin Biblioteka Publiczna w Zielonej Górze – Filia w Starym Kisielinie ul. Stary Kisielin-Pionierów Lubuskich 53 66-002 Zielona Góra moderatorka: Joanna Adamczewska e-mail: biblioteka[at]gminazg.pl DKK dla dzieci</t>
  </si>
  <si>
    <t>Sulechów</t>
  </si>
  <si>
    <t>Biblioteka Publiczna Gminy Sulechów ul. Jan Pawła II 52 66-100 Sulechów tel. 68 455 30 40 moderatorki: Renata Mitek, Oliwia Lickindorf e-mail: biblioteka_pub_gm_sul[at]o2.pl DKK dla dzieci DKK dla dorosłych</t>
  </si>
  <si>
    <t>Szprotawa</t>
  </si>
  <si>
    <t>Miejska Biblioteka Publiczna w Szprotawie ul. Niepodległości 16 67-300 Szprotawa tel. 68 376 26 03</t>
  </si>
  <si>
    <t>moderatorki: Anna Pelc, Julita Hofman, Dagmara Bronk e-mail: mbpszprpotawa3[at]wp.pl DKK dla dorosłych DKK dla dzieci</t>
  </si>
  <si>
    <t>Świdnica</t>
  </si>
  <si>
    <t>Gminna Biblioteka Publiczna w Świdnicy ul. Długa 25 68-008 Świdnica tel. 68 327 32 80 moderatorka: Bożena Trubiłowicz e-mail: biblioteka.swidnica[at]wp.pl DKK dla dorosłych DKK dla dorosłych</t>
  </si>
  <si>
    <t>Świebodzin</t>
  </si>
  <si>
    <t>Biblioteka Publiczna w Świebodzinie ul. Bramkowa 2</t>
  </si>
  <si>
    <t>66-200 Świebodzin tel. 68 457 08 01 moderatorka: Bogusława Hołub e-mail: wypozyczalnia[at]bp.swiebodzin.pl DKK dla dorosłych</t>
  </si>
  <si>
    <t>Szlichtyngowa</t>
  </si>
  <si>
    <t>Biblioteka Publiczna Miasta i Gminy w Szlichtyngowej ul. Głogowska 1 67-407 Szlichtyngowa tel. 65 549 23 70 moderatorka: Stanisława Miedziaszczyk e-mail: biblioteka[at]szlichtyngowa.pl DKK dla dorosłych</t>
  </si>
  <si>
    <t>Trzebiechów</t>
  </si>
  <si>
    <t>Gminna Biblioteka Publiczna w Trzebiechowie ul. Sulechowska 2 66-132 Trzebiechów tel. 68 351 40 12 moderatorka: Jolanta Kaczorowska e-mail: gbptrzebiechow[at]wp.pl DKK dla dzieci</t>
  </si>
  <si>
    <t>Trzebiel</t>
  </si>
  <si>
    <t>Wiechlice</t>
  </si>
  <si>
    <t>Miejska Biblioteka Publiczna w Szprotawie – Filia w Wiechlicach ul. Jesionowa 2a/8, Wiechlice 67-300 Szprotawa tel. 78 21 58 250 moderatorka: Anna Wawrzyniak e-mail: aniawaw123[at]o2.pl DKK dla dzieci</t>
  </si>
  <si>
    <t>Wschowa</t>
  </si>
  <si>
    <t>Biblioteka Publiczna Miasta i Gminy we Wschowie Pl. Farny 3 67-400 Wschowa tel. 65 540 24 51 moderatorki: Kamila Kamińska, Ilona Ratajczak e-mail: bwypwschowa[at]gmail.com, bibliotekawschowa[at]poczta.onet.pl DKK dla dzieci DKK dla dorosłych</t>
  </si>
  <si>
    <t>Wymiarki</t>
  </si>
  <si>
    <t>Gminny Ośrodek Kultury i Biblioteka w Wymiarkach ul. Ks. Witolda 7 68-131 Wymiarki tel. 68 360 41 77 moderatorka: Maria Kraska e-mail: info[at]gokib.pl DKK dla dorosłych</t>
  </si>
  <si>
    <t>Zabór</t>
  </si>
  <si>
    <t>Gminna Biblioteka Publiczna w Zaborze ul. Lipowa 1 66-003 Zabór</t>
  </si>
  <si>
    <t>tel. 68 327 40 81 moderatorka: Kamilla Marchewska e-mail: biblioteka[at]gimnazabor.pl DKK dla dzieci</t>
  </si>
  <si>
    <t>Zawada</t>
  </si>
  <si>
    <t>Biblioteka Publiczna w Zielonej Górze ul. Zawada -Zielonogórska 62 66-001 Zawada tel. 68 321 12 51 moderatorka: Wioletta Przybylska e-mail: biblioteka[at]gminazg.pl DKK dla dzieci</t>
  </si>
  <si>
    <t>WiMBP w Zielonej Górze – Wypożyczalnia Główna al. Wojska Polskiego 9 65-077 Zielona Góra tel. 68 453 26 04 moderatorka: Elżbieta Chanas-Pawlak e-mail: wypozyczalnia[at]wimbp.zgora.pl DKK dla dorosłych</t>
  </si>
  <si>
    <t>WiMBP w Zielonej Górze – Biblioteka Obcojęzyczna al. Wojska Polskiego 9</t>
  </si>
  <si>
    <t>65-077 Zielona Góra tel. 068 453 26 38 moderatorka: Agnieszka Ginko-Humphires e-mail: b.obcojezyczna[at]wimbp.zgora.pl DKK dla dorosłych</t>
  </si>
  <si>
    <t>WiMBP w Zielonej Górze – Filia nr 1 ul. Ptasia 32 65-525 Zielona Góra tel. 68 451 08 91 moderatorka: Elżbieta Hopej e-mail: filia1[at]biblioteka.zgora.pl DKK dla dorosłych</t>
  </si>
  <si>
    <t>WiMBP w Zielonej Górze – Filia nr 2, Biblioteka Słonia Elmera os. Pomorskie 13 65-548 Zielona Góra tel. 68 320 10 11 moderator: Marcin Radwański e-mail: filia2[at]libris.wimbp.zgora.pl DKK dla młodzieży</t>
  </si>
  <si>
    <t>WiMBP w Zielonej Górze – Filia nr 4 ul. Podgórna 45</t>
  </si>
  <si>
    <t>65-213 Zielona Góra tel. 68 45 26 334 moderatorka: Małgorzata Grelak e-mail: filia4[at]biblioteka.zgora.pl DKK dla dorosłych</t>
  </si>
  <si>
    <t>WiMBP w Zielonej Górze – Filia nr 5 ul. II Armii 40</t>
  </si>
  <si>
    <t>65-936 Zielona Góra tel. 68 45 41 060 moderatorka: Katarzyna Połczyńska-Czerniak e-mail: filia5[at]biblioteka.zgora.pl DKK dla dzieci</t>
  </si>
  <si>
    <t>WiMBP w Zielonej Górze – Filia nr 8 ul. Spawaczy 13a 65-119 Zielona Góra tel. 68 45 17 424 moderatorka: Hanna Rzeźnik e-mail: filia8[at]wimbp.zgora.pl DKK dla dzieci</t>
  </si>
  <si>
    <t>WiMBP w Zielonej Górze – Filia nr 9, Biblioteka Bromby i Przyjaciół ul. Podgórna 45 65-213 Zielona Góra tel. 68 45 32 661 moderatorka: Anna Kwapińska e-mail: f9[at]wimbp.zgora.pl DKK dla dzieci</t>
  </si>
  <si>
    <t>WiMBP w Zielonej Górze – Filia nr 11, Biblioteka Piotrusia Pana ul. Ptasia 32 65-525 Zielona Góra tel. 68 45 10 892 moderatorka: Natalia Kononowicz</t>
  </si>
  <si>
    <t>moderatorka: Zofia Tomala e-mail: filia12[at]biblioteka.zgora.pl DKK dla dzieci</t>
  </si>
  <si>
    <t>WiMBP w Zielonej Górze – Mediateka Szklana Pułapka al. Wrocławska 12a 65-427 Zielona Góra tel. 68 47 51 807</t>
  </si>
  <si>
    <t>Złotnik</t>
  </si>
  <si>
    <t>Gminna Biblioteka Publiczna Gminy Żary z/s w Bieniowie – Filia w Złotniku Złotnik 124 68-200 Złotnik tel. 68 374 13 69 moderatorka: Urszula Golec e-mail: zlotnikgbp738[at]gmail.com DKK dla dorosłych</t>
  </si>
  <si>
    <t>Żagań</t>
  </si>
  <si>
    <t>Miejska Biblioteka Publiczna w Żaganiu ul. Szprotawska 4 68-100 Żagań tel. 68 477 64 85 moderatorki: Urszula Sitarz, Elżbieta Buganik, Alicja Ptasińska, Grażyna Lichwiarz</t>
  </si>
  <si>
    <t>e-mail: biblioteka.zagan[at]mbpzagan.pl DKK dla dorosłych DKK dla młodzieży DKK dla dzieci</t>
  </si>
  <si>
    <t>Żary</t>
  </si>
  <si>
    <t>Miejska Biblioteka Publiczna w Żarach ul. Wrocławska 11 68-200 Żary tel. 68 374 37 36 moderatorzy: Krzysztof Cymach, Małgorzata Pawłowska, Edyta Lachowska e-mail: mbpzary[at]wp.pl DKK dla dzieci DKK dla dorosłych</t>
  </si>
  <si>
    <t xml:space="preserve">Biblioteka Publiczna w Sławie – Filia w Krzepielowie Krzepielów 139 67-410 Krzepielów tel. 68 356 61 12 moderatorka: Elżbieta Grzegorczyk e-mail: bibliotekakrzepielow[at]wp.pl DKK dla młodzieży </t>
  </si>
  <si>
    <t>Leszno Górne</t>
  </si>
  <si>
    <t xml:space="preserve">e-mail: filia11[at]biblioteka.zgora.pl DKK dla młodzieży </t>
  </si>
  <si>
    <t>WiMBP w Zielonej Górze – Filia nr 12 ul. Morelowa 34 65-434 Zielona Góra tel. 68 54 38 744</t>
  </si>
  <si>
    <t xml:space="preserve">moderatorki: Martyna Zawieja, Agata Życzkowska e-mail: szklanapulapka[at]biblioteka.zgora.pl DKK dla dorosłych DKK dla dzieci </t>
  </si>
  <si>
    <t>WiMBP w Zielonej Górze – Mediateka Góra Mediów al. Wojska Polskiego 9 65-077 Zielona Góra tel. 068 453 26 15 moderatorki: Anna Celmer, Sandra Stempniewska e-mail: goramediow[at]biblioteka.zgora.pl DKK dla dzieci DKK dla dorosłych</t>
  </si>
  <si>
    <t>Irena Spodzieja, Marta Wieczorek</t>
  </si>
  <si>
    <t>68 351 20 69</t>
  </si>
  <si>
    <t>66-110 Babimost</t>
  </si>
  <si>
    <t>ul. Konstytucji 3 Maja 9</t>
  </si>
  <si>
    <t>Biblioteka Publiczna w Babimoście</t>
  </si>
  <si>
    <t>Katarzyna Cwudzińska</t>
  </si>
  <si>
    <t>68 371 25 64</t>
  </si>
  <si>
    <t>68-343 Brody</t>
  </si>
  <si>
    <t>Biecz 82</t>
  </si>
  <si>
    <t>Gminna Biblioteka Publiczna w Brodach – Filia w Bieczu</t>
  </si>
  <si>
    <t>Aneta Winnicka</t>
  </si>
  <si>
    <t>68 374 16 88</t>
  </si>
  <si>
    <t>68-200 Bieniów</t>
  </si>
  <si>
    <t>ul. Zielonogórska 14</t>
  </si>
  <si>
    <t>Gminna Biblioteka Publiczna Gminy Żary z/s w Bieniowie</t>
  </si>
  <si>
    <t>Katarzyna Tomaszewska</t>
  </si>
  <si>
    <t>68 352 22 68</t>
  </si>
  <si>
    <t>66-130 Bojadła</t>
  </si>
  <si>
    <t>ul. Boczna 1a</t>
  </si>
  <si>
    <t>Gminna Biblioteka Publiczna w Bojadłach</t>
  </si>
  <si>
    <t>Danuta Bielawska</t>
  </si>
  <si>
    <t>68 377 22 14</t>
  </si>
  <si>
    <t>68-100 Żagań</t>
  </si>
  <si>
    <t>Bożnów 56</t>
  </si>
  <si>
    <t>Gminna Biblioteka Publiczna w Dzietrzychowicach – Filia Bożnów</t>
  </si>
  <si>
    <t>Kamila Borzych</t>
  </si>
  <si>
    <t>ul. Kilińskiego 9</t>
  </si>
  <si>
    <t>Gminna Biblioteka Publiczna w Brodach</t>
  </si>
  <si>
    <t>Małgorzata Krumpolc</t>
  </si>
  <si>
    <t>68 377 18 04</t>
  </si>
  <si>
    <t>68-113 Brzeźnica</t>
  </si>
  <si>
    <t>ul. Zielononogórska 24 b</t>
  </si>
  <si>
    <t>Bożena Romańska</t>
  </si>
  <si>
    <t>68 388 49 52</t>
  </si>
  <si>
    <t>67-115 Bytom Odrzański</t>
  </si>
  <si>
    <t>ul. Kożuchowska 15</t>
  </si>
  <si>
    <t>Biblioteka Publiczna w Bytomiu Odrzańskim</t>
  </si>
  <si>
    <t>Elżbieta Skrzyczewska</t>
  </si>
  <si>
    <t>68 360 33 19</t>
  </si>
  <si>
    <t>ul. Kożuchowska 55</t>
  </si>
  <si>
    <t>Gminna Biblioteka Publiczna w Brzeźnicy – Filia w Chotkowie</t>
  </si>
  <si>
    <t>Wojciech Brodziński</t>
  </si>
  <si>
    <t>68 38 32 110</t>
  </si>
  <si>
    <t>66-615 Dąbie</t>
  </si>
  <si>
    <t>Dąbie Gminna Biblioteka w Dąbiu</t>
  </si>
  <si>
    <t>Renata Migas</t>
  </si>
  <si>
    <t>68 376 24 81</t>
  </si>
  <si>
    <t>67-312 Niegosławice</t>
  </si>
  <si>
    <t>Długie 79</t>
  </si>
  <si>
    <t>MBP w Szprotawie – Filia w Długiem</t>
  </si>
  <si>
    <t>Agnieszka Lasoń</t>
  </si>
  <si>
    <t>68 377 24 64</t>
  </si>
  <si>
    <t>68-111 Miodnica</t>
  </si>
  <si>
    <t>Dzietrzychowice 51</t>
  </si>
  <si>
    <t>Gminna Biblioteka Publiczna w Dzietrzychowicach</t>
  </si>
  <si>
    <t>Teresa Kurzepa</t>
  </si>
  <si>
    <t>68 360 10 15</t>
  </si>
  <si>
    <t>68-130 Gozdnica</t>
  </si>
  <si>
    <t>ul. Ceramików 25</t>
  </si>
  <si>
    <t>Anna Kowalczewska</t>
  </si>
  <si>
    <t>68 362 06 84</t>
  </si>
  <si>
    <t>68-200 Żary</t>
  </si>
  <si>
    <t>Grabik 102</t>
  </si>
  <si>
    <t>Ewa Dąbek</t>
  </si>
  <si>
    <t>68 455 81 66</t>
  </si>
  <si>
    <t>66-620 Gubin</t>
  </si>
  <si>
    <t>al. Bohaterów Westerplatte 14</t>
  </si>
  <si>
    <t>Miejska Biblioteka Publiczna w Gubinie</t>
  </si>
  <si>
    <t>Justyna Sierko</t>
  </si>
  <si>
    <t>697 628 726</t>
  </si>
  <si>
    <t>68-320 Guzów</t>
  </si>
  <si>
    <t>Guzów 3</t>
  </si>
  <si>
    <t>Biblioteka Publiczna Miasta i Gminy Jasień – Filia w Guzowie</t>
  </si>
  <si>
    <t>Alicja Moneta</t>
  </si>
  <si>
    <t>68 371 13 90</t>
  </si>
  <si>
    <t>68-120 Iłowa</t>
  </si>
  <si>
    <t>ul. Żagańska 11</t>
  </si>
  <si>
    <t>Iłowa Miejska Biblioteka Publiczna w Iłowej</t>
  </si>
  <si>
    <t>Elżbieta Ferenc</t>
  </si>
  <si>
    <t>606 199 660</t>
  </si>
  <si>
    <t>68-320 Jasień</t>
  </si>
  <si>
    <t>Jabłoniec 73</t>
  </si>
  <si>
    <t>Biblioteka Publiczna Miasta i Gminy Jasień – Filia w Jabłońcu</t>
  </si>
  <si>
    <t>Irena Ludwig, Marzena Rudzińska</t>
  </si>
  <si>
    <t>68 371 04 57</t>
  </si>
  <si>
    <t>ul. Kolejowa 9</t>
  </si>
  <si>
    <t>Biblioteka Publiczna Miasta i Gminy Jasień</t>
  </si>
  <si>
    <t>Małgorzata Kwiecień</t>
  </si>
  <si>
    <t>68 352 63 68</t>
  </si>
  <si>
    <t>66-120 Kargowa</t>
  </si>
  <si>
    <t>ul. Browarna 7</t>
  </si>
  <si>
    <t>Gminna Biblioteka Publiczna w Kargowej</t>
  </si>
  <si>
    <t>Monika Niedbalska</t>
  </si>
  <si>
    <t>68 352 34 43</t>
  </si>
  <si>
    <t>66-133 Klenica</t>
  </si>
  <si>
    <t>ul. Kargowska 7</t>
  </si>
  <si>
    <t>Biblioteka Publiczna w Bojadłach z siedzibą w Klenicy</t>
  </si>
  <si>
    <t>Aleksandra Bujda</t>
  </si>
  <si>
    <t>68 38 34 375</t>
  </si>
  <si>
    <t>66-627 Bobrowice</t>
  </si>
  <si>
    <t>Elżbieta Grzegorczyk</t>
  </si>
  <si>
    <t>68 356 61 12</t>
  </si>
  <si>
    <t>67-410 Krzepielów</t>
  </si>
  <si>
    <t>Krzepielów 139</t>
  </si>
  <si>
    <t>Biblioteka Publiczna w Sławie – Filia w Krzepielowie</t>
  </si>
  <si>
    <t>Andżelika Przysiężna</t>
  </si>
  <si>
    <t>68 376 65 39</t>
  </si>
  <si>
    <t>67-321 Leszno Górne</t>
  </si>
  <si>
    <t>ul. Bolesławiecka 17</t>
  </si>
  <si>
    <t>Miejska Biblioteka Publiczna w Szprotawie – Filia w Lesznie Górnym</t>
  </si>
  <si>
    <t>Lidia Bumbul</t>
  </si>
  <si>
    <t>68 375 20 87</t>
  </si>
  <si>
    <t>68-213 Lipinki Łużyckie</t>
  </si>
  <si>
    <t>ul. Główna 21</t>
  </si>
  <si>
    <t>Gminna Biblioteka Publiczna w Lipinkach Łużyckich</t>
  </si>
  <si>
    <t>Agnieszka Gąsior</t>
  </si>
  <si>
    <t>503 022 077</t>
  </si>
  <si>
    <t>67-100 Lipiny</t>
  </si>
  <si>
    <t>Lipiny 77</t>
  </si>
  <si>
    <t>Gminna Biblioteka Publiczna w Przyborowie – Filia w Lipinach</t>
  </si>
  <si>
    <t>Anna Kuczko</t>
  </si>
  <si>
    <t>68 362 08 54</t>
  </si>
  <si>
    <t>Lubanice 17</t>
  </si>
  <si>
    <t>Gminna Biblioteka Publiczna Gminy Żary z/s w Bieniowie – Filia w Lubanicach</t>
  </si>
  <si>
    <t>Ewa Zawiślak</t>
  </si>
  <si>
    <t>68 341 27 31</t>
  </si>
  <si>
    <t>66-220 Łagów</t>
  </si>
  <si>
    <t>Biblioteka Publiczna w Łagowie</t>
  </si>
  <si>
    <t>Krystyna Bobel</t>
  </si>
  <si>
    <t>68 391 43 58</t>
  </si>
  <si>
    <t>66-614 Maszewo</t>
  </si>
  <si>
    <t>Maszewo 114</t>
  </si>
  <si>
    <t>Gminna Biblioteka Publiczna w Maszewie</t>
  </si>
  <si>
    <t>Wiesława Zegiel</t>
  </si>
  <si>
    <t>68 362 14 42</t>
  </si>
  <si>
    <t>68-205 Mirostowice Dolne</t>
  </si>
  <si>
    <t>ul. Plac Kościelny 19</t>
  </si>
  <si>
    <t>Gminna Biblioteka Publiczna Gminy Żary z/s w Bieniowie – Filia w Mirostowicach Dolnych</t>
  </si>
  <si>
    <t>Agata Wojtkowiak, Krystyna Zakrzewska</t>
  </si>
  <si>
    <t>68 355 34 28</t>
  </si>
  <si>
    <t>67-100 Nowa Sól</t>
  </si>
  <si>
    <t>ul. Bankowa 3</t>
  </si>
  <si>
    <t>Miejska Biblioteka Publiczna w Nowej Soli</t>
  </si>
  <si>
    <t>Daria Linowiecka</t>
  </si>
  <si>
    <t>66-111 Nowe Kramsko</t>
  </si>
  <si>
    <t>ul. Gromadzka 3</t>
  </si>
  <si>
    <t>Biblioteka Publiczna w Babimoście – Filia w Nowym Kramsku</t>
  </si>
  <si>
    <t>Zofia Rogasik</t>
  </si>
  <si>
    <t>68 327 66 65</t>
  </si>
  <si>
    <t>66-010 Nowogród Bobrzański</t>
  </si>
  <si>
    <t>ul. Pocztowa 7</t>
  </si>
  <si>
    <t>Biblioteka Publiczna Miasta i Gminy w Nowogrodzie Bobrzańskim</t>
  </si>
  <si>
    <t>Barbara Szałęga</t>
  </si>
  <si>
    <t>68 362 18 34</t>
  </si>
  <si>
    <t>Olbrachtów 40</t>
  </si>
  <si>
    <t>Gminna Biblioteka Publiczna Gminy Żary z/s w Bieniowie – Filia w Olbrachtowie</t>
  </si>
  <si>
    <t>Barbara Przeździęk</t>
  </si>
  <si>
    <t>68 359 00 25</t>
  </si>
  <si>
    <t>66-600 Krosno Odrzańskie</t>
  </si>
  <si>
    <t>ul. Szkolna 15</t>
  </si>
  <si>
    <t>Osiecznica Biblioteka Publiczna Miasta i Gminy w Krośnie Odrzańskim – Filia w Osiecznicy</t>
  </si>
  <si>
    <t>Maria Zatorska</t>
  </si>
  <si>
    <t>68 355 38 60/61</t>
  </si>
  <si>
    <t>67-106 Otyń</t>
  </si>
  <si>
    <t>ul. Chrobrego 18</t>
  </si>
  <si>
    <t>Gminna Biblioteka Publiczna w Otyniu</t>
  </si>
  <si>
    <t>Joanna Naharnowicz</t>
  </si>
  <si>
    <t>68 38 34 283</t>
  </si>
  <si>
    <t>66-600 Połupin</t>
  </si>
  <si>
    <t>ul. Kolejowa 4/A</t>
  </si>
  <si>
    <t>Połupin Gminna Biblioteka w Dąbiu – Filia w Połupinie</t>
  </si>
  <si>
    <t>Mirosława Marasek</t>
  </si>
  <si>
    <t>781 304 219</t>
  </si>
  <si>
    <t>67-100 Przyborów</t>
  </si>
  <si>
    <t>ul. Szkolna 16</t>
  </si>
  <si>
    <t>Przyborów Gminna Biblioteka w Przyborowie</t>
  </si>
  <si>
    <t>Magdalena Piotrowska</t>
  </si>
  <si>
    <t>68 321 37 44</t>
  </si>
  <si>
    <t>66-015 Zielona Góra</t>
  </si>
  <si>
    <t>Przylep – 8 maja 9</t>
  </si>
  <si>
    <t>Biblioteka Publiczna w Zielonej Górze – Filia w Przylepie</t>
  </si>
  <si>
    <t>Daria Bednarek</t>
  </si>
  <si>
    <t>68 321 42 00</t>
  </si>
  <si>
    <t>65-004 Zielona Góra</t>
  </si>
  <si>
    <t>ul. Racula -Głogowska 64</t>
  </si>
  <si>
    <t>Biblioteka Publiczna w Zielonej Górze – Filia w Raculi</t>
  </si>
  <si>
    <t>Dorota Klimejko</t>
  </si>
  <si>
    <t>68 376 07 40</t>
  </si>
  <si>
    <t>67-320 Małomice</t>
  </si>
  <si>
    <t>Siecieborzyce 49a</t>
  </si>
  <si>
    <t>Miejska Biblioteka Publiczna w Szprotawie – Filia Siecieborzyce</t>
  </si>
  <si>
    <t>Regina Wygiera</t>
  </si>
  <si>
    <t>68 288 3521</t>
  </si>
  <si>
    <t>67-112 Siedlisko</t>
  </si>
  <si>
    <t>ul. Kasztanowa 19</t>
  </si>
  <si>
    <t>Biblioteka Publiczna w Siedlisku</t>
  </si>
  <si>
    <t>Paulina Bartkowiak</t>
  </si>
  <si>
    <t>68 375 97 03</t>
  </si>
  <si>
    <t>68-213 Sieniawa Żarska</t>
  </si>
  <si>
    <t>Ewa Sułek-Mulawa</t>
  </si>
  <si>
    <t>68 327 31 36</t>
  </si>
  <si>
    <t>66-008 Świdnica</t>
  </si>
  <si>
    <t>Gminna Biblioteka Publiczna w Świdnicy – Biblioteka Szkolno-Publiczna w Słonem</t>
  </si>
  <si>
    <t>Natalia Kołtowska</t>
  </si>
  <si>
    <t>68 356 8002</t>
  </si>
  <si>
    <t>67-410 Sława</t>
  </si>
  <si>
    <t>Stare Strącze 191 A</t>
  </si>
  <si>
    <t>Biblioteka Publiczna w Sławie – Filia w Starym Strączu</t>
  </si>
  <si>
    <t>Joanna Adamczewska</t>
  </si>
  <si>
    <t>66-002 Zielona Góra</t>
  </si>
  <si>
    <t>ul. Stary Kisielin-Pionierów Lubuskich 53</t>
  </si>
  <si>
    <t>Stary Kisielin Biblioteka Publiczna w Zielonej Górze – Filia w Starym Kisielinie</t>
  </si>
  <si>
    <t>Renata Mitek, Oliwia Lickindorf</t>
  </si>
  <si>
    <t>68 455 30 40</t>
  </si>
  <si>
    <t>66-100 Sulechów</t>
  </si>
  <si>
    <t>ul. Jan Pawła II 52</t>
  </si>
  <si>
    <t>Biblioteka Publiczna Gminy Sulechów</t>
  </si>
  <si>
    <t>Anna Pelc, Julita Hofman, Dagmara Bronk</t>
  </si>
  <si>
    <t>68 376 26 03</t>
  </si>
  <si>
    <t>67-300 Szprotawa</t>
  </si>
  <si>
    <t>ul. Niepodległości 16</t>
  </si>
  <si>
    <t>Miejska Biblioteka Publiczna w Szprotawie</t>
  </si>
  <si>
    <t>Bożena Trubiłowicz</t>
  </si>
  <si>
    <t>68 327 32 80</t>
  </si>
  <si>
    <t>68-008 Świdnica</t>
  </si>
  <si>
    <t>Gminna Biblioteka Publiczna w Świdnicy</t>
  </si>
  <si>
    <t>Bogusława Hołub</t>
  </si>
  <si>
    <t>68 457 08 01</t>
  </si>
  <si>
    <t>66-200 Świebodzin</t>
  </si>
  <si>
    <t>ul. Bramkowa 2</t>
  </si>
  <si>
    <t>Biblioteka Publiczna w Świebodzinie</t>
  </si>
  <si>
    <t>Stanisława Miedziaszczyk</t>
  </si>
  <si>
    <t>65 549 23 70</t>
  </si>
  <si>
    <t>67-407 Szlichtyngowa</t>
  </si>
  <si>
    <t>ul. Głogowska 1</t>
  </si>
  <si>
    <t>Biblioteka Publiczna Miasta i Gminy w Szlichtyngowej</t>
  </si>
  <si>
    <t>Jolanta Kaczorowska</t>
  </si>
  <si>
    <t>68 351 40 12</t>
  </si>
  <si>
    <t>66-132 Trzebiechów</t>
  </si>
  <si>
    <t>ul. Sulechowska 2</t>
  </si>
  <si>
    <t>Gminna Biblioteka Publiczna w Trzebiechowie</t>
  </si>
  <si>
    <t>Anna Wawrzyniak</t>
  </si>
  <si>
    <t>78 21 58 250</t>
  </si>
  <si>
    <t>ul. Jesionowa 2a/8, Wiechlice</t>
  </si>
  <si>
    <t>Miejska Biblioteka Publiczna w Szprotawie – Filia w Wiechlicach</t>
  </si>
  <si>
    <t>Kamila Kamińska, Ilona Ratajczak</t>
  </si>
  <si>
    <t>65 540 24 51</t>
  </si>
  <si>
    <t>67-400 Wschowa</t>
  </si>
  <si>
    <t>Pl. Farny 3</t>
  </si>
  <si>
    <t>Biblioteka Publiczna Miasta i Gminy we Wschowie</t>
  </si>
  <si>
    <t>68 360 41 77</t>
  </si>
  <si>
    <t>68-131 Wymiarki</t>
  </si>
  <si>
    <t>ul. Ks. Witolda 7</t>
  </si>
  <si>
    <t>Gminny Ośrodek Kultury i Biblioteka w Wymiarkach</t>
  </si>
  <si>
    <t>Kamilla Marchewska</t>
  </si>
  <si>
    <t>68 327 40 81</t>
  </si>
  <si>
    <t>66-003 Zabór</t>
  </si>
  <si>
    <t>Gminna Biblioteka Publiczna w Zaborze</t>
  </si>
  <si>
    <t>Wioletta Przybylska</t>
  </si>
  <si>
    <t>68 321 12 51</t>
  </si>
  <si>
    <t>66-001 Zawada</t>
  </si>
  <si>
    <t>ul. Zawada -Zielonogórska 62</t>
  </si>
  <si>
    <t>Biblioteka Publiczna w Zielonej Górze</t>
  </si>
  <si>
    <t>Agnieszka Ginko-Humphires</t>
  </si>
  <si>
    <t>068 453 26 38</t>
  </si>
  <si>
    <t>65-077 Zielona Góra</t>
  </si>
  <si>
    <t>al. Wojska Polskiego 9</t>
  </si>
  <si>
    <t>WiMBP w Zielonej Górze – Biblioteka Obcojęzyczna</t>
  </si>
  <si>
    <t>Elżbieta Hopej</t>
  </si>
  <si>
    <t>68 451 08 91</t>
  </si>
  <si>
    <t>65-525 Zielona Góra</t>
  </si>
  <si>
    <t>ul. Ptasia 32</t>
  </si>
  <si>
    <t>WiMBP w Zielonej Górze – Filia nr 1</t>
  </si>
  <si>
    <t>Marcin Radwański</t>
  </si>
  <si>
    <t>68 320 10 11</t>
  </si>
  <si>
    <t>65-548 Zielona Góra</t>
  </si>
  <si>
    <t>Małgorzata Grelak</t>
  </si>
  <si>
    <t>68 45 26 334</t>
  </si>
  <si>
    <t>65-213 Zielona Góra</t>
  </si>
  <si>
    <t>ul. Podgórna 45</t>
  </si>
  <si>
    <t>WiMBP w Zielonej Górze – Filia nr 4</t>
  </si>
  <si>
    <t>Katarzyna Połczyńska-Czerniak</t>
  </si>
  <si>
    <t>68 45 41 060</t>
  </si>
  <si>
    <t>65-936 Zielona Góra</t>
  </si>
  <si>
    <t>ul. II Armii 40</t>
  </si>
  <si>
    <t>WiMBP w Zielonej Górze – Filia nr 5</t>
  </si>
  <si>
    <t>Hanna Rzeźnik</t>
  </si>
  <si>
    <t>68 45 17 424</t>
  </si>
  <si>
    <t>65-119 Zielona Góra</t>
  </si>
  <si>
    <t>ul. Spawaczy 13a</t>
  </si>
  <si>
    <t>WiMBP w Zielonej Górze – Filia nr 8</t>
  </si>
  <si>
    <t>Anna Kwapińska</t>
  </si>
  <si>
    <t>68 45 32 661</t>
  </si>
  <si>
    <t>WiMBP w Zielonej Górze – Filia nr 9, Biblioteka Bromby i Przyjaciół</t>
  </si>
  <si>
    <t>Natalia Kononowicz</t>
  </si>
  <si>
    <t>68 45 10 892</t>
  </si>
  <si>
    <t>WiMBP w Zielonej Górze – Filia nr 11, Biblioteka Piotrusia Pana</t>
  </si>
  <si>
    <t>Ośrodek Kultury i Biblioteka w Trzebielu ul. Żarska 52 68-212 Trzebiel tel. 535 439 581 moderatorka: Marta Perska e-mail: biblioteka[at]trzebiel.pl DKK dla dorosłych DKK dla dzieci</t>
  </si>
  <si>
    <t>Marta Perska</t>
  </si>
  <si>
    <t>535 439 581</t>
  </si>
  <si>
    <t>68-212 Trzebiel</t>
  </si>
  <si>
    <t>ul. Żarska 52</t>
  </si>
  <si>
    <t>Ośrodek Kultury i Biblioteka w Trzebielu</t>
  </si>
  <si>
    <t>Elżbieta Chanas-Pawlak</t>
  </si>
  <si>
    <t>68 453 26 04</t>
  </si>
  <si>
    <t>WiMBP w Zielonej Górze – Wypożyczalnia Główna</t>
  </si>
  <si>
    <t>Zofia Tomala</t>
  </si>
  <si>
    <t>68 54 38 744</t>
  </si>
  <si>
    <t>65-434 Zielona Góra</t>
  </si>
  <si>
    <t>ul. Morelowa 34</t>
  </si>
  <si>
    <t>WiMBP w Zielonej Górze – Filia nr 12</t>
  </si>
  <si>
    <t>Martyna Zawieja, Agata Życzkowska</t>
  </si>
  <si>
    <t>68 47 51 807</t>
  </si>
  <si>
    <t>65-427 Zielona Góra</t>
  </si>
  <si>
    <t>al. Wrocławska 12a</t>
  </si>
  <si>
    <t>WiMBP w Zielonej Górze – Mediateka Szklana Pułapka</t>
  </si>
  <si>
    <t>Anna Celmer, Sandra Stempniewska</t>
  </si>
  <si>
    <t>068 453 26 15</t>
  </si>
  <si>
    <t>WiMBP w Zielonej Górze – Mediateka Góra Mediów</t>
  </si>
  <si>
    <t>Urszula Golec</t>
  </si>
  <si>
    <t>68 374 13 69</t>
  </si>
  <si>
    <t>68-200 Złotnik</t>
  </si>
  <si>
    <t>Złotnik 124</t>
  </si>
  <si>
    <t>Gminna Biblioteka Publiczna Gminy Żary z/s w Bieniowie – Filia w Złotniku</t>
  </si>
  <si>
    <t>Urszula Sitarz, Elżbieta Buganik, Alicja Ptasińska, Grażyna Lichwiarz</t>
  </si>
  <si>
    <t>68 477 64 85</t>
  </si>
  <si>
    <t>ul. Szprotawska 4</t>
  </si>
  <si>
    <t>Miejska Biblioteka Publiczna w Żaganiu</t>
  </si>
  <si>
    <t>Krzysztof Cymach, Małgorzata Pawłowska, Edyta Lachowska</t>
  </si>
  <si>
    <t>68 374 37 36</t>
  </si>
  <si>
    <t>ul. Wrocławska 11</t>
  </si>
  <si>
    <t>Miejska Biblioteka Publiczna w Żarach</t>
  </si>
  <si>
    <t>WiMBP w Zielonej Górze, Biblioteka Pana Kleksa – Oddział dla dzieci al. Wojska Polskiego 9 65-077 Zielona Góra tel. 68 453 26 10 moderatorki: Justyna Stachura, Anna Pawelec, Anna Witkowska e-mail: biblioteka.pana.kleksa[at]biblioteka.zgora.pl DKK dla młodzieży DKK dla dzieci</t>
  </si>
  <si>
    <t>Justyna Stachura, Anna Pawelec, Anna Witkowska</t>
  </si>
  <si>
    <t>68 453 26 10</t>
  </si>
  <si>
    <t>WiMBP w Zielonej Górze, Biblioteka Pana Kleksa – Oddział dla dzieci</t>
  </si>
  <si>
    <t>mbp.apk@home.pl</t>
  </si>
  <si>
    <t>zskp@ksiaznicapodlaska.pl</t>
  </si>
  <si>
    <t xml:space="preserve">f2kp@ksiaznicapodlaska.pl </t>
  </si>
  <si>
    <t>f3kp@ksiaznicapodlaska.pl</t>
  </si>
  <si>
    <t xml:space="preserve">f4kp@ksiaznicapodlaska.pl </t>
  </si>
  <si>
    <t>f7kp@ksiaznicapodlaska.pl</t>
  </si>
  <si>
    <t>f8kp@ksiaznicapodlaska.pl</t>
  </si>
  <si>
    <t xml:space="preserve">f9kp@ksiaznicapodlaska.pl </t>
  </si>
  <si>
    <t xml:space="preserve">f12kp@ksiaznicapodlaska.pl </t>
  </si>
  <si>
    <t xml:space="preserve">f13kp@ksiaznicapodlaska.pl </t>
  </si>
  <si>
    <t>f15kp@ksiaznicapodlaska.pl</t>
  </si>
  <si>
    <t xml:space="preserve">f17@ksiaznicapodlaska.pl </t>
  </si>
  <si>
    <t xml:space="preserve">biblioteka@bmbp.pdt.pl </t>
  </si>
  <si>
    <t xml:space="preserve">biblioteka@choroszcz.pl </t>
  </si>
  <si>
    <t xml:space="preserve">gbpczerwone@gminakolno.pl </t>
  </si>
  <si>
    <t xml:space="preserve">bibliotekadabrowa@wp.pl </t>
  </si>
  <si>
    <t>biblioteka@grodek.pl</t>
  </si>
  <si>
    <t xml:space="preserve">mbphajnowka@poczta.onet.pl </t>
  </si>
  <si>
    <t>mbphajnowka@poczta.onet.pl</t>
  </si>
  <si>
    <t xml:space="preserve">mgbp@knyszyn.pl </t>
  </si>
  <si>
    <t xml:space="preserve">mbp@kolno.home.pl </t>
  </si>
  <si>
    <t>biblioteka@bibliotekalapy.pl</t>
  </si>
  <si>
    <t>wypozyczalnia@mbp-lomza.pl</t>
  </si>
  <si>
    <t xml:space="preserve">biblioteka@michalowo.eu </t>
  </si>
  <si>
    <t xml:space="preserve">biblioteka@mielnik.com.pl </t>
  </si>
  <si>
    <t>bpmonki@wp.pl</t>
  </si>
  <si>
    <t xml:space="preserve">gbpn@wp.pl </t>
  </si>
  <si>
    <t xml:space="preserve">biblioteka-nowinka@o2.pl </t>
  </si>
  <si>
    <t>bibliogrod@wp.pl</t>
  </si>
  <si>
    <t xml:space="preserve">bppodgorze@wp.pl </t>
  </si>
  <si>
    <t xml:space="preserve">gbp.poswietne@wp.pl </t>
  </si>
  <si>
    <t>monika.turecka@wp.pl</t>
  </si>
  <si>
    <t xml:space="preserve">biblioteka_ruda@wp.pl </t>
  </si>
  <si>
    <t>fb.ryboły@wp.pl</t>
  </si>
  <si>
    <t xml:space="preserve">biblioteka@sejny.home.pl </t>
  </si>
  <si>
    <t xml:space="preserve">e.smorczewska.mbp@wp.pl </t>
  </si>
  <si>
    <t>bibliosobo@wp.pl</t>
  </si>
  <si>
    <t xml:space="preserve">bibliotsokf1@wp.pl </t>
  </si>
  <si>
    <t>studzianki.fb@gmail.com</t>
  </si>
  <si>
    <t>bibliotekasuraz@wp.pl</t>
  </si>
  <si>
    <t xml:space="preserve">sekretariat@bpsuwalki.pl </t>
  </si>
  <si>
    <t>sekretariat@bpsuwalki.pl</t>
  </si>
  <si>
    <t>bckszczuczyn@wp.pl</t>
  </si>
  <si>
    <t xml:space="preserve">bibliotekaszt@wp.pl </t>
  </si>
  <si>
    <t xml:space="preserve">gbp.turosnkoscielna@wp.pl </t>
  </si>
  <si>
    <t>bibliotekauhowo@wp.pl</t>
  </si>
  <si>
    <t xml:space="preserve">mbpwasilkow@poczta.home </t>
  </si>
  <si>
    <t xml:space="preserve">mbp.zambrow@interia.pl </t>
  </si>
  <si>
    <t>chrostowska.sufa@gmail.com</t>
  </si>
  <si>
    <t xml:space="preserve">gci.zawady@gmail.com </t>
  </si>
  <si>
    <t xml:space="preserve">melonowa@wp.pl </t>
  </si>
  <si>
    <t xml:space="preserve">wyp.bol@bckgw.pl </t>
  </si>
  <si>
    <t>ckb.dyrektor@brusy.pl</t>
  </si>
  <si>
    <t>karolinaz@gokchojnice.pl</t>
  </si>
  <si>
    <t>wypozyczalnia@bibliotekachojnice.pl; regionalny@bibliotekachojnice.pl</t>
  </si>
  <si>
    <t xml:space="preserve">dziecieca@bibliotekachojnice.pl </t>
  </si>
  <si>
    <t xml:space="preserve">bibliotekaczarne@o2.pl </t>
  </si>
  <si>
    <t xml:space="preserve">bibliotekaczersk@o2.pl </t>
  </si>
  <si>
    <t xml:space="preserve">ewa44meger@gmail.com </t>
  </si>
  <si>
    <t xml:space="preserve">bibliotekamanhattan@wbpg.org.pl </t>
  </si>
  <si>
    <t>magda_litwin@wbpg.org.pl</t>
  </si>
  <si>
    <t xml:space="preserve">magdalena_puto@wbpg.org.pl </t>
  </si>
  <si>
    <t>bibliotekapilotow@wbpg.org.pl</t>
  </si>
  <si>
    <t xml:space="preserve">leokadia_panasiuk@wbpg.org.pl </t>
  </si>
  <si>
    <t xml:space="preserve">marcelina_bieszke@wbpg.org.pl </t>
  </si>
  <si>
    <t xml:space="preserve">maria_krajewska@wbpg.org.pl </t>
  </si>
  <si>
    <t xml:space="preserve">martyna_tymrowska@wbpg.org.pl </t>
  </si>
  <si>
    <t>filia_16@wbpg.org.pl</t>
  </si>
  <si>
    <t xml:space="preserve">filia_25@wbpg.org.pl </t>
  </si>
  <si>
    <t xml:space="preserve">lilianna_antonik@wbpg.org.pl </t>
  </si>
  <si>
    <t xml:space="preserve">filia_33@wbpg.org.pl </t>
  </si>
  <si>
    <t xml:space="preserve">zbigniew_walczak@wbpg.org.pl </t>
  </si>
  <si>
    <t>pasja@bibliotekagdynia.pl</t>
  </si>
  <si>
    <t>filianr1@bibliotekagdynia.pl</t>
  </si>
  <si>
    <t>filianr2@bibliotekagdynia.pl</t>
  </si>
  <si>
    <t xml:space="preserve">filianr6@bibliotekagdynia.pl  </t>
  </si>
  <si>
    <t xml:space="preserve">filianr10@bibliotekagdynia.pl </t>
  </si>
  <si>
    <t>filianr12@bibliotekagdynia.pl</t>
  </si>
  <si>
    <t>biblioteka@glowczyce.pl</t>
  </si>
  <si>
    <t xml:space="preserve">czytelniagniew@gmail.com </t>
  </si>
  <si>
    <t xml:space="preserve">v.wisniewska@wp.pl </t>
  </si>
  <si>
    <t>biblioteka@gok.kaliska.pl</t>
  </si>
  <si>
    <t xml:space="preserve">w.dorosli@biblioteka.kartuzy.pl </t>
  </si>
  <si>
    <t>marien.ko@interia.pl</t>
  </si>
  <si>
    <t xml:space="preserve">bibliotekakobylnica@wp.pl </t>
  </si>
  <si>
    <t xml:space="preserve">wypozyczalnia.bm@koscierzyna.gda.pl </t>
  </si>
  <si>
    <t>ilonahagedorn@wp.pl; mbpkm@wp.pl</t>
  </si>
  <si>
    <t xml:space="preserve">bibliotekakwakowo@wp.pl </t>
  </si>
  <si>
    <t xml:space="preserve">bpgk@bibliotekamareza.pl </t>
  </si>
  <si>
    <t xml:space="preserve">sekretariat@bibliotekakwidzyn.pl </t>
  </si>
  <si>
    <t xml:space="preserve">wypozyczalnia@biblioteka.lebork.pl </t>
  </si>
  <si>
    <t xml:space="preserve">dzieciecy@biblioteka.lebork.pl </t>
  </si>
  <si>
    <t xml:space="preserve">biblioteka@luzino.info </t>
  </si>
  <si>
    <t xml:space="preserve">kaga78@wp.pl  </t>
  </si>
  <si>
    <t>biblio.mikolajki@wp.pl</t>
  </si>
  <si>
    <t>gbpobjazda@op.pl</t>
  </si>
  <si>
    <t xml:space="preserve">biblioteka@pelplin.pl </t>
  </si>
  <si>
    <t>gok.glowczyce@gmail.com</t>
  </si>
  <si>
    <t xml:space="preserve">anna.krawycinska@biblioteka-pruszcz.pl </t>
  </si>
  <si>
    <t xml:space="preserve">anita.kotwa-kakol@biblioteka-pruszcz.pl </t>
  </si>
  <si>
    <t>joanna.labasiewicz@biblioteka-pruszcz.pl</t>
  </si>
  <si>
    <t xml:space="preserve">biblioteka@przodkowo.pl </t>
  </si>
  <si>
    <t xml:space="preserve">biblioteka@pszczolki.pl </t>
  </si>
  <si>
    <t>biblioteka@pszczolki.pl</t>
  </si>
  <si>
    <t xml:space="preserve">mbpreda@poczta.onet.pl </t>
  </si>
  <si>
    <t xml:space="preserve">dkkrumia@gmail.com </t>
  </si>
  <si>
    <t xml:space="preserve">kontakt@bibliotekaryjewo.pl </t>
  </si>
  <si>
    <t xml:space="preserve">dyrektor-okrytel@o2.pl </t>
  </si>
  <si>
    <t xml:space="preserve">k.dziwisz@mbp.slupsk.pl </t>
  </si>
  <si>
    <t xml:space="preserve">e.marszalek@mbp.slupsk.pl </t>
  </si>
  <si>
    <t>filia5@mbp.slupsk.pl</t>
  </si>
  <si>
    <t xml:space="preserve">j.stefaniak@mbp.slupsk.pl </t>
  </si>
  <si>
    <t xml:space="preserve">gok@somonino.pl </t>
  </si>
  <si>
    <t xml:space="preserve">skrzypkowska.m@gmail.com </t>
  </si>
  <si>
    <t xml:space="preserve">ewa.lewandowska@mbp.sopot.pl </t>
  </si>
  <si>
    <t xml:space="preserve">dziecieca@mbpstarogard.pl </t>
  </si>
  <si>
    <t>dziecieca@mbpstarogard.pl</t>
  </si>
  <si>
    <t xml:space="preserve">filia2@mbpstarogard.pl </t>
  </si>
  <si>
    <t xml:space="preserve">elzbieta.plotka@op.pl </t>
  </si>
  <si>
    <t xml:space="preserve">gabriela.formela@op.pl </t>
  </si>
  <si>
    <t>mediateka@pruszczgdanski.pl</t>
  </si>
  <si>
    <t>biblioteka.strzebielino@gik-leczyce.pl</t>
  </si>
  <si>
    <t xml:space="preserve">sckdb@o2.pl </t>
  </si>
  <si>
    <t xml:space="preserve">sztutowo@bpsztutowo.pl </t>
  </si>
  <si>
    <t>sztutowo@bpsztutowo.pl</t>
  </si>
  <si>
    <t xml:space="preserve">sonia.formela@onet.pl </t>
  </si>
  <si>
    <t xml:space="preserve">ada02_03@wp.pl </t>
  </si>
  <si>
    <t>filia8@biblioteka.tczew.pl</t>
  </si>
  <si>
    <t xml:space="preserve">katarzyna.madraszewska@gbp-trabkiwielkie.pl </t>
  </si>
  <si>
    <t>anna.chmielewska@gbp-trabkiwielkie.pl</t>
  </si>
  <si>
    <t>gbp@gbp-trabkiwielkie.pl</t>
  </si>
  <si>
    <t>iwonaszczesna@op.pl</t>
  </si>
  <si>
    <t xml:space="preserve">biblioteka.ustka.oprac@wp.pl </t>
  </si>
  <si>
    <t xml:space="preserve">dim@biblioteka.ustka.pl </t>
  </si>
  <si>
    <t xml:space="preserve">an-ina@wp.pl </t>
  </si>
  <si>
    <t xml:space="preserve">celestyna.t@biblioteka.wejherowo.pl </t>
  </si>
  <si>
    <t xml:space="preserve">grazynaszymanska3@wp.pl </t>
  </si>
  <si>
    <t>filiawrzaca@kobylnica.pl</t>
  </si>
  <si>
    <t xml:space="preserve">biblioteka@mgbp.alwernia.pl </t>
  </si>
  <si>
    <t xml:space="preserve">biblioteka@andrychow.eu </t>
  </si>
  <si>
    <t>biblsp3.andrychow@gmail.com</t>
  </si>
  <si>
    <t>Berest@bibliotekakrynica.pl</t>
  </si>
  <si>
    <t xml:space="preserve">kulturoteka.bibice@wp.pl </t>
  </si>
  <si>
    <t xml:space="preserve">audio@biblioteka-bochnia.pl </t>
  </si>
  <si>
    <t xml:space="preserve">filia4@biblioteka-bochnia.pl </t>
  </si>
  <si>
    <t>gbpbolechowice@gmail.com</t>
  </si>
  <si>
    <t>borek.szlachecki@biblioteka-skawina.pl</t>
  </si>
  <si>
    <t>bibliotekabratucice@interia.pl</t>
  </si>
  <si>
    <t xml:space="preserve">karolinasmolen@02.pl </t>
  </si>
  <si>
    <t xml:space="preserve">dorosli@bibliotekabrzesko.pl </t>
  </si>
  <si>
    <t xml:space="preserve">biblioteka.ok@ok.brzeszcze.pl </t>
  </si>
  <si>
    <t xml:space="preserve">bibliotekawbrzeznicy@o2.pl </t>
  </si>
  <si>
    <t>czytelnia@mbpbukowno.pl</t>
  </si>
  <si>
    <t>biblioteka_bystra@wp.pl</t>
  </si>
  <si>
    <t>biblioteka_chelmek@poczta.fm</t>
  </si>
  <si>
    <t xml:space="preserve">promocja@mbp.chrzanow.pl </t>
  </si>
  <si>
    <t xml:space="preserve">walczakbozena10@gmail.com </t>
  </si>
  <si>
    <t xml:space="preserve">mgbpc@poczta.fm </t>
  </si>
  <si>
    <t xml:space="preserve">gbpczernichow@interia.pl, mmdziedzic@gmail.com </t>
  </si>
  <si>
    <t xml:space="preserve">mbp10@wp.pl </t>
  </si>
  <si>
    <t>mbp10@wp.pl</t>
  </si>
  <si>
    <t>bioak@op.pl</t>
  </si>
  <si>
    <t>oddzialdladzieci@mbpgorlice.info</t>
  </si>
  <si>
    <t xml:space="preserve">oddzialdladzieci@mbpgorlice.info </t>
  </si>
  <si>
    <t xml:space="preserve">gbpgrojec@wp.pl </t>
  </si>
  <si>
    <t>gbp_grodek@onet.eu</t>
  </si>
  <si>
    <t xml:space="preserve">fbpj@poczta.fm </t>
  </si>
  <si>
    <t xml:space="preserve">pigbpjerzmanowice@interia.pl </t>
  </si>
  <si>
    <t>j.pepek@biblioteka.kalwaria.pl</t>
  </si>
  <si>
    <t xml:space="preserve">j.pepek@biblioteka.kalwaria.pl </t>
  </si>
  <si>
    <t xml:space="preserve">dzialdoroslych@biblioteka.kety.pl </t>
  </si>
  <si>
    <t xml:space="preserve">biblioteka@gmina-klucze.pl </t>
  </si>
  <si>
    <t>elzbieta.skrzydlewska@rajska.info</t>
  </si>
  <si>
    <t xml:space="preserve">biblioteka@okn.edu.pl </t>
  </si>
  <si>
    <t>biblioteka@okn.edu.pl</t>
  </si>
  <si>
    <t xml:space="preserve">biblioteka@kuznia.edu.pl </t>
  </si>
  <si>
    <t xml:space="preserve">filia_2@biblioteka.krakow.pl </t>
  </si>
  <si>
    <t xml:space="preserve">filia_15@biblioteka.krakow.pl </t>
  </si>
  <si>
    <t xml:space="preserve">filia_48@biblioteka.krakow.pl </t>
  </si>
  <si>
    <t>filia_49@biblioteka.krakow.pl</t>
  </si>
  <si>
    <t xml:space="preserve">ksek@poczta.fm </t>
  </si>
  <si>
    <t xml:space="preserve">kozlowska.aga01@gmail.com </t>
  </si>
  <si>
    <t xml:space="preserve">Joanna107b@gmail.com </t>
  </si>
  <si>
    <t>filia3@bibliotekakrynica.pl</t>
  </si>
  <si>
    <t xml:space="preserve">bibliotekarka.basia@gmail.com </t>
  </si>
  <si>
    <t xml:space="preserve">krzecin@biblioteka-skawina.pl </t>
  </si>
  <si>
    <t>biblioteka@mbp.libiaz.pl</t>
  </si>
  <si>
    <t>biblioteka.libusza@biecz.pl</t>
  </si>
  <si>
    <t xml:space="preserve">wypozyczalnia@mbp.limanowa.pl </t>
  </si>
  <si>
    <t>bibliotekalipnica@wp.pl</t>
  </si>
  <si>
    <t xml:space="preserve">bwbiblioteka@interia.pl </t>
  </si>
  <si>
    <t>gbpmedrzechow@op.pl</t>
  </si>
  <si>
    <t>Janeczek.biblioteka@gmail.com</t>
  </si>
  <si>
    <t xml:space="preserve">kontakt@biblioteka.miechow.pl </t>
  </si>
  <si>
    <t>biblioteka.dzieci@myslenice.pl</t>
  </si>
  <si>
    <t>bibliotekanieciecza@poczta.fm</t>
  </si>
  <si>
    <t xml:space="preserve">bibliotekaniedomice@op.pl </t>
  </si>
  <si>
    <t xml:space="preserve">bpniedzwiedz@poczta.fm </t>
  </si>
  <si>
    <t xml:space="preserve">promocja@sbp.nowysacz.pl </t>
  </si>
  <si>
    <t xml:space="preserve">lmc@poczta.onet.pl </t>
  </si>
  <si>
    <t>jagoda.zaucha@mbp.nowytarg.pl</t>
  </si>
  <si>
    <t xml:space="preserve">filia1@mbp.nowytarg.pl </t>
  </si>
  <si>
    <t>nowawies@biblioteka.kety.pl</t>
  </si>
  <si>
    <t xml:space="preserve">barbarus114@interia.pl </t>
  </si>
  <si>
    <t xml:space="preserve">biblioteka@gbpolesno.pl </t>
  </si>
  <si>
    <t xml:space="preserve">dariamodras@gmail.com </t>
  </si>
  <si>
    <t xml:space="preserve">beatad@biblioteka.olkusz.pl </t>
  </si>
  <si>
    <t xml:space="preserve">bpostrow@o2.pl </t>
  </si>
  <si>
    <t>koziel@poczta.onet.pl</t>
  </si>
  <si>
    <t>biblioteka.otfinow@op.pl</t>
  </si>
  <si>
    <t>bpmig.piwniczna@onet.pl</t>
  </si>
  <si>
    <t>biblioteka240@op.pl</t>
  </si>
  <si>
    <t xml:space="preserve">andrzejcala1@gmail.com </t>
  </si>
  <si>
    <t>biblioteka.gck@interia.pl</t>
  </si>
  <si>
    <t xml:space="preserve">bibliotekaspytkowska@interia.pl </t>
  </si>
  <si>
    <t xml:space="preserve">porebazegoty@mgbp.alwernia.pl </t>
  </si>
  <si>
    <t>mbpproszowice@o2.pl</t>
  </si>
  <si>
    <t>bpprzeginia@interia.pl</t>
  </si>
  <si>
    <t xml:space="preserve">biblprzybyslawice@poczta.onet.pl </t>
  </si>
  <si>
    <t>bp.raclawice@interia.pl</t>
  </si>
  <si>
    <t xml:space="preserve">bibliotekarajbrot@wp.pl </t>
  </si>
  <si>
    <t>szkolna.biblioteka.rad@op.pl</t>
  </si>
  <si>
    <t>bibliotekaradziemice@wp.pl</t>
  </si>
  <si>
    <t xml:space="preserve">apoliczek@op.pl </t>
  </si>
  <si>
    <t xml:space="preserve">bozena.gomulka@gckrzepiennik.pl </t>
  </si>
  <si>
    <t>jadwiga.brzozowska@gckrzepiennik.pl</t>
  </si>
  <si>
    <t xml:space="preserve">grazyna_kurowska@interia.pl </t>
  </si>
  <si>
    <t xml:space="preserve">bibliotekarzezawa@rzezawa.pl </t>
  </si>
  <si>
    <t xml:space="preserve">bp.siedliska@onet.pl </t>
  </si>
  <si>
    <t>bp.siedliska@onet.pl</t>
  </si>
  <si>
    <t xml:space="preserve">biuro@biblioteka-skawina.pl </t>
  </si>
  <si>
    <t>promocja.czytelnictwa@biblioteka-skawina.pl</t>
  </si>
  <si>
    <t xml:space="preserve">mbp.slomniki@poczta.fm </t>
  </si>
  <si>
    <t>mbp.slomniki@poczta.fm</t>
  </si>
  <si>
    <t>bib_dzieci@interia.pl</t>
  </si>
  <si>
    <t>KiniaSyslo@interia.pl</t>
  </si>
  <si>
    <t xml:space="preserve">ck.suloszowa@op.pl </t>
  </si>
  <si>
    <t xml:space="preserve">bpszczepanowice@poczta.onet.pl </t>
  </si>
  <si>
    <t>sckib@interia.pl</t>
  </si>
  <si>
    <t>j.patej@wielka-wies.pl</t>
  </si>
  <si>
    <t>biblioteka@wielka-wies.pl</t>
  </si>
  <si>
    <t>dorotamar0@op.pl</t>
  </si>
  <si>
    <t>goram@biblioteka.tarnow.pl, Tadek@biblioteka.tarnow.pl DKK dla dorosłych</t>
  </si>
  <si>
    <t>egiza@biblioteka.tarnow.pl</t>
  </si>
  <si>
    <t xml:space="preserve">wronab4@gmail.com </t>
  </si>
  <si>
    <t>tylicz@bibliotekakrynica.pl</t>
  </si>
  <si>
    <t>wadowickabp@op.pl</t>
  </si>
  <si>
    <t xml:space="preserve">bibliotekawegrzce@gmail.com </t>
  </si>
  <si>
    <t>dzialregionalny@biblioteka.wieliczka.eu</t>
  </si>
  <si>
    <t>dzialdzieciecy@biblioteka.wieliczka.eu</t>
  </si>
  <si>
    <t>wdrogi@biblioteka-skawina.pl</t>
  </si>
  <si>
    <t xml:space="preserve">igleisner@interia.pl </t>
  </si>
  <si>
    <t xml:space="preserve">gbpwisniowa@wp.pl </t>
  </si>
  <si>
    <t xml:space="preserve">wola@biblioteka-skawina.pl </t>
  </si>
  <si>
    <t xml:space="preserve">bp.zalasowa@op.pl </t>
  </si>
  <si>
    <t>gbpzawoja@gmail.com</t>
  </si>
  <si>
    <t xml:space="preserve">bp.zielonki@interia.pl </t>
  </si>
  <si>
    <t xml:space="preserve">mgbpzabno@wp.pl </t>
  </si>
  <si>
    <t>mgbpzabno@wp.pl</t>
  </si>
  <si>
    <t xml:space="preserve">marcela.rebilas@interia.pl </t>
  </si>
  <si>
    <t>czytdor@biblioteka-chodziez.pl</t>
  </si>
  <si>
    <t>sykstus20@wp.pl</t>
  </si>
  <si>
    <t>dorosli@biblioteka.czempin.pl</t>
  </si>
  <si>
    <t>bpgolina@wp.pl</t>
  </si>
  <si>
    <t>hanhil@wp.pl</t>
  </si>
  <si>
    <t>misiakbiblioteka@gmail.com</t>
  </si>
  <si>
    <t>filianr2@bibliotekajarocin.pl</t>
  </si>
  <si>
    <t>cychnerska@interia.pl</t>
  </si>
  <si>
    <t>zlotos@wp.eu</t>
  </si>
  <si>
    <t>filia4@mbp.kalisz.pl</t>
  </si>
  <si>
    <t>pbp_natalia@o2.pl</t>
  </si>
  <si>
    <t>a.pietruszka@biblioteka-kolo.pl</t>
  </si>
  <si>
    <t>dorosli@biblioteka.koscian.pl</t>
  </si>
  <si>
    <t>kozie@biblioteka.czerwonak.pl</t>
  </si>
  <si>
    <t>odladzieci@biblioteka.krotoszyn.pl</t>
  </si>
  <si>
    <t>metodycy@mbpleszno.pl</t>
  </si>
  <si>
    <t>wypozyczalnia@mbpleszno.pl</t>
  </si>
  <si>
    <t>lisiecwielkibib@gmail.com</t>
  </si>
  <si>
    <t>info@biblioteka-miedzichowo.pl</t>
  </si>
  <si>
    <t>bibliotekamiloslaw@onet.pl</t>
  </si>
  <si>
    <t>biblioteka@gmina-nowe-miasto.pl</t>
  </si>
  <si>
    <t>a.suwiczak@bibliotekant.pl, a.weyssenhoff@bibliotekant.pl</t>
  </si>
  <si>
    <t>polalola62@o2.pl</t>
  </si>
  <si>
    <t>bibliotekapubliczna@oborniki.pl</t>
  </si>
  <si>
    <t>filia2@biblioteka-ostrow.pl</t>
  </si>
  <si>
    <t>wypozyczalnia@biblioteka.pila.pl</t>
  </si>
  <si>
    <t>biblioteka.plewiska@gmail.com</t>
  </si>
  <si>
    <t>bibliotekapowidz@interia.pl</t>
  </si>
  <si>
    <t>jill.mol@wp.pl</t>
  </si>
  <si>
    <t>agnryb@amu.edu.pl</t>
  </si>
  <si>
    <t>bibliotekarakoniewice@vp.pl</t>
  </si>
  <si>
    <t>dyrektor@rbp.rawicz.eu</t>
  </si>
  <si>
    <t>wypozyczalniagbp@rozdrazew.pl</t>
  </si>
  <si>
    <t>biblioteka@stare-miasto.pl</t>
  </si>
  <si>
    <t>biblioteka@steszew.pl</t>
  </si>
  <si>
    <t>czytelnia@biblioteka-szamotuly.pl</t>
  </si>
  <si>
    <t>info@biblioteka.srem.pl</t>
  </si>
  <si>
    <t>biblioteka@trzcianka.com.pl</t>
  </si>
  <si>
    <t>czytelnia@biblioteka.turek.pl</t>
  </si>
  <si>
    <t>biblioteka@pbp.wagrowiec.pl</t>
  </si>
  <si>
    <t>czytelniawolsztyn@poczta.onet.pl</t>
  </si>
  <si>
    <t>biblioteka@zaniemysl.pl, biblioteka.zaniemysl@gmail.com</t>
  </si>
  <si>
    <t>joanna.krupinska@biblioteka.zduny.pl</t>
  </si>
  <si>
    <t>opracowania@biblioteka-zlotow.pl</t>
  </si>
  <si>
    <t>dorcia.adas@wp.pl</t>
  </si>
  <si>
    <t>bibliotekabledzew@o2.pl</t>
  </si>
  <si>
    <t>biblioteka@bogdaniec.pl</t>
  </si>
  <si>
    <t>bibliotekacybinka@gmail.com</t>
  </si>
  <si>
    <t>dabroszynbiblioteka@gmail.com</t>
  </si>
  <si>
    <t>biblioteka@deszczno.pl</t>
  </si>
  <si>
    <t>biblioteka@drezdenko.pl</t>
  </si>
  <si>
    <t>wg@wimbp.gorzow.pl</t>
  </si>
  <si>
    <t>oddzial.dzieciecy@wimbp.gorzow.pl</t>
  </si>
  <si>
    <t>filia1@wimbp.gorzow.pl</t>
  </si>
  <si>
    <t>filia2@wimbp.gorzow.pl</t>
  </si>
  <si>
    <t>filia3@wimbp.gorzow.pl</t>
  </si>
  <si>
    <t>filia4@wimbp.gorzow.pl</t>
  </si>
  <si>
    <t>filia6@wimbp.gorzow.pl</t>
  </si>
  <si>
    <t>filia8@wimbp.gorzow.pl</t>
  </si>
  <si>
    <t>filia10@wimbp.gorzow.pl</t>
  </si>
  <si>
    <t>filia11@wimbp.gorzow.pl</t>
  </si>
  <si>
    <t>filia14@wimbp.gorzow.pl</t>
  </si>
  <si>
    <t>beata.torunska@wimbp.gorzow.pl</t>
  </si>
  <si>
    <t>informatorium@wimbp.gorzow.pl</t>
  </si>
  <si>
    <t>piotr.melinis@sw.gov.pl</t>
  </si>
  <si>
    <t>filia.gorki@gbp.zwierzyn.pl</t>
  </si>
  <si>
    <t>mkowalewska54@wp.pl</t>
  </si>
  <si>
    <t>biblioteka@klodawa.pl</t>
  </si>
  <si>
    <t>bibliotekakolczyn@wp.pl</t>
  </si>
  <si>
    <t>promocja.czytelnictwa@biblioteka.kostrzyn.pl</t>
  </si>
  <si>
    <t>gbpkrzeszyce@vp.pl</t>
  </si>
  <si>
    <t>bibliotekasl@slonsk.pl</t>
  </si>
  <si>
    <t>bibliotekalubniewice@gmail.com</t>
  </si>
  <si>
    <t>biblioteka@mokmiedzyrzecz.pl</t>
  </si>
  <si>
    <t>bibliotekamuszkowo@o2.pl</t>
  </si>
  <si>
    <t>biblioteka_osno@osno.pl</t>
  </si>
  <si>
    <t>bibliotekaprzytoczna@wp.pl</t>
  </si>
  <si>
    <t>biblioteka@slubice.pl</t>
  </si>
  <si>
    <t>alicjakonkowska@o2.pl</t>
  </si>
  <si>
    <t>biblioteka@strzelce.pl</t>
  </si>
  <si>
    <t>bibliotekasoksulecin@gmail.com</t>
  </si>
  <si>
    <t>torzymbp@wp.pl</t>
  </si>
  <si>
    <t>bptrzciel@poczta.internetdsl.pl</t>
  </si>
  <si>
    <t>biblioteka.tuczno@strzelce.pl</t>
  </si>
  <si>
    <t>mbpwitnica@op.pl</t>
  </si>
  <si>
    <t>biblioteka@gbp.zwierzyn.pl</t>
  </si>
  <si>
    <t>dyrekcja@gbpbestwina.eu</t>
  </si>
  <si>
    <t>bestwinka@gbpbestwina.eu</t>
  </si>
  <si>
    <t>dziecieca@biblioteka.bedzin.pl</t>
  </si>
  <si>
    <t>filia3@biblioteka.bedzin.pl</t>
  </si>
  <si>
    <t>lorek.agnieszkaa@gmail.com</t>
  </si>
  <si>
    <t>k_czernek@poczta.fm</t>
  </si>
  <si>
    <t>m.kardynal@gmail.com, zlotelany@ksiaznica.bielsko.pl</t>
  </si>
  <si>
    <t>aglinkowska@poczta.onet.pl, integracyjna@ksiaznica-beskidzka.finn.pl</t>
  </si>
  <si>
    <t>iluvatarek@op.pl, sloneczne@ksiaznica.bielsko.pl</t>
  </si>
  <si>
    <t>starebielsko@ksiaznica.bielsko.pl</t>
  </si>
  <si>
    <t>a_szante@o2.pl, dzielnicowa@ksiaznica-beskidzka.finn.pl</t>
  </si>
  <si>
    <t>kopernika@ksiaznica.bielsko.pl</t>
  </si>
  <si>
    <t>b.wrobel@biblioteka.bojszowy.pl, kontakt@biblioteka.bojszowy.pl</t>
  </si>
  <si>
    <t>jakubiec.bozena@wp.pl, biblioteka-buczkowice@wp.pl</t>
  </si>
  <si>
    <t>artami@o2.pl, dld@biblioteka.bytom.pl</t>
  </si>
  <si>
    <t>karolina.sosnowska88@gmail.com</t>
  </si>
  <si>
    <t>pf23@biblioteka.bytom.pl, karinamac@onet.eu</t>
  </si>
  <si>
    <t>f18@biblioteka.chorzow.pl, justynawyrwich@interia.pl</t>
  </si>
  <si>
    <t>biblioteka@um.cieszyn.pl, morenn@poczta.fm</t>
  </si>
  <si>
    <t>dziecieca@mbp.czeladz.pl</t>
  </si>
  <si>
    <t>aleziejowi@o2.pl</t>
  </si>
  <si>
    <t>d.biblioteka@czerwionka-leszczyny.com.pl</t>
  </si>
  <si>
    <t>a.batorek@interia.pl, sekretariat@biblioteka.czest.pl</t>
  </si>
  <si>
    <t>elizabethkulik@wp.pl, sekretariat@biblioteka.czest.pl</t>
  </si>
  <si>
    <t>promocja@biblioteka.czest.pl</t>
  </si>
  <si>
    <t>dyrektor@biblioteka.czest.pl</t>
  </si>
  <si>
    <t>ksiazkopolis.dkk@gmail.com, sekretariat@biblioteka.czest.pl</t>
  </si>
  <si>
    <t>andrzej.wilanowski@biblioteka-dg.pl</t>
  </si>
  <si>
    <t>dorena_wad@wp.pl, filia20@biblioteka-dg.pl</t>
  </si>
  <si>
    <t>filia8@biblioteka-dg.pl</t>
  </si>
  <si>
    <t>filia21@biblioteka.gliwice.pl</t>
  </si>
  <si>
    <t>dworzanska@poczta.fm, filia16@biblioteka.gliwice.pl</t>
  </si>
  <si>
    <t>heksa_ap@o2.pl, o-32@biblioteka.gliwice.pl</t>
  </si>
  <si>
    <t>ela_polok@wp.pl, biblioteka.istebna@gmail.com</t>
  </si>
  <si>
    <t>alicja-englert@o2.pl, bpjanowice@op.pl</t>
  </si>
  <si>
    <t>biblioteka@gbpjasienica.pl</t>
  </si>
  <si>
    <t>agnieszkawitczak@onet.eu</t>
  </si>
  <si>
    <t>filiajeziorki@biblioteka.jaw.pl</t>
  </si>
  <si>
    <t>kaniow@gbpbestwina.eu</t>
  </si>
  <si>
    <t>biblioterateupyczny@bs.katowice.pl, dagmara.balycz@bs.katowice.pl</t>
  </si>
  <si>
    <t>biblioterateupyczny@bs.katowice.pl</t>
  </si>
  <si>
    <t>filia3@mbp.katowice.pl</t>
  </si>
  <si>
    <t>basia184@onet.eu, filia5ml@mbp.katowice.pl</t>
  </si>
  <si>
    <t>filia7@mbp.katowice.pl</t>
  </si>
  <si>
    <t>barbarak2@interia.pl, filia12@mbp.katowice.pl</t>
  </si>
  <si>
    <t>filia14@mbp.katowice.pl, sprytka@interia.pl</t>
  </si>
  <si>
    <t>detawol@wp.pl, filia16@mbp.katowice.pl</t>
  </si>
  <si>
    <t>filia22@mbp.katowice.pl</t>
  </si>
  <si>
    <t>filia25@mbp.katowice.pl</t>
  </si>
  <si>
    <t>filia30@mbp.katowice.pl</t>
  </si>
  <si>
    <t>filia36@mbp.katowice.pl</t>
  </si>
  <si>
    <t>biblioteka.klobuck@interia.pl, smzwypych@interia.pl</t>
  </si>
  <si>
    <t>kasia33156@wp.pl, bblioteka.knurow@op.pl</t>
  </si>
  <si>
    <t>kepka_gbp@wp.pl</t>
  </si>
  <si>
    <t>gbpkrzepice@poczta.onet.pl</t>
  </si>
  <si>
    <t>poczta@czytajwkuzni.pl</t>
  </si>
  <si>
    <t>sylwiapietyra@wp.pl, bibliotekalipowa@bibliotekalipowa.pl</t>
  </si>
  <si>
    <t>biblioteka@lazy.pl</t>
  </si>
  <si>
    <t>gbp@mierzecice.pl, donia84@tlen.pl</t>
  </si>
  <si>
    <t>camelusia@poczta.onet.pl, mbpmyslowicefilia11@vp.pl</t>
  </si>
  <si>
    <t>ligiawnuk22@gmail.com, biblioteka_myszkow@o2.pl</t>
  </si>
  <si>
    <t>biblioteka@ogrodzieniec.pl</t>
  </si>
  <si>
    <t>gbp@pietrowicewielkie.pl, irenabiauska@gmail.com</t>
  </si>
  <si>
    <t>biblioteka@mbpporeba.pl, bmachura@mbpporeba.pl</t>
  </si>
  <si>
    <t>imorcinek@biblioteka-pszczyna.pl</t>
  </si>
  <si>
    <t>bib-przystajn@o2.pl</t>
  </si>
  <si>
    <t>grazynarys@o2.pl, biblioteka@pyskowice.pl</t>
  </si>
  <si>
    <t>d.karpinska@biblrac.com.pl, biblrac@poczta.onet.pl</t>
  </si>
  <si>
    <t>biblrac@poczta.onet.pl, t.kornak@biblrac.pl</t>
  </si>
  <si>
    <t>danutadafne@interia.pl</t>
  </si>
  <si>
    <t>gpolnik@biblioteka.rybnik.pl, sekretariat@biblioteka.rybnik.pl</t>
  </si>
  <si>
    <t>hania.koper@wp.pl</t>
  </si>
  <si>
    <t>mbp@mbp.siemianowice.pl, pskorek@poczta.onet.pl</t>
  </si>
  <si>
    <t>filia10@mbpsiemianowice.pl</t>
  </si>
  <si>
    <t>marzenawendt@poczta.onet.pl</t>
  </si>
  <si>
    <t>jglan@wp.pl, promocja@mbp.slawkow.pl</t>
  </si>
  <si>
    <t>beata.szymczak@biblioteka.sosnowiec.pl</t>
  </si>
  <si>
    <t>beata.szymczak@biblioteka.sosnowiec.pl, f8@biblioteka.sosnowiec.pl</t>
  </si>
  <si>
    <t>f7@biblioteka.sosnowiec.pl</t>
  </si>
  <si>
    <t>anna_adamus_29@o2.pl, biblioteka_szczekociny@op.pl</t>
  </si>
  <si>
    <t>kontakt@bibliotekaswierklaniec.pl</t>
  </si>
  <si>
    <t>wypozyczalnia@biblioteka.tgory.pl</t>
  </si>
  <si>
    <t>oddzialdladzieci@mbp.tychy.pl</t>
  </si>
  <si>
    <t>czytelnia@mbp.tychy.pl</t>
  </si>
  <si>
    <t>filia3@mbp.tychy.pl</t>
  </si>
  <si>
    <t>aleczynska@gmail.com, biblioteka@ustron.pl</t>
  </si>
  <si>
    <t>lis.magda7@tlen.pl, biblioteka_pilica@poczta.onet.pl</t>
  </si>
  <si>
    <t>beata@biblioteka-wilkowice.pl, gbp@biblioteka-wilkowice.pl</t>
  </si>
  <si>
    <t>agatat71@gmail.com, info@biblioteka.wodzislaw-slaski.pl</t>
  </si>
  <si>
    <t>grazyna.swiderek@biblioteka.zabrze.pl, sekretariat@biblioteka.zabrze.pl</t>
  </si>
  <si>
    <t>agnieszka.szelag@biblioteka.zabrze.pl</t>
  </si>
  <si>
    <t>im@bibliotekazawiercie.pl</t>
  </si>
  <si>
    <t>olalato81@o2.pl, biblioteka.zarkiletnisko@interia.pl</t>
  </si>
  <si>
    <t>edu@mbpzory.pl</t>
  </si>
  <si>
    <t>filia5@mbpzory.pl</t>
  </si>
  <si>
    <t>karczm@gmail.com</t>
  </si>
  <si>
    <t>mgbpbodzentyn@o2.pl</t>
  </si>
  <si>
    <t>bibbukowa@wp.pl</t>
  </si>
  <si>
    <t>czytelnia@biblioteka.busko.pl</t>
  </si>
  <si>
    <t>dkk.jedrzejow@wp.pl</t>
  </si>
  <si>
    <t>gbp.czarnocin@interia.pl</t>
  </si>
  <si>
    <t>alczyk6@poczta.onet.pl</t>
  </si>
  <si>
    <t>zj.krupa@interia.pl</t>
  </si>
  <si>
    <t>gliniany@biblioteka.ozarow.pl</t>
  </si>
  <si>
    <t>halina.bialy37@wp.pl</t>
  </si>
  <si>
    <t>biblioteka@imielno.pl</t>
  </si>
  <si>
    <t>jakubowice@biblioteka.ozarow.pl</t>
  </si>
  <si>
    <t>mgbpjow@wp.pl</t>
  </si>
  <si>
    <t>biblkw.wypozyczalnia@gmail.com</t>
  </si>
  <si>
    <t>magdalena.mi@op.pl</t>
  </si>
  <si>
    <t>anna.godowska@wbp.kielce.pl</t>
  </si>
  <si>
    <t>goffi28@wp.pl</t>
  </si>
  <si>
    <t>filia1@mbp.kielce.pl</t>
  </si>
  <si>
    <t>filia4@mbp.kielce.pl</t>
  </si>
  <si>
    <t>filia8@mbp.kielce.pl</t>
  </si>
  <si>
    <t>filia9@mbp.kielce.pl</t>
  </si>
  <si>
    <t>biuro@jankarski.org.pl</t>
  </si>
  <si>
    <t>sp8kielce@tlen.pl</t>
  </si>
  <si>
    <t>bibliotekakije@wp.pl</t>
  </si>
  <si>
    <t>gbp.klimontow@interia.pl</t>
  </si>
  <si>
    <t>ewa.adwent@wp.pl</t>
  </si>
  <si>
    <t>wypozyczalnia@biblioteka.konskie.pl</t>
  </si>
  <si>
    <t>dorotamachnik184@gmail.com</t>
  </si>
  <si>
    <t>biblioteka@krasocin.com.pl</t>
  </si>
  <si>
    <t>mgbpkunow@poczta.onet.pl</t>
  </si>
  <si>
    <t>agieron1@gmail.com</t>
  </si>
  <si>
    <t>lasocin@biblioteka.ozarow.pl</t>
  </si>
  <si>
    <t>biblioteka.laczna@wp.pl</t>
  </si>
  <si>
    <t>gbp.obrazow@interia.pl</t>
  </si>
  <si>
    <t>bibliotekaoleszno@wp.pl</t>
  </si>
  <si>
    <t>biblioteka@opatowiec.pl</t>
  </si>
  <si>
    <t>bpzmigrod@poczta.onet.pl</t>
  </si>
  <si>
    <t>biblosiek@interia.pl, kasiak1984@op.pl</t>
  </si>
  <si>
    <t>filia1@biblioteka.ostrowiec.pl</t>
  </si>
  <si>
    <t>poczta@biblioteka.ozarow.pl</t>
  </si>
  <si>
    <t>gbp@onet.eu</t>
  </si>
  <si>
    <t>teresasobczak@interia.pl</t>
  </si>
  <si>
    <t>szaniecki@op.pl</t>
  </si>
  <si>
    <t>gbp.radoszyce@gmail.com</t>
  </si>
  <si>
    <t>filia@mgbp.polaniec.pl</t>
  </si>
  <si>
    <t>gbp.samborzec@poczta.onet.eu</t>
  </si>
  <si>
    <t>annakapciak@gbp-samsonow.pl, stellaslefarska@gbp-samsonow.pl</t>
  </si>
  <si>
    <t>annakapciak@gbp-samsonow.pl</t>
  </si>
  <si>
    <t>gocha25@poczta.onet.pl</t>
  </si>
  <si>
    <t>gbp.secemin@poczta.onet.pl</t>
  </si>
  <si>
    <t>bpsedziszow@o2.pl</t>
  </si>
  <si>
    <t>bibliotekaskal@o2.pl</t>
  </si>
  <si>
    <t>bibliotekaskokosc@gmail.com</t>
  </si>
  <si>
    <t>pimbp@biblioteka24.eu</t>
  </si>
  <si>
    <t>jolsop@wp.pl</t>
  </si>
  <si>
    <t>magda-mroczek@o2.pl</t>
  </si>
  <si>
    <t>aldona-b-j@tlen.pl</t>
  </si>
  <si>
    <t>kontakt@biblioteka-staszow.pl</t>
  </si>
  <si>
    <t>biblioteka.staporkow@op.pl</t>
  </si>
  <si>
    <t>bpsuchedniow3@op.pl</t>
  </si>
  <si>
    <t>gbpszumsko@interia.pl</t>
  </si>
  <si>
    <t>biblioteka_wachock@o2.pl</t>
  </si>
  <si>
    <t>wiazownica@biblioteka-staszow.pl</t>
  </si>
  <si>
    <t>biblioteka.wloszczowa@gmail.com</t>
  </si>
  <si>
    <t>gbp.wodzislaw@ugwodzislaw.pl</t>
  </si>
  <si>
    <t>annaskalka@gbp-samsonow.pl</t>
  </si>
  <si>
    <t>anka.Z21@wp.pl, annaskalka@gbp-samsonow.pl</t>
  </si>
  <si>
    <t>biblioteka@adamow.pl</t>
  </si>
  <si>
    <t>gbpaleksandrow@wp.pl</t>
  </si>
  <si>
    <t>kontakt.annopol@biblioteka.annopol.info</t>
  </si>
  <si>
    <t>m-gbp_belzyce@o2.pl</t>
  </si>
  <si>
    <t>sekretariat@mbp.org.pl</t>
  </si>
  <si>
    <t>barwna@mbp.org.pl</t>
  </si>
  <si>
    <t>filia6@mbp.org.pl</t>
  </si>
  <si>
    <t>czytelnia@bibliotekabilgoraj.pl</t>
  </si>
  <si>
    <t>filia1@bibliotekabilgoraj.pl</t>
  </si>
  <si>
    <t>ewa.szabat2@wp.pl</t>
  </si>
  <si>
    <t>sekretariat@chbp.chelm.pl</t>
  </si>
  <si>
    <t>gbp.cycow@poczta.fm</t>
  </si>
  <si>
    <t>b_p_dabro007@op.pl</t>
  </si>
  <si>
    <t>biblioteka.deblin@gmail.com</t>
  </si>
  <si>
    <t>jagoda_ochal@poczta.onet.pl</t>
  </si>
  <si>
    <t>biblioteka.wislana@op.pl</t>
  </si>
  <si>
    <t>magep@wp.pl</t>
  </si>
  <si>
    <t>gbp_g@interia.pl</t>
  </si>
  <si>
    <t>gbpgoraj@op.pl</t>
  </si>
  <si>
    <t>zmalek@op.pl</t>
  </si>
  <si>
    <t>biblioteka_grezowka@o2.pl</t>
  </si>
  <si>
    <t>biblioteka110@wp.pl</t>
  </si>
  <si>
    <t>agawrobel7@o2.pl</t>
  </si>
  <si>
    <t>jola316@gmail.com</t>
  </si>
  <si>
    <t>bphrubieszow@bipe.pl</t>
  </si>
  <si>
    <t>gbpjablonna@poczta.onet.pl</t>
  </si>
  <si>
    <t>gbpjablon@vp.pl</t>
  </si>
  <si>
    <t>bibliotekajanowl@gmail.com</t>
  </si>
  <si>
    <t>bibliotekajeziorzany@gmail.com</t>
  </si>
  <si>
    <t>e.jamroz@interia.pl</t>
  </si>
  <si>
    <t>karczmiska_biblioteka@interia.pl</t>
  </si>
  <si>
    <t>aniak2002@poczta.onet.pl, bibliotekakazimierz@poczta.onet.pl</t>
  </si>
  <si>
    <t>gok@kloczew.pl</t>
  </si>
  <si>
    <t>bibliotekakomarowka@interia.pl</t>
  </si>
  <si>
    <t>gbp_w_konst@wp.pl</t>
  </si>
  <si>
    <t>bibliotekakorytkowduzy@gmail.com</t>
  </si>
  <si>
    <t>eborzecka@o2.pl</t>
  </si>
  <si>
    <t>joanna.maleszyk@sw.gov.pl</t>
  </si>
  <si>
    <t>biblioteka@pbpkrasnystaw.pl</t>
  </si>
  <si>
    <t>odm@mbp.krasnik.pl</t>
  </si>
  <si>
    <t>filia1@mbp.krasnik.pl</t>
  </si>
  <si>
    <t>joankab@gmail.com</t>
  </si>
  <si>
    <t>lisow@vp.pl</t>
  </si>
  <si>
    <t>biblioteka@powiatlubartowski.pl</t>
  </si>
  <si>
    <t>newsmen@wp.pl</t>
  </si>
  <si>
    <t>biblioteka.batalionowa@gmail.com</t>
  </si>
  <si>
    <t>sekretariat@ken.pbw.lublin.pl</t>
  </si>
  <si>
    <t>urszula.rybak@mbp.lublin.pl</t>
  </si>
  <si>
    <t>roza.wawer@mbp.lublin.pl</t>
  </si>
  <si>
    <t>biblioela@op.pl</t>
  </si>
  <si>
    <t>gbidk-laziska@o2.pl</t>
  </si>
  <si>
    <t>biblioteka@powiatleczynski.pl</t>
  </si>
  <si>
    <t>bas1964@interia.pl; mgbp@op.pl</t>
  </si>
  <si>
    <t>bibliotekafilia2@gmail.com</t>
  </si>
  <si>
    <t>bpglopiennik@o2.pl</t>
  </si>
  <si>
    <t>info@biblioteka.lukow.pl</t>
  </si>
  <si>
    <t>gbpmelgiew2@o2.pl</t>
  </si>
  <si>
    <t>jadwiga.kruczek@wp.pl</t>
  </si>
  <si>
    <t>mbpmp@op.pl</t>
  </si>
  <si>
    <t>mar.kot8@wp.pl</t>
  </si>
  <si>
    <t>mgbp@bibliotekaukazimierza.pl</t>
  </si>
  <si>
    <t>biblioteka.mokre@bpgz.pl</t>
  </si>
  <si>
    <t>biblioteka.naleczow@op.pl</t>
  </si>
  <si>
    <t>marzena.niedrzwica@interia.pl</t>
  </si>
  <si>
    <t>gbpniemce@wp.pl</t>
  </si>
  <si>
    <t>mgbpopolelub1@wp.pl; wioleta.bucior@ockopolelubelskie.pl</t>
  </si>
  <si>
    <t>teresakramek@op.pl</t>
  </si>
  <si>
    <t>beata.gorna5@wp.pl</t>
  </si>
  <si>
    <t>malgo6522@wp.pl; filiadladzieci@mbpradzyn.pl</t>
  </si>
  <si>
    <t>filia2@mbpradzyn.pl</t>
  </si>
  <si>
    <t>ewelina_duraj@interia.pl</t>
  </si>
  <si>
    <t>biblioteka100@wp.pl</t>
  </si>
  <si>
    <t>biblioteka@ruda-huta.pl</t>
  </si>
  <si>
    <t>biblioteka@ryki.pl</t>
  </si>
  <si>
    <t>gbp.sol@op.pl</t>
  </si>
  <si>
    <t>gbpkobialki@wp.pl</t>
  </si>
  <si>
    <t>gbpbrus@poczta.onet.pl</t>
  </si>
  <si>
    <t>bibliotekastezyca@op.pl; mol12ap@op.pl</t>
  </si>
  <si>
    <t>bibliotekastojeszyn@vp.pl</t>
  </si>
  <si>
    <t>dzieci@bibliotekaswidnik.pl</t>
  </si>
  <si>
    <t>biblioteka.sp7.swidnik@gmail.com</t>
  </si>
  <si>
    <t>jpuchacz@op.pl</t>
  </si>
  <si>
    <t>elzbietabaj1@wp.pl</t>
  </si>
  <si>
    <t>kubus830@wp.pl</t>
  </si>
  <si>
    <t>mbp.oddzialdzieci@tomaszow-lubelski.com.pl</t>
  </si>
  <si>
    <t>trzciniec@gbp-lubartow.pl; kado72@wp.pl</t>
  </si>
  <si>
    <t>laskowskad@wp.pl; gbp.trzydnik@op.pl</t>
  </si>
  <si>
    <t>bibliotekatyszowce@onet.pl</t>
  </si>
  <si>
    <t>gbpurszulin@op.pl</t>
  </si>
  <si>
    <t>bibliotekawwilczopolu@glusk.pl</t>
  </si>
  <si>
    <t>mbpwlodawa@gmail.com</t>
  </si>
  <si>
    <t>asia-orzeszko@o2.pl; mbpwlodawa@gmail.com</t>
  </si>
  <si>
    <t>gbpwolauhruska@op.pl</t>
  </si>
  <si>
    <t>bibliotekawolica@o2.pl</t>
  </si>
  <si>
    <t>biblioteka.wyryki@onet.eu</t>
  </si>
  <si>
    <t>biblioteka@miedzyrzecgmina.pl</t>
  </si>
  <si>
    <t>promocja@biblioteka.zamosc.pl</t>
  </si>
  <si>
    <t>sienkiewiczanetta62@gmail.com; bpzamosc@bipe.pl</t>
  </si>
  <si>
    <t>zaneta.tryk@gmail.com</t>
  </si>
  <si>
    <t>alebib@tlen.pl</t>
  </si>
  <si>
    <t>martynaza@interia.pl</t>
  </si>
  <si>
    <t>mgbpbialarawska@poczta.onet.pl</t>
  </si>
  <si>
    <t>gok@bolimow.pl</t>
  </si>
  <si>
    <t>biblioczar@op.pl</t>
  </si>
  <si>
    <t>pbp-dzialoszyn@wp.pl</t>
  </si>
  <si>
    <t>teresakukla@interia.pl, ewa.drab@onet.pl</t>
  </si>
  <si>
    <t>agodszling@tlen.pl</t>
  </si>
  <si>
    <t>biblioteka.glowno@vp.pl</t>
  </si>
  <si>
    <t>biblioteka@kleszczow.pl</t>
  </si>
  <si>
    <t>agnes1987a@interia.eu</t>
  </si>
  <si>
    <t>konmbp@interia.pl</t>
  </si>
  <si>
    <t>mbpkondz@op.pl</t>
  </si>
  <si>
    <t>biblioteka13@op.pl</t>
  </si>
  <si>
    <t>bibliotekagdkzb@ksawerow.com</t>
  </si>
  <si>
    <t>u.rejs@bibliokutno.pl</t>
  </si>
  <si>
    <t>biblioteka_lask_wypozyczalnia@wp.pl</t>
  </si>
  <si>
    <t>biblioteka@bibliotekaleczyca.pl</t>
  </si>
  <si>
    <t>bibliotekalgotawielka@wp.pl</t>
  </si>
  <si>
    <t>domagalska@wbp.lodz.pl</t>
  </si>
  <si>
    <t>filia_11@biblioteka.lodz.pl</t>
  </si>
  <si>
    <t>filia_16@biblioteka.lodz.pl</t>
  </si>
  <si>
    <t>filia_17@biblioteka.lodz.pl</t>
  </si>
  <si>
    <t>filia_18@biblioteka.lodz.pl</t>
  </si>
  <si>
    <t>filia_19@biblioteka.lodz.pl</t>
  </si>
  <si>
    <t>filia_23@biblioteka.lodz.pl</t>
  </si>
  <si>
    <t>filia_26@biblioteka.lodz.pl</t>
  </si>
  <si>
    <t>filia_28@biblioteka.lodz.pl</t>
  </si>
  <si>
    <t>filia_29@biblioteka.lodz.pl</t>
  </si>
  <si>
    <t>filia_30@biblioteka.lodz.pl</t>
  </si>
  <si>
    <t>filia_31@biblioteka.lodz.pl</t>
  </si>
  <si>
    <t>filia_33@biblioteka.lodz.pl</t>
  </si>
  <si>
    <t>filia_34@biblioteka.lodz.pl</t>
  </si>
  <si>
    <t>filia_47@biblioteka.lodz.pl</t>
  </si>
  <si>
    <t>filia_49@biblioteka.lodz.pl</t>
  </si>
  <si>
    <t>filia_52@biblioteka.lodz.pl</t>
  </si>
  <si>
    <t>filia_53@biblioteka.lodz.pl</t>
  </si>
  <si>
    <t>filia_55@biblioteka.lodz.pl</t>
  </si>
  <si>
    <t>agata.deszynska-susik@biblioteka.lodz.pl</t>
  </si>
  <si>
    <t>mariakwiatkowska@gmail.com</t>
  </si>
  <si>
    <t>filia_64@biblioteka.lodz.pl</t>
  </si>
  <si>
    <t>filia_72@biblioteka.lodz.pl</t>
  </si>
  <si>
    <t>filia_75@biblioteka.lodz.pl</t>
  </si>
  <si>
    <t>marzenaszkudlarek@interia.pl</t>
  </si>
  <si>
    <t>pbplowicz@wp.pl</t>
  </si>
  <si>
    <t>biblioteka.makow@poczta.onet.pl</t>
  </si>
  <si>
    <t>boz.leszczynska@poczta.onet.pl</t>
  </si>
  <si>
    <t>zofkone@o2.pl</t>
  </si>
  <si>
    <t>gbposjakow@op.pl</t>
  </si>
  <si>
    <t>kazmierczakmarieta@gmail.com</t>
  </si>
  <si>
    <t>mbppabianice@wp.pl</t>
  </si>
  <si>
    <t>filia2_pabianice@wp.pl</t>
  </si>
  <si>
    <t>filia_4@wp.pl</t>
  </si>
  <si>
    <t>filia5_pabianice@wp.pl</t>
  </si>
  <si>
    <t>biblioteka-pajeczno@wp.pl</t>
  </si>
  <si>
    <t>ewadab@autograf.pl</t>
  </si>
  <si>
    <t>wypozyczalnia@biblioteka.piotrkow.pl</t>
  </si>
  <si>
    <t>syllwi@interia.pl</t>
  </si>
  <si>
    <t>filia1@biblioteka.piotrkow.pl</t>
  </si>
  <si>
    <t>filia1@mbp-radomsko.pl</t>
  </si>
  <si>
    <t>wypozyczalnia.dzieci@mbp-radomsko.pl</t>
  </si>
  <si>
    <t>zbigniewpacho@vp.pl</t>
  </si>
  <si>
    <t>asiakonieczko@op.pl</t>
  </si>
  <si>
    <t>gbp_sedziejowice@wp.pl</t>
  </si>
  <si>
    <t>zolechnowicz@pbp.sieradz.pl</t>
  </si>
  <si>
    <t>pjezierski@pbp.sieradz.pl</t>
  </si>
  <si>
    <t>mbp.sieradz.czytelnia@wp.pl</t>
  </si>
  <si>
    <t>filia1@mbp.sieradz.eu</t>
  </si>
  <si>
    <t>bibliobus@mbp.skierniewice.pl</t>
  </si>
  <si>
    <t>katarzyna_jagiello@mbp.skierniewice.pl</t>
  </si>
  <si>
    <t>biblioteka@sokolniki.pl</t>
  </si>
  <si>
    <t>bmerta@gmina-radomsko.pl</t>
  </si>
  <si>
    <t>magdalenakomor@op.pl</t>
  </si>
  <si>
    <t>biblioteka@strzelce-wielkie.pl</t>
  </si>
  <si>
    <t>bibliotekasulmierzyce@interia.pl</t>
  </si>
  <si>
    <t>mgalankiewicz@gmail.com</t>
  </si>
  <si>
    <t>bibliotekaszadek@wp.pl</t>
  </si>
  <si>
    <t>gromadzenie@mbptomaszow.pl</t>
  </si>
  <si>
    <t>wypozyczalnia@mbptomaszow.pl</t>
  </si>
  <si>
    <t>elatasarz@interia.eu</t>
  </si>
  <si>
    <t>m_86@interia.eu</t>
  </si>
  <si>
    <t>uniebib@op.pl</t>
  </si>
  <si>
    <t>dkkwielun@gmail.com</t>
  </si>
  <si>
    <t>czytelnia@mgbp-wieruszow.pl</t>
  </si>
  <si>
    <t>bokon@mgbp-wieruszow.pl</t>
  </si>
  <si>
    <t>biblioteka@gminawitonia.pl</t>
  </si>
  <si>
    <t>gbpwodzierady@wp.pl</t>
  </si>
  <si>
    <t>bdk@bdkzduny.pl</t>
  </si>
  <si>
    <t>asobolewska100@gmail.com</t>
  </si>
  <si>
    <t>infor@mpbp.zgierz.pl</t>
  </si>
  <si>
    <t>andrzejewska1@o2.pl</t>
  </si>
  <si>
    <t>gbpbanie@wp.pl</t>
  </si>
  <si>
    <t>alaji@vp.pl</t>
  </si>
  <si>
    <t>junior@wbp.olsztyn.pl</t>
  </si>
  <si>
    <t>krystyna1970kudla@gmail.com</t>
  </si>
  <si>
    <t>zareba.biblioteka@onet.pl</t>
  </si>
  <si>
    <t>roznowskajustyna4@wp.pl</t>
  </si>
  <si>
    <t>mgbpbisz1@wp.pl</t>
  </si>
  <si>
    <t>bibliotekaboreczno12@wp.pl</t>
  </si>
  <si>
    <t>mbpbran@wbp.olsztyn.pl</t>
  </si>
  <si>
    <t>gbpburkat@interia.pl</t>
  </si>
  <si>
    <t>mrowkarozogi@wp.pl</t>
  </si>
  <si>
    <t>gbp_dabrowno@wp.pl</t>
  </si>
  <si>
    <t>b.skibinska@ckbdobremiasto.pl</t>
  </si>
  <si>
    <t>a.bober@ckbdobremiasto.pl</t>
  </si>
  <si>
    <t>obasia1@tlen.pl</t>
  </si>
  <si>
    <t>gbpdywity@wbp.olsztyn.pl</t>
  </si>
  <si>
    <t>biblioteka@mbpdzialdowo.pl</t>
  </si>
  <si>
    <t>ewasoto@o2.pl</t>
  </si>
  <si>
    <t>elzbieta_zak@o2.pl</t>
  </si>
  <si>
    <t>oddzial_dla_dzieci@mbpdzialdowo.pl</t>
  </si>
  <si>
    <t>gbpdzwierzuty@wbp.olsztyn.pl</t>
  </si>
  <si>
    <t>h.samson@bibliotekaelblaska.pl</t>
  </si>
  <si>
    <t>literacka@bibliotekaelblaska.pl</t>
  </si>
  <si>
    <t>m.adamska@bibliotekaelblaska.pl</t>
  </si>
  <si>
    <t>bulaj@bibliotekaelblaska.pl</t>
  </si>
  <si>
    <t>a.romanczuk@bibliotekaelblaska.pl</t>
  </si>
  <si>
    <t>filia.nalazkow@bibliotekaelblaska.pl</t>
  </si>
  <si>
    <t>katarzynajablonowska@wp.pl</t>
  </si>
  <si>
    <t>justynarafalowska@gazeta.pl</t>
  </si>
  <si>
    <t>marlenabereza1973@wp.pl</t>
  </si>
  <si>
    <t>mbpgiz@wbp.olsztyn.pl</t>
  </si>
  <si>
    <t>te.sienkiewicz@wp.pl</t>
  </si>
  <si>
    <t>bpggod@wbp.olsztyn.pl</t>
  </si>
  <si>
    <t>bpgoldap@bpgoldap.pl</t>
  </si>
  <si>
    <t>bibliotekagorowo@gmail.com</t>
  </si>
  <si>
    <t>filia@bpgoldap.pl</t>
  </si>
  <si>
    <t>lol630@wp.pl</t>
  </si>
  <si>
    <t>biblioteka.gwizdziny@gck-mszanowo.pl</t>
  </si>
  <si>
    <t>mbp@biblioteka.ilawa.pl</t>
  </si>
  <si>
    <t>powiat@biblioteka.ilawa.pl</t>
  </si>
  <si>
    <t>biblioteka.jamielnik@wp.pl</t>
  </si>
  <si>
    <t>bibliotekajerzwald1948@wp.pl</t>
  </si>
  <si>
    <t>gbpkand@wbp.olsztyn.pl</t>
  </si>
  <si>
    <t>fb3ketrz@op.pl</t>
  </si>
  <si>
    <t>filiabibliotecznak@gmail.com</t>
  </si>
  <si>
    <t>gbpkiwity@wbp.olsztyn.pl</t>
  </si>
  <si>
    <t>bibkom@gmail.com</t>
  </si>
  <si>
    <t>mdunska@mgbpkorsze.pl</t>
  </si>
  <si>
    <t>aszumkowska@mgbpkorsze.pl</t>
  </si>
  <si>
    <t>z.janczewska@mgbpkorsze.pl, dyrektor@mgbpkorsze.pl</t>
  </si>
  <si>
    <t>gbpkurzetnik@wp.pl</t>
  </si>
  <si>
    <t>gcklel@wbp.olsztyn.pl</t>
  </si>
  <si>
    <t>mgbplw@wbp.olsztyn.pl</t>
  </si>
  <si>
    <t>gromadzenie.mbp@lidzbarkw.pl</t>
  </si>
  <si>
    <t>dzieci.mbp@lidzbarkw.pl</t>
  </si>
  <si>
    <t>gbp_lipowiec.dyrektor@op.pl</t>
  </si>
  <si>
    <t>biblubawa@wp.pl</t>
  </si>
  <si>
    <t>bibliotekalukta@poczta.onet.pl</t>
  </si>
  <si>
    <t>bibliotekamaldyty@wp.pl</t>
  </si>
  <si>
    <t>renatagawlinska@wp.pl</t>
  </si>
  <si>
    <t>karolciaa1@op.pl</t>
  </si>
  <si>
    <t>mgbpmilakowo@wbp.olsztyn.pl</t>
  </si>
  <si>
    <t>mbpmorag@wbp.olsztyn.pl</t>
  </si>
  <si>
    <t>wypozyczalnia@ckit.mragowo.pl</t>
  </si>
  <si>
    <t>oddzial@ckit.mragowo.pl</t>
  </si>
  <si>
    <t>mgbpnid@wbp.olsztyn.pl</t>
  </si>
  <si>
    <t>biblioteka.niechlonin@wp.pl</t>
  </si>
  <si>
    <t>biblmiejsknml@wp.pl</t>
  </si>
  <si>
    <t>biblioteka@przystanek.pl</t>
  </si>
  <si>
    <t>bgotkiewicz@o2.pl</t>
  </si>
  <si>
    <t>czytelnia@wbp.olsztyn.pl</t>
  </si>
  <si>
    <t>mgbpolsz@wbp.olsztyn.pl</t>
  </si>
  <si>
    <t>wilgraz1@interia.pl</t>
  </si>
  <si>
    <t>bibliotekaostroda@o2.pl</t>
  </si>
  <si>
    <t>sp6_ostr@poczta.onet.pl, bibliotekaostroda@o2.pl</t>
  </si>
  <si>
    <t>bppaslek@poczta.onet.pl</t>
  </si>
  <si>
    <t>anna_kowalska@mbppasym.pl</t>
  </si>
  <si>
    <t>mgbppien@wbp.olsztyn.pl</t>
  </si>
  <si>
    <t>mp@biblioteka.pisz.pl</t>
  </si>
  <si>
    <t>gbppurda@wbp.olsztyn.pl</t>
  </si>
  <si>
    <t>jasfied@wp.pl</t>
  </si>
  <si>
    <t>u.duszkiewicz@wp.pl</t>
  </si>
  <si>
    <t>gbp.rybno@wp.pl</t>
  </si>
  <si>
    <t>mgbpryn@wbp.olsztyn.pl</t>
  </si>
  <si>
    <t>katarzyna.lubowiecka@wp.pl</t>
  </si>
  <si>
    <t>aniela.janik@interia.pl</t>
  </si>
  <si>
    <t>mgbpsepo@wbp.olsztyn.pl</t>
  </si>
  <si>
    <t>zofia-chomka@wp.pl</t>
  </si>
  <si>
    <t>krystyna_jowsa@wp.pl</t>
  </si>
  <si>
    <t>bibsusz@wbp.olsztyn.pl</t>
  </si>
  <si>
    <t>mbpszczytno@wp.pl</t>
  </si>
  <si>
    <t>filia.szymany21@op.pl</t>
  </si>
  <si>
    <t>gbpsw@wbp.olsztyn.pl</t>
  </si>
  <si>
    <t>bpmigtolkmicko@onet.pl</t>
  </si>
  <si>
    <t>mgbp.dkk@wp.pl</t>
  </si>
  <si>
    <t>gbp_wielbark@wp.pl</t>
  </si>
  <si>
    <t>gbpwilkasy@wbp.olsztyn.pl</t>
  </si>
  <si>
    <t>annaciszewska1504@gmail.com</t>
  </si>
  <si>
    <t>bpzalewo@wbp.olsztyn.pl</t>
  </si>
  <si>
    <t>renata22-84@tlen.pl</t>
  </si>
  <si>
    <t>fbzwierzno@wp.pl</t>
  </si>
  <si>
    <t>fbzurawiec@wp.pl</t>
  </si>
  <si>
    <t>bib.baborow@gmail.com</t>
  </si>
  <si>
    <t>bialanyska@migbp.nysa.pl</t>
  </si>
  <si>
    <t>mbp@brzeg.pl</t>
  </si>
  <si>
    <t>migbpg@wp.pl</t>
  </si>
  <si>
    <t>dkg@glucholazy.pl</t>
  </si>
  <si>
    <t>info@biblioteka-gogolin.pl</t>
  </si>
  <si>
    <t>wypozyczalnia.grodkow@gmail.com</t>
  </si>
  <si>
    <t>biblioteka.jasienica@gmail.com</t>
  </si>
  <si>
    <t>gbpjemielnica@o2.pl</t>
  </si>
  <si>
    <t>biblioteka@otmuchow.pl</t>
  </si>
  <si>
    <t>gokkamiennik@wp.pl</t>
  </si>
  <si>
    <t>fbpkamiensl@wp.pl</t>
  </si>
  <si>
    <t>biblioteka@popielow.pl</t>
  </si>
  <si>
    <t>sekretariat@mbpkk.pl</t>
  </si>
  <si>
    <t>migbpkluczbork@wp.pl</t>
  </si>
  <si>
    <t>basiaw10@o2.pl</t>
  </si>
  <si>
    <t>biblioteka@krapkowice.pl</t>
  </si>
  <si>
    <t>biblioteka@lewin-brzeski.pl</t>
  </si>
  <si>
    <t>biblioteka@pok-prudnik.pl</t>
  </si>
  <si>
    <t>losiow@biblioteka-lewinbrzeski.pl</t>
  </si>
  <si>
    <t>fbpmalnia@wp.pl</t>
  </si>
  <si>
    <t>bibliotekamurow@murow.pl</t>
  </si>
  <si>
    <t>biblioteka.naklo@op.pl</t>
  </si>
  <si>
    <t>bibliotekanamyslow@op.pl</t>
  </si>
  <si>
    <t>biblioteka-niemodlin@biblioteka-niemodlin.pl</t>
  </si>
  <si>
    <t>sekretariat@migbp.nysa.pl</t>
  </si>
  <si>
    <t>obp@olesno.pl</t>
  </si>
  <si>
    <t>ba@wbp.opole.pl</t>
  </si>
  <si>
    <t>wypcentralna@mbp-opole.art.pl</t>
  </si>
  <si>
    <t>sekretariat@mbp.opole.pl, katarzyna.kurko@mbp.opole.pl</t>
  </si>
  <si>
    <t>odzdziec@mbp-opole.art.pl</t>
  </si>
  <si>
    <t>filia7@mbp.opole.pl</t>
  </si>
  <si>
    <t>filia18@mbp-opole.art.pl</t>
  </si>
  <si>
    <t>ksiegowosc@biblioteka.paczkow.pl</t>
  </si>
  <si>
    <t>bibliotekapakoslawice@wp.pl</t>
  </si>
  <si>
    <t>pawlowiczki.gbp@wp.pl</t>
  </si>
  <si>
    <t>biblioteka21@interia.pl</t>
  </si>
  <si>
    <t>gbpolszanka@interia.pl</t>
  </si>
  <si>
    <t>pokoj.biblioteka@wp.pl</t>
  </si>
  <si>
    <t>prusinowice_biblioteka@wp.pl</t>
  </si>
  <si>
    <t>gbpprzywory@wp.pl</t>
  </si>
  <si>
    <t>barbaramientus@interia.pl</t>
  </si>
  <si>
    <t>bibliotekasiolkowice@gmail.com</t>
  </si>
  <si>
    <t>i.szymanska@sok.strzelceopolskie.pl</t>
  </si>
  <si>
    <t>tokbiblioteka2@wp.pl</t>
  </si>
  <si>
    <t>walcebiblioteka@op.pl</t>
  </si>
  <si>
    <t>bibzeb@poczta.onet.pl</t>
  </si>
  <si>
    <t>biblio-teka@wp.pl</t>
  </si>
  <si>
    <t>strzeleczki20@interia.pl</t>
  </si>
  <si>
    <t>mgok@baranowsandomierski.pl</t>
  </si>
  <si>
    <t>biblioteka.bircza@interia.pl</t>
  </si>
  <si>
    <t>mgbpblazowa@vp.pl</t>
  </si>
  <si>
    <t>agnieszka.w@poczta.onet.pl</t>
  </si>
  <si>
    <t>bibliotekapublicznabobrowa@gmail.com</t>
  </si>
  <si>
    <t>gbp.aneta@wp.pl</t>
  </si>
  <si>
    <t>gbp.boguchwala@op.pl</t>
  </si>
  <si>
    <t>e.wilczynska@bibkolb.eu</t>
  </si>
  <si>
    <t>irena.szczypek@yahoo.pl</t>
  </si>
  <si>
    <t>mbpcieszanow@op.pl</t>
  </si>
  <si>
    <t>wypozyczalnia1mbp@onet.pl</t>
  </si>
  <si>
    <t>biblioteka@frysztak.pl</t>
  </si>
  <si>
    <t>gbpgiedlarowa@wp.pl</t>
  </si>
  <si>
    <t>biblioteka@grodziskodolne.pl</t>
  </si>
  <si>
    <t>bibliotekahaczow@wp.pl</t>
  </si>
  <si>
    <t>biblioteka.hermanowa@pl</t>
  </si>
  <si>
    <t>iwierzyce.bib@op.pl</t>
  </si>
  <si>
    <t>mbp_jaroslaw@interia.pl</t>
  </si>
  <si>
    <t>kluby@mbp.jaslo.pl</t>
  </si>
  <si>
    <t>dzieci@mbp.jaslo.pl</t>
  </si>
  <si>
    <t>mediambpj@gmail.com</t>
  </si>
  <si>
    <t>filia2@mbp.jaslo.pl</t>
  </si>
  <si>
    <t>filia3@mbp.jaslo.pl</t>
  </si>
  <si>
    <t>gbpjedlicze@poczta.onet.pl</t>
  </si>
  <si>
    <t>bibliotekajodlowa@wp.pl</t>
  </si>
  <si>
    <t>bibliotekaklyzow@op.pl</t>
  </si>
  <si>
    <t>a.mierzejewska@bibkolb.eu</t>
  </si>
  <si>
    <t>sgiba@kbp.krosno.pl</t>
  </si>
  <si>
    <t>filia2@kbp.krosno.pl</t>
  </si>
  <si>
    <t>jkrawczyk15@wp.pl</t>
  </si>
  <si>
    <t>bplezajsk@op.pl</t>
  </si>
  <si>
    <t>wypozyczalnia@mbp.lubaczow.pl</t>
  </si>
  <si>
    <t>gbp@autograf.pl</t>
  </si>
  <si>
    <t>wypozyczalnia@mbp-lancut.pl</t>
  </si>
  <si>
    <t>filia2@mbp-lancut.pl</t>
  </si>
  <si>
    <t>dkk@kultura.mielec.pl</t>
  </si>
  <si>
    <t>mdkk@kultura.mielec.pl</t>
  </si>
  <si>
    <t>gbp.mogielnica@wp.pl</t>
  </si>
  <si>
    <t>kasiaosak@interia.pl</t>
  </si>
  <si>
    <t>biblioteka@narol.pl</t>
  </si>
  <si>
    <t>ewa.kielb@onet.pl</t>
  </si>
  <si>
    <t>nckbiblioteka@op.pl</t>
  </si>
  <si>
    <t>mwegrzynek@onet.pl</t>
  </si>
  <si>
    <t>h.koltun@gmail.com, bibliotekans@gmail.com</t>
  </si>
  <si>
    <t>gbp_olszanica@o2.pl</t>
  </si>
  <si>
    <t>bibl.osiek@interia.pl</t>
  </si>
  <si>
    <t>kstarzec@onet.pl, przedborz@bibkolb.eu</t>
  </si>
  <si>
    <t>kbednarz@vp.pl</t>
  </si>
  <si>
    <t>katarzyna.rudnicka@pbw.org.pl</t>
  </si>
  <si>
    <t>nubeska@interia.pl</t>
  </si>
  <si>
    <t>biblioteka@pysznica.pl</t>
  </si>
  <si>
    <t>gbp.raclawowka@wp.pl</t>
  </si>
  <si>
    <t>wbpropczyce@wp.pl</t>
  </si>
  <si>
    <t>wiktordanuta@gmail.com</t>
  </si>
  <si>
    <t>oddzial@wimbp.rzeszow.pl3</t>
  </si>
  <si>
    <t>lilka_s@o2.pl</t>
  </si>
  <si>
    <t>filia-5@wimbp.rzeszow.pl</t>
  </si>
  <si>
    <t>filia-7@wimbp.rzeszow.pl</t>
  </si>
  <si>
    <t>filia-8@wimbp.rzeszow.pl</t>
  </si>
  <si>
    <t>go.chlebowska@op.pl</t>
  </si>
  <si>
    <t>filia-11@wimbp.rzeszow.pl</t>
  </si>
  <si>
    <t>filia-13@wimbp.rzeszow.pl</t>
  </si>
  <si>
    <t>filia-16@wimbp.rzeszow.pl</t>
  </si>
  <si>
    <t>joanna.kijowska@wp.pl</t>
  </si>
  <si>
    <t>sekretariat@biblioteka.sanok.pl, b.podsopinska@gmail.com</t>
  </si>
  <si>
    <t>wiolettaszewc@wp.pl</t>
  </si>
  <si>
    <t>bpmig.sieniawa@interia.pl</t>
  </si>
  <si>
    <t>martagasiorowska@onet.pl</t>
  </si>
  <si>
    <t>mariachod@interia.pl</t>
  </si>
  <si>
    <t>bnowak@mbpstalowawola.pl</t>
  </si>
  <si>
    <t>marzenamidura@o2.pl</t>
  </si>
  <si>
    <t>filia1wyp@mbp.tarnobrzeg.pl</t>
  </si>
  <si>
    <t>filia94torki@vp.pl</t>
  </si>
  <si>
    <t>biblioteka@tyczyn-biblioteka.pl</t>
  </si>
  <si>
    <t>b.wojcik@biblioteka-ustrzyki.pl</t>
  </si>
  <si>
    <t>bpwerynia@wp.pl, mariastarzec@gmail.com</t>
  </si>
  <si>
    <t>bp.wolamielecka@sokis.eu</t>
  </si>
  <si>
    <t>aga220479@wp.pl</t>
  </si>
  <si>
    <t>mgbp@zagorz.pl</t>
  </si>
  <si>
    <t>gbp.zaklikow@interia.pl</t>
  </si>
  <si>
    <t>makk@op.pl</t>
  </si>
  <si>
    <t>gbp-zolynia@wp.pl</t>
  </si>
  <si>
    <t>bibliotekazyrakow@gmail.com</t>
  </si>
  <si>
    <t>biblioteka2115@wp.pl</t>
  </si>
  <si>
    <t>biblioteka@bialogard.info</t>
  </si>
  <si>
    <t>gbp-bierzwnik@wp.pl</t>
  </si>
  <si>
    <t>d.nowak.64@wp.pl</t>
  </si>
  <si>
    <t>bibliotekaikonka@o2.pl</t>
  </si>
  <si>
    <t>biblioteka_bonin@wp.pl</t>
  </si>
  <si>
    <t>bibliotekachojenska@op.pl</t>
  </si>
  <si>
    <t>mbpchoszczno@wp.pl</t>
  </si>
  <si>
    <t>irenakozlowska@o2.pl</t>
  </si>
  <si>
    <t>mbp_choszczno@op.pl</t>
  </si>
  <si>
    <t>biblioteka.czaplinek@wp.pl</t>
  </si>
  <si>
    <t>biblioteka-darlowo@wp.pl</t>
  </si>
  <si>
    <t>biblioteka-darlowo@wp.pl, biblioteka-dzieci@wp.pl</t>
  </si>
  <si>
    <t>biblioteka.dabrowa@o2.pl</t>
  </si>
  <si>
    <t>biblioteke@poczta.onet.pl</t>
  </si>
  <si>
    <t>dziedziuchm@wp.pl</t>
  </si>
  <si>
    <t>bibliotekadlugolekafilia@gmail.com</t>
  </si>
  <si>
    <t>biuro@gckib.pl</t>
  </si>
  <si>
    <t>j.e.rozanska@gmail.com</t>
  </si>
  <si>
    <t>biblioteka-drawno@wp.pl</t>
  </si>
  <si>
    <t>biblioteka@dziwnow.pl</t>
  </si>
  <si>
    <t>biblioteka@biblioteka-goleniow.pl</t>
  </si>
  <si>
    <t>biblioteka@trzebiatow.pl</t>
  </si>
  <si>
    <t>biblioteka@biblioteka.gryfice.eu</t>
  </si>
  <si>
    <t>oddzialdzieciecy.biblioteka@gryfino.pl</t>
  </si>
  <si>
    <t>biblioteka@gryfino.pl</t>
  </si>
  <si>
    <t>bibliotekapubliczna-insko@wp.pl</t>
  </si>
  <si>
    <t>biblioteka@mgokkp.pl</t>
  </si>
  <si>
    <t>pimbpkamien@wp.pl, kamien-czytelnia@wp.pl</t>
  </si>
  <si>
    <t>kontakt@wok-np.pl, mariolakloska@gmail.com</t>
  </si>
  <si>
    <t>kontakt@wok-np.pl, justyna1285@gmail.com</t>
  </si>
  <si>
    <t>udostepnianie@biblioteka.kolobrzeg.pl</t>
  </si>
  <si>
    <t>elzbieta.werner@biblioteka.koszalin.pl, filia1@biblioteka.koszalin.pl</t>
  </si>
  <si>
    <t>elzbieta.werner@biblioteka.koszalin.pl</t>
  </si>
  <si>
    <t>biblioteka_krzecin@wp.pl, esmoderek@o2.pl</t>
  </si>
  <si>
    <t>bib-lo@hot.pl, adler77@wp.pl</t>
  </si>
  <si>
    <t>biblioteka_manowo@wp.pl</t>
  </si>
  <si>
    <t>bpmielno@op.pl</t>
  </si>
  <si>
    <t>monikasz27@wp.pl</t>
  </si>
  <si>
    <t>biblioteka.miedzyzdroje@poczta.internetdsl.pl</t>
  </si>
  <si>
    <t>kfecak25@o2.pl</t>
  </si>
  <si>
    <t>czytelnia.nowogard@poczta.onet.pl</t>
  </si>
  <si>
    <t>elzbieta.laskowska1967@gmail.com</t>
  </si>
  <si>
    <t>zuzanna.jaroslaw@wp.pl</t>
  </si>
  <si>
    <t>bpgim@interia.pl</t>
  </si>
  <si>
    <t>inka.66@o2.pl, wkolodziejczyk@police.pl</t>
  </si>
  <si>
    <t>biblioteka@postomino.pl</t>
  </si>
  <si>
    <t>czytelniapbp@gmail.com</t>
  </si>
  <si>
    <t>biblioteka.przeclaw@op.pl</t>
  </si>
  <si>
    <t>biblioteka_rosnowo@wp.pl</t>
  </si>
  <si>
    <t>biblioteka@sianow.pl</t>
  </si>
  <si>
    <t>biblioteka@sianow.pl, bibli5@wp.pl</t>
  </si>
  <si>
    <t>elzbietabroda@wp.pl</t>
  </si>
  <si>
    <t>biblioteka27stanomino@gmail.com</t>
  </si>
  <si>
    <t>ksiaznica-stargard@tlen.pl</t>
  </si>
  <si>
    <t>ksiaznica-stargard@tlen.pl, ewakp@tlen.pl</t>
  </si>
  <si>
    <t>stepnica@biblioteka-stepnica.pl</t>
  </si>
  <si>
    <t>d.rossa04@gmail.com</t>
  </si>
  <si>
    <t>g.piskorz@ksiaznica.szczecin.pl</t>
  </si>
  <si>
    <t>apietkiewicz@mbp.szczecin.pl</t>
  </si>
  <si>
    <t>hgoralska@mbp.szczecin.pl</t>
  </si>
  <si>
    <t>azurkowska@mbp.szczecin.pl</t>
  </si>
  <si>
    <t>amucha@mbp.szczecin.pl</t>
  </si>
  <si>
    <t>awetering@mbp.szczecin.pl</t>
  </si>
  <si>
    <t>filia36@mbp.szczecin.pl, abartos@mbp.szczecin.pl</t>
  </si>
  <si>
    <t>tpolonski@mbp.szczecin.pl</t>
  </si>
  <si>
    <t>filia48@mbp.szczecin.pl</t>
  </si>
  <si>
    <t>mkulik@mbp.szczecin.pl</t>
  </si>
  <si>
    <t>biuro@prawobrzeze.org.pl</t>
  </si>
  <si>
    <t>nata_119@interia.pl</t>
  </si>
  <si>
    <t>bibliotekatuczno@interia.pl</t>
  </si>
  <si>
    <t>camilia0@onet.eu</t>
  </si>
  <si>
    <t>sebekjemilianowicz@wp.pl</t>
  </si>
  <si>
    <t>bpypa@gckib.pl</t>
  </si>
  <si>
    <t>gok-wyszewo@wp.pl</t>
  </si>
  <si>
    <t>bibliotekapubliczna.zlocieniec@op.pl</t>
  </si>
  <si>
    <t>annasliwinska10@o2.pl</t>
  </si>
  <si>
    <t>marek.ostry@wp.pl</t>
  </si>
  <si>
    <t>biblioteka@biblioteka.brodnica.pl</t>
  </si>
  <si>
    <t>emila19871@gazeta.pl</t>
  </si>
  <si>
    <t>joanna511@op.pl</t>
  </si>
  <si>
    <t>bibliotekachocen@op.pl</t>
  </si>
  <si>
    <t>gbpciechocin@wp.pl</t>
  </si>
  <si>
    <t>biblioteka.ciechocinek@gmail.com</t>
  </si>
  <si>
    <t>j.baranowicz@interia.pl</t>
  </si>
  <si>
    <t>d.zmudzinska@wp.pl</t>
  </si>
  <si>
    <t>biblioteka@gbp.fabianki.pl</t>
  </si>
  <si>
    <t>ewakazmierkiewicz@gazeta.pl</t>
  </si>
  <si>
    <t>dorota.zapiec@wp.pl</t>
  </si>
  <si>
    <t>bibl.inst@grudziadz.pl</t>
  </si>
  <si>
    <t>bibl.f1@grudziadz.pl</t>
  </si>
  <si>
    <t>bibl.f3@grudziadz.pl</t>
  </si>
  <si>
    <t>mariamarczuk@wp.pl</t>
  </si>
  <si>
    <t>tmazurkiewicz750@gmail.com</t>
  </si>
  <si>
    <t>bibl.f14@grudziadz.pl</t>
  </si>
  <si>
    <t>biblioteka@gruta.pl</t>
  </si>
  <si>
    <t>bib.ps@op.pl</t>
  </si>
  <si>
    <t>biblioteka.kowal@gmail.com</t>
  </si>
  <si>
    <t>krobianka15@wp.pl</t>
  </si>
  <si>
    <t>mgbp_lubraniec@op.pl</t>
  </si>
  <si>
    <t>barbara.k.n@interia.pl</t>
  </si>
  <si>
    <t>bibliotekalysomice@wp.pl</t>
  </si>
  <si>
    <t>biblioteka.mnieszawka@wp.pl</t>
  </si>
  <si>
    <t>bibliotekamysliwiec@wp.pl</t>
  </si>
  <si>
    <t>gbp.nowogrod@onet.eu</t>
  </si>
  <si>
    <t>bibliotekawdk@wp.pl</t>
  </si>
  <si>
    <t>i.niedbala@pluznica.pl</t>
  </si>
  <si>
    <t>bibliotekaradziejow@poczta.onet.pl</t>
  </si>
  <si>
    <t>ewelina135@poczta.onet.pl</t>
  </si>
  <si>
    <t>edytamis@onet.pl</t>
  </si>
  <si>
    <t>natalia.baran@biblioteka-rypin.pl</t>
  </si>
  <si>
    <t>biblioteka.szabda@gmail.com</t>
  </si>
  <si>
    <t>biblioteka.szczuka@wp.pl</t>
  </si>
  <si>
    <t>occin@ksiaznica.torun.pl</t>
  </si>
  <si>
    <t>mr@ksiaznica.torun.pl</t>
  </si>
  <si>
    <t>dniebrzegowska@gmail.com, mr@ksiaznica.torun.pl</t>
  </si>
  <si>
    <t>zebrowskipolska@tlen.pl</t>
  </si>
  <si>
    <t>dm0@ksiaznica.torun.pl</t>
  </si>
  <si>
    <t>chmagda37@gmail.com</t>
  </si>
  <si>
    <t>p.jakubanis@gmail.com</t>
  </si>
  <si>
    <t>f-4@ksiaznica.torun.pl</t>
  </si>
  <si>
    <t>k.lodygowski@ksiaznica.torun.pl</t>
  </si>
  <si>
    <t>kz@ksiaznica.torun.pl</t>
  </si>
  <si>
    <t>f-6@ksiaznica.torun.pl</t>
  </si>
  <si>
    <t>m.halas@ksiaznica.torun.pl</t>
  </si>
  <si>
    <t>j.jeszke@ksiaznica.torun.pl</t>
  </si>
  <si>
    <t>mz@ksiaznica.torun.pl</t>
  </si>
  <si>
    <t>f-10@ksiaznica.torun.pl</t>
  </si>
  <si>
    <t>kkk@ksiaznica.torun.pl</t>
  </si>
  <si>
    <t>gkk@ksiaznica.torun.pl</t>
  </si>
  <si>
    <t>f-16@ksiaznica.torun.pl</t>
  </si>
  <si>
    <t>nb@ksiaznica.torun.pl</t>
  </si>
  <si>
    <t>magdalena.wolowicz@gmail.com</t>
  </si>
  <si>
    <t>marzenas1@vp.pl</t>
  </si>
  <si>
    <t>bibliofilia1@wp.pl</t>
  </si>
  <si>
    <t>kkwiecinska@okib.pl</t>
  </si>
  <si>
    <t>bibliotekaspwr@interia.pl</t>
  </si>
  <si>
    <t>Michal.Paczkowski@sw.gov.pl</t>
  </si>
  <si>
    <t>bdynowska@biblioteka.wloclawek.pl</t>
  </si>
  <si>
    <t>renia12@vp.pl</t>
  </si>
  <si>
    <t>filiagrodzka@wp.pl</t>
  </si>
  <si>
    <t>matusiak.krystyna@gmail.com</t>
  </si>
  <si>
    <t>filia9@biblioteka.wloclawek.pl</t>
  </si>
  <si>
    <t>filia11@biblioteka.wloclawek.pl</t>
  </si>
  <si>
    <t>gbpzakrzewo@poczta.onet.pl</t>
  </si>
  <si>
    <t>anna.larenta@gmail.com</t>
  </si>
  <si>
    <t>biblioteka.publiczna@blonie.pl</t>
  </si>
  <si>
    <t>bibliotekabrochow27@interia.pl</t>
  </si>
  <si>
    <t>bibliotekawbrwinowie@tlen.pl</t>
  </si>
  <si>
    <t>bpgk.filia2@gmail.com</t>
  </si>
  <si>
    <t>mskierniewska@interia.pl</t>
  </si>
  <si>
    <t>bibliotekachotum@wp.pl</t>
  </si>
  <si>
    <t>jolanta.nagiel@gmail.com</t>
  </si>
  <si>
    <t>marzrybicka@interia.pl</t>
  </si>
  <si>
    <t>wypozyczalnia.gl@pbpciechanow.pl</t>
  </si>
  <si>
    <t>biblioteka@czerniceborowe.pl</t>
  </si>
  <si>
    <t>moni7739@wp.pl</t>
  </si>
  <si>
    <t>duchnow@bibliotekawiazowna.pl</t>
  </si>
  <si>
    <t>bibliotekaglowaczow@wp.pl</t>
  </si>
  <si>
    <t>bpgniewosz@wp.pl</t>
  </si>
  <si>
    <t>bibliotekagk@poczta.fm</t>
  </si>
  <si>
    <t>anna_nedzi@wp.pl</t>
  </si>
  <si>
    <t>mgbpilza@wp.pl</t>
  </si>
  <si>
    <t>artenlibera@wp.pl</t>
  </si>
  <si>
    <t>biblioteka@biblioteka-jaktorow.pl</t>
  </si>
  <si>
    <t>bibliotekajs@wp.pl</t>
  </si>
  <si>
    <t>jozefow@biblioteka.ozarow-mazowiecki.pl</t>
  </si>
  <si>
    <t>bpgkampinos@gmail.com</t>
  </si>
  <si>
    <t>biuro@konstancinskidomkultury.pl</t>
  </si>
  <si>
    <t>monlat@o2.pl</t>
  </si>
  <si>
    <t>elzbieta.stapor@bibliotekimazowsza.pl</t>
  </si>
  <si>
    <t>biblioteka@gminaleszno.pl</t>
  </si>
  <si>
    <t>gbplubowidz@op.pl</t>
  </si>
  <si>
    <t>biblioteka@lomianki.pl</t>
  </si>
  <si>
    <t>bibmag@interia.pl</t>
  </si>
  <si>
    <t>biblioteka@marki.pl</t>
  </si>
  <si>
    <t>bpgm@vp.pl</t>
  </si>
  <si>
    <t>bibliotekamb@gmail.com</t>
  </si>
  <si>
    <t>cichosz.anna@wp.pl</t>
  </si>
  <si>
    <t>biuro@biblioteka-milanowek.pl</t>
  </si>
  <si>
    <t>biblioteka.mlochow@nadarzyn.pl</t>
  </si>
  <si>
    <t>wypozyczalnia@biblioteka-mszczonow.pl</t>
  </si>
  <si>
    <t>biblioteka@nadarzyn.pl</t>
  </si>
  <si>
    <t>biblioteka-nasielsk@wp.pl</t>
  </si>
  <si>
    <t>biblioteka@nowydwormaz.pl</t>
  </si>
  <si>
    <t>biblioteka.publiczna@gminanur.pl</t>
  </si>
  <si>
    <t>anna-dzielak@wp.pl</t>
  </si>
  <si>
    <t>bibliotekaotrebusy@poczta.onet.pl</t>
  </si>
  <si>
    <t>sekretariat@lo3otwock.eu</t>
  </si>
  <si>
    <t>agnieszkapieczonka1@gmail.com</t>
  </si>
  <si>
    <t>e.sobieraj@biblioteka.ozarow-mazowiecki.pl</t>
  </si>
  <si>
    <t>cemdorosli@biblioteka-piaseczno.pl</t>
  </si>
  <si>
    <t>bibliotekamiejskawpiastowie@gmail.com</t>
  </si>
  <si>
    <t>filia4@ksiaznicaplocka.pl</t>
  </si>
  <si>
    <t>metod@ksiaznicaplocka.pl</t>
  </si>
  <si>
    <t>bibliotekawpniewach@gmail.com</t>
  </si>
  <si>
    <t>dyrektor@mbp-podkowalesna.pl</t>
  </si>
  <si>
    <t>biblioteka@pomiechowek.pl</t>
  </si>
  <si>
    <t>bpprazmow@interia.pl</t>
  </si>
  <si>
    <t>filia7@biblioteka.pruszkow.pl</t>
  </si>
  <si>
    <t>gbp@przylek.pl</t>
  </si>
  <si>
    <t>filia6@mbpradom.pl</t>
  </si>
  <si>
    <t>filia16@mbpradom.pl</t>
  </si>
  <si>
    <t>bibliotekarz@bibliotekaradzymin.pl</t>
  </si>
  <si>
    <t>info@bibliotekaraszyn.pl</t>
  </si>
  <si>
    <t>malgosiab@wp.pl</t>
  </si>
  <si>
    <t>bibliotekagm@wp.pl</t>
  </si>
  <si>
    <t>beatabogumil@wp.pl</t>
  </si>
  <si>
    <t>m.gadzinska@ecasanniki.pl</t>
  </si>
  <si>
    <t>spsikorz@wp.pl, gbp-filia-sikorz@wp.pl</t>
  </si>
  <si>
    <t>skolimow@bibliotekakonstancin.pl</t>
  </si>
  <si>
    <t>arturbedyk@gmail.com</t>
  </si>
  <si>
    <t>mpb.sochaczew@gmail.com</t>
  </si>
  <si>
    <t>sutw-sochaczew@o2.pl</t>
  </si>
  <si>
    <t>mbialecka@gmail.com</t>
  </si>
  <si>
    <t>bibbab@interia.pl</t>
  </si>
  <si>
    <t>biblstromiec@interia.pl</t>
  </si>
  <si>
    <t>bibliotekastrykowice@onet.pl</t>
  </si>
  <si>
    <t>filiabiblioteczna.syberia@o2.pl</t>
  </si>
  <si>
    <t>sycynabiblioteka@gazeta.pl</t>
  </si>
  <si>
    <t>wypozyczalnia.gbp.tarczyn@gmail. com</t>
  </si>
  <si>
    <t>gbp@teresin.pl</t>
  </si>
  <si>
    <t>biblioteka306@gmail.com</t>
  </si>
  <si>
    <t>czytn20@e-bp.pl</t>
  </si>
  <si>
    <t>kamelek8@wp.pl</t>
  </si>
  <si>
    <t>natalia.molodowiec@gmail.com</t>
  </si>
  <si>
    <t>magdamajewska@gmail.com</t>
  </si>
  <si>
    <t>biblioteka_staff@poczta.fm</t>
  </si>
  <si>
    <t>a.mozola@pbochota.pl</t>
  </si>
  <si>
    <t>skarzynskiego@bpochota.waw.pl</t>
  </si>
  <si>
    <t>biblioteka48lo@op.pl</t>
  </si>
  <si>
    <t>w.krynicka@bppragapd.pl</t>
  </si>
  <si>
    <t>wypozyczalnia55@bprembertow.waw.pl</t>
  </si>
  <si>
    <t>wyp97@biblioteka.waw.pl</t>
  </si>
  <si>
    <t>kasiastanczuk@poczta.fm</t>
  </si>
  <si>
    <t>justyna.m.zebrowska@gmail.com</t>
  </si>
  <si>
    <t>niedzwiadek@bpursus.waw.pl</t>
  </si>
  <si>
    <t>skorosze@bpursus.waw.pl</t>
  </si>
  <si>
    <t>golabki@bpursus.waw.pl</t>
  </si>
  <si>
    <t>l.dabrowska@bpursus.waw.pl</t>
  </si>
  <si>
    <t>sekretariat@ursynoteka.pl</t>
  </si>
  <si>
    <t>bd37@ursynoteka.pl</t>
  </si>
  <si>
    <t>e.walter@uw.edu.pl</t>
  </si>
  <si>
    <t>teresa.jedynak@gmail.com</t>
  </si>
  <si>
    <t>z.moryc@bibliotekawilanowska.pl</t>
  </si>
  <si>
    <t>m.janek@bibliotekawilanowska.pl</t>
  </si>
  <si>
    <t>b30@bpwlochy.waw.pl</t>
  </si>
  <si>
    <t>b71@bpwlochy.waw.pl</t>
  </si>
  <si>
    <t>b17@bpwlochy.waw.pl</t>
  </si>
  <si>
    <t>b28@bpwlochy.waw.pl</t>
  </si>
  <si>
    <t>w80@bpwola.waw.pl</t>
  </si>
  <si>
    <t>w14@bpwola.waw.pl</t>
  </si>
  <si>
    <t>bd25@bpwola.waw.pl</t>
  </si>
  <si>
    <t>bd21@bpwola.waw.pl</t>
  </si>
  <si>
    <t>w51@bpwola.waw.pl</t>
  </si>
  <si>
    <t>w73@bpwola.waw.pl</t>
  </si>
  <si>
    <t>odolanka@bpwola.waw.pl</t>
  </si>
  <si>
    <t>wyp13@bpzoliborz.pl</t>
  </si>
  <si>
    <t>gbpwierzbica@o2.pl</t>
  </si>
  <si>
    <t>jonojolaa@gmail.com</t>
  </si>
  <si>
    <t>malgorzata.szamocka@kulturalni.pl</t>
  </si>
  <si>
    <t>renatapog@wp.pl</t>
  </si>
  <si>
    <t>mbp_ziel@onet.eu</t>
  </si>
  <si>
    <t>zlotoklos@biblioteka-piaseczno.pl</t>
  </si>
  <si>
    <t>mgbpzwolen1@wp.pl</t>
  </si>
  <si>
    <t>olkapesta@poczta.onet.pl</t>
  </si>
  <si>
    <t>pmbpster@gmail.com</t>
  </si>
  <si>
    <t>aneta.czyzyk@gmail.com</t>
  </si>
  <si>
    <t>sp7_szkola@wp.pl</t>
  </si>
  <si>
    <t>terawiki@tlen.pl</t>
  </si>
  <si>
    <t>wyp@mbp.boleslawiec.pl</t>
  </si>
  <si>
    <t>dzieci@mbp.boleslawiec.pl</t>
  </si>
  <si>
    <t>filia@mbp.boleslawiec.pl</t>
  </si>
  <si>
    <t>czyt@mbp.boleslawiec.pl</t>
  </si>
  <si>
    <t>mbp@mbp.boleslawiec.pl</t>
  </si>
  <si>
    <t>kralen@o2.pl</t>
  </si>
  <si>
    <t>mkaska@op.pl</t>
  </si>
  <si>
    <t>borek.strzelinski@biblioteka.borow.pl</t>
  </si>
  <si>
    <t>wegiel.bibliotekabrzegdolny1@wp.pl</t>
  </si>
  <si>
    <t>biblioteka-bystrzyca@wp.pl</t>
  </si>
  <si>
    <t>bibbystrzyca@wp.pl</t>
  </si>
  <si>
    <t>jesionka.natalia@wp.pl</t>
  </si>
  <si>
    <t>chantu@wp.eu</t>
  </si>
  <si>
    <t>barbara_rudyk@wp.pl, bogusia.pusz@wp.pl</t>
  </si>
  <si>
    <t xml:space="preserve">bibliotekara-lala@wp.pl </t>
  </si>
  <si>
    <t>fbczernina@gora.com.pl</t>
  </si>
  <si>
    <t>czytelnia@mbp.dzierzoniow.pl</t>
  </si>
  <si>
    <t>bibliotekapubliczna@o2.pl</t>
  </si>
  <si>
    <t>renia874@o2.pl</t>
  </si>
  <si>
    <t>fbnr1gora@o2.pl</t>
  </si>
  <si>
    <t>biblioteka.gryfow@gmail.com</t>
  </si>
  <si>
    <t>czytelnia@mbp.jawor.pl</t>
  </si>
  <si>
    <t>fdjta@wp.pl</t>
  </si>
  <si>
    <t>palasek@jedlinazdroj.eu</t>
  </si>
  <si>
    <t>jaskulowski.tomasz@biblioteka.jelenia-gora.pl</t>
  </si>
  <si>
    <t>kwilk@biblioteka.jelenia-gora.pl</t>
  </si>
  <si>
    <t>emilinska@tlen.pl</t>
  </si>
  <si>
    <t>kspolnik@biblioteka.jelenia-gora.pl</t>
  </si>
  <si>
    <t>mdrzymkowska@biblioteka.jelenia-gora.pl</t>
  </si>
  <si>
    <t>bahrij.grazyna@biblioteka.jelenia-gora.pl</t>
  </si>
  <si>
    <t>filia5@biblioteka.jelenia-gora.pl</t>
  </si>
  <si>
    <t>filia6@biblioteka.jelenia-gora.pl</t>
  </si>
  <si>
    <t>epodgorna@biblioteka.jelenia-gora.pl</t>
  </si>
  <si>
    <t>p.barna@gockjerzmanowa.pl</t>
  </si>
  <si>
    <t>aleks4andra@gmail.com</t>
  </si>
  <si>
    <t>bibliotekakarpacz@wp.pl</t>
  </si>
  <si>
    <t>bpkotowice@kultura-siechnice.pl</t>
  </si>
  <si>
    <t>mbpkowary@gmail.com</t>
  </si>
  <si>
    <t>biblioteka@kudowa.pl</t>
  </si>
  <si>
    <t>biblioteka.dzieci@kudowa.pl</t>
  </si>
  <si>
    <t>j.gelczynska@biblioteka.legnica.eu</t>
  </si>
  <si>
    <t>biblioteka.lesna@op.pl</t>
  </si>
  <si>
    <t>m.kaba@bibliotekaluban.pl</t>
  </si>
  <si>
    <t>danuta69@onet.pl</t>
  </si>
  <si>
    <t>ulreni@wp.pl</t>
  </si>
  <si>
    <t>odm2@tlen.pl</t>
  </si>
  <si>
    <t>elzbieta.baginska@gokbis.pl</t>
  </si>
  <si>
    <t>lozina@bibliotekadlugoleka.pl</t>
  </si>
  <si>
    <t>bibpub6@poczta.onet.pl</t>
  </si>
  <si>
    <t>mciesla@op.pl</t>
  </si>
  <si>
    <t>wisienkii@wp.pl</t>
  </si>
  <si>
    <t>j.skwarska@biblioteka-czernica.pl</t>
  </si>
  <si>
    <t>biblioteka.gminna.niechlow@wp.pl</t>
  </si>
  <si>
    <t>dkk@kultura-oborniki.pl</t>
  </si>
  <si>
    <t>bszukalska@bifk.info</t>
  </si>
  <si>
    <t>Alina.zamecka@gokbis.pl</t>
  </si>
  <si>
    <t>czytelnia@biblioteka.olawa.pl</t>
  </si>
  <si>
    <t>filia2@biblioteka.olawa.pl</t>
  </si>
  <si>
    <t>marpatkir@onet.pl</t>
  </si>
  <si>
    <t>agnieszka.sierdzia@interia.pl</t>
  </si>
  <si>
    <t>filia@ck-pieszyce.pl</t>
  </si>
  <si>
    <t>biblioteka@mokib.pl</t>
  </si>
  <si>
    <t>bozenkam6@op.pl</t>
  </si>
  <si>
    <t>k.kulig83@wp.pl</t>
  </si>
  <si>
    <t>wypozyczalnia@mgbp.pl</t>
  </si>
  <si>
    <t>b-spryszynska@poczta.onet.pl</t>
  </si>
  <si>
    <t>biblioteka_ratowice4@wp.pl</t>
  </si>
  <si>
    <t>bpstrzelin@wp.pl</t>
  </si>
  <si>
    <t>kordkowa@o2.pl</t>
  </si>
  <si>
    <t>bibliotekamilicz@wp.pl</t>
  </si>
  <si>
    <t>wypozyczalnia@mbp-szczawno.pl</t>
  </si>
  <si>
    <t>danuta-fi@o2.pl</t>
  </si>
  <si>
    <t>czyt@mbp.swidnica.pl</t>
  </si>
  <si>
    <t>biblioteka@swiebodzice.pl</t>
  </si>
  <si>
    <t>agnieszka.okarmus@mbp.swiebodzice.pl</t>
  </si>
  <si>
    <t>biblioteka3@op.pl</t>
  </si>
  <si>
    <t>bibliotekatrzebnica@vp.pl</t>
  </si>
  <si>
    <t>okm@atlanty.pl; wypozyczalnia@atlanty.pl</t>
  </si>
  <si>
    <t>filia1@atlanty.pl</t>
  </si>
  <si>
    <t>filia7@atlanty.pl</t>
  </si>
  <si>
    <t>biblioteka.podzamcze@op.pl</t>
  </si>
  <si>
    <t>b_p_wasosz1@wp.pl</t>
  </si>
  <si>
    <t>wdominiarczyk@wp.pl</t>
  </si>
  <si>
    <t>biblioteka@wiszniamala.pl</t>
  </si>
  <si>
    <t>kamila-kiezik@wp.pl</t>
  </si>
  <si>
    <t>dzieci@migbp-wolow.pl</t>
  </si>
  <si>
    <t>anna.rebacz@migbp-wolow.pl</t>
  </si>
  <si>
    <t>btarnowska@wbp.wroc.pl</t>
  </si>
  <si>
    <t>amcorner@wbp.wroc.pl</t>
  </si>
  <si>
    <t>mwitkowska@wbp.wroc.pl</t>
  </si>
  <si>
    <t>kasiazbor@o2.pl, kkilber@wbp.wroc.pl</t>
  </si>
  <si>
    <t>bagira-09@ukr.net</t>
  </si>
  <si>
    <t>mbp01@biblioteka.wroc.pl</t>
  </si>
  <si>
    <t>mbp04@biblioteka.wroc.pl</t>
  </si>
  <si>
    <t>mbp07@biblioteka.wroc.pl</t>
  </si>
  <si>
    <t>mbp11@biblioteka.wroc.pl</t>
  </si>
  <si>
    <t>mbp12@biblioteka.wroc.pl</t>
  </si>
  <si>
    <t>mbp16@biblioteka.wroc.pl</t>
  </si>
  <si>
    <t>mbp18@biblioteka.wroc.pl</t>
  </si>
  <si>
    <t>mbp23@biblioteka.wroc.pl</t>
  </si>
  <si>
    <t>mbp27@biblioteka.wroc.pl</t>
  </si>
  <si>
    <t>dsurman@op.pl</t>
  </si>
  <si>
    <t>mbp32@biblioteka.wroc.pl</t>
  </si>
  <si>
    <t>mbp42@biblioteka.wroc.pl</t>
  </si>
  <si>
    <t>mbp44@biblioteka.wroc.pl</t>
  </si>
  <si>
    <t>mbp46@biblioteka.wroc.pl</t>
  </si>
  <si>
    <t>mbp47@biblioteka.wroc.pl</t>
  </si>
  <si>
    <t>mbp57@biblioteka.wroc.pl</t>
  </si>
  <si>
    <t>krzymek@poczta.onet.pl</t>
  </si>
  <si>
    <t>dkk.zgorzelec@gmail.pl</t>
  </si>
  <si>
    <t>mbpb.klim@gmail.com</t>
  </si>
  <si>
    <t>biblioteka@um.zarow.pl</t>
  </si>
  <si>
    <t>bpzerniki@kultura-siechnice.pl</t>
  </si>
  <si>
    <t>bibliotekababimost@wp.pl</t>
  </si>
  <si>
    <t>bibliotekabrody@wp.pl</t>
  </si>
  <si>
    <t>anetawinnicka@o2.pl</t>
  </si>
  <si>
    <t>biblioteka.bojadla@poczta.onet.pl</t>
  </si>
  <si>
    <t>danbibl@o2.pl</t>
  </si>
  <si>
    <t>biblioteka.brzeznica@op.pl</t>
  </si>
  <si>
    <t>bp-bytomodrzanski@o2.pl</t>
  </si>
  <si>
    <t>biblioteka.chotkow@poczta.onet.pl</t>
  </si>
  <si>
    <t>gbp@dabie.pl</t>
  </si>
  <si>
    <t>bp-dlugie@wp.pl</t>
  </si>
  <si>
    <t>gbpdzietrzychowice@wp.pl</t>
  </si>
  <si>
    <t>biblioteka@gozdnica.pl</t>
  </si>
  <si>
    <t>bibliotekagrabik@o2.pl</t>
  </si>
  <si>
    <t>czytelniambpgubin@interia.pl</t>
  </si>
  <si>
    <t>justyna.sierko@wp.pl</t>
  </si>
  <si>
    <t>biblioteka.ilowa@gmail.com</t>
  </si>
  <si>
    <t>fbjabloniec@gmail.com</t>
  </si>
  <si>
    <t>gbpkargowa@wp.pl</t>
  </si>
  <si>
    <t>klenica_bibliofil@op.pl</t>
  </si>
  <si>
    <t>bibliotekakrzepielow@wp.pl</t>
  </si>
  <si>
    <t>biblioteka.leszno@neostrada.pl</t>
  </si>
  <si>
    <t>gbplipinkiluzyckie@o2.pl</t>
  </si>
  <si>
    <t>biblioteka.lipiny@gmail.com</t>
  </si>
  <si>
    <t>gbplubanice@o2.pl</t>
  </si>
  <si>
    <t>krystyna510@poczta.onet.pl</t>
  </si>
  <si>
    <t>biblioteka.mirostowicedolne@wp.pl</t>
  </si>
  <si>
    <t>wagawoja@tlen.pl, biblioteka_ns_dzieci@tlen.pl</t>
  </si>
  <si>
    <t>filianowekramsko@wp.pl</t>
  </si>
  <si>
    <t>zosia.rogasik@wp.pl</t>
  </si>
  <si>
    <t>barbaraszalega@wp.pl</t>
  </si>
  <si>
    <t>biblioteka@otyn.pl</t>
  </si>
  <si>
    <t>biblioteka@gminazg.pl</t>
  </si>
  <si>
    <t>bibl.siecieborzyce@wp.pl</t>
  </si>
  <si>
    <t>bpsiedlisko@o2.pl</t>
  </si>
  <si>
    <t>gbp.sieniawa.zarska@gmail.com</t>
  </si>
  <si>
    <t>slonebiblioteka@wp.pl</t>
  </si>
  <si>
    <t>biblioteka-starestracze@wp.pl</t>
  </si>
  <si>
    <t>biblioteka_pub_gm_sul@o2.pl</t>
  </si>
  <si>
    <t>biblioteka.swidnica@wp.pl</t>
  </si>
  <si>
    <t>wypozyczalnia@bp.swiebodzin.pl</t>
  </si>
  <si>
    <t>biblioteka@szlichtyngowa.pl</t>
  </si>
  <si>
    <t>gbptrzebiechow@wp.pl</t>
  </si>
  <si>
    <t>biblioteka@trzebiel.pl</t>
  </si>
  <si>
    <t>aniawaw123@o2.pl</t>
  </si>
  <si>
    <t>bwypwschowa@gmail.com, bibliotekawschowa@poczta.onet.pl</t>
  </si>
  <si>
    <t>biblioteka@gimnazabor.pl</t>
  </si>
  <si>
    <t>wypozyczalnia@wimbp.zgora.pl</t>
  </si>
  <si>
    <t>b.obcojezyczna@wimbp.zgora.pl</t>
  </si>
  <si>
    <t>biblioteka.pana.kleksa@biblioteka.zgora.pl</t>
  </si>
  <si>
    <t>filia1@biblioteka.zgora.pl</t>
  </si>
  <si>
    <t>filia2@libris.wimbp.zgora.pl</t>
  </si>
  <si>
    <t>filia4@biblioteka.zgora.pl</t>
  </si>
  <si>
    <t>filia5@biblioteka.zgora.pl</t>
  </si>
  <si>
    <t>filia8@wimbp.zgora.pl</t>
  </si>
  <si>
    <t>f9@wimbp.zgora.pl</t>
  </si>
  <si>
    <t>filia11@biblioteka.zgora.pl</t>
  </si>
  <si>
    <t>filia12@biblioteka.zgora.pl</t>
  </si>
  <si>
    <t>szklanapulapka@biblioteka.zgora.pl</t>
  </si>
  <si>
    <t>goramediow@biblioteka.zgora.pl</t>
  </si>
  <si>
    <t>zlotnikgbp738@gmail.com</t>
  </si>
  <si>
    <t>biblioteka.zagan@mbpzagan.pl</t>
  </si>
  <si>
    <t>mbpzary@wp.pl</t>
  </si>
  <si>
    <t xml:space="preserve">DKK dla dzieci </t>
  </si>
  <si>
    <t>DKK spotyka się w Poleskim Ośrodku Sztukiul. Wileńska 37</t>
  </si>
  <si>
    <t xml:space="preserve">Książnica Beskidzka – Filia </t>
  </si>
  <si>
    <t>Os. Słoneczneul. M. Reja 18</t>
  </si>
  <si>
    <t>43-300 Bielsko-Biała</t>
  </si>
  <si>
    <t>Książnica Beskidzka – Filia Stare Bielsko</t>
  </si>
  <si>
    <t>ul. Sobieskiego 130</t>
  </si>
  <si>
    <t xml:space="preserve">Uniwersytet Trzeciego Wieku w Gorzowie Wlkp. </t>
  </si>
  <si>
    <t xml:space="preserve">ul. Jagiełły 15 </t>
  </si>
  <si>
    <t>Krystyna Kamińska</t>
  </si>
  <si>
    <t>kaminska.utw@wp.pl</t>
  </si>
  <si>
    <t xml:space="preserve">ToruńCentrum Kultury Dwór Artusa </t>
  </si>
  <si>
    <t xml:space="preserve">Rynek Staromiejski 6 </t>
  </si>
  <si>
    <t>56 655 49 29</t>
  </si>
  <si>
    <t>Łukasz Wudarski</t>
  </si>
  <si>
    <t>lukasz.wudarski[at]gmail.com</t>
  </si>
  <si>
    <t>PDF File</t>
  </si>
  <si>
    <t>Place</t>
  </si>
  <si>
    <t>phone</t>
  </si>
  <si>
    <t>moderate</t>
  </si>
  <si>
    <t>DKK_n1</t>
  </si>
  <si>
    <t>DKK_n2</t>
  </si>
  <si>
    <t>DKK_n3</t>
  </si>
  <si>
    <t>LibName</t>
  </si>
  <si>
    <t>Książnica Podlaska w Białymstoku – Filia biblioteczna nr 3</t>
  </si>
  <si>
    <t>Książnica Podlaska w Białymstoku – Filia biblioteczna nr 4</t>
  </si>
  <si>
    <t>Książnica Podlaska w Białymstoku – Filia biblioteczna nr 7</t>
  </si>
  <si>
    <t>Książnica Podlaska w Białymstoku – Filia biblioteczna nr 8</t>
  </si>
  <si>
    <t>Książnica Podlaska w Białymstoku – Filia biblioteczna nr 9</t>
  </si>
  <si>
    <t>Książnica Podlaska w Białymstoku – Filia biblioteczna nr 12</t>
  </si>
  <si>
    <t>Książnica Podlaska w Białymstoku – Filia biblioteczna nr 13</t>
  </si>
  <si>
    <t>Książnica Podlaska w Białymstoku – Filia biblioteczna nr 15</t>
  </si>
  <si>
    <t>Książnica Podlaska w Białymstoku – Filia biblioteczna nr 17</t>
  </si>
  <si>
    <t>Książnica Podlaska w Białymstoku – Dział Zbiorów Specjalnych</t>
  </si>
  <si>
    <t>Książnica Podlaska w Białymstoku – Filia biblioteczna nr 2</t>
  </si>
  <si>
    <t>pl. Wójcika 1</t>
  </si>
  <si>
    <t>Pl. Jana III Sobieskiego 3</t>
  </si>
  <si>
    <t>Miejska Biblioteka Publiczna, Zespół Szkół nr 8</t>
  </si>
  <si>
    <t>Pl. Skrzeka i Wójcika 4</t>
  </si>
  <si>
    <t>Os. Pawlikowskiego PU13</t>
  </si>
  <si>
    <t>Os. Sikorskiego 52</t>
  </si>
  <si>
    <t xml:space="preserve">Gminna Biblioteka Publiczna w Michałowie – Filia Biblioteczna w Górach Pińczowskich </t>
  </si>
  <si>
    <t>Góry k. Pińczowa</t>
  </si>
  <si>
    <t>Gminna Biblioteka Publiczna w Starych Kobiałkach</t>
  </si>
  <si>
    <t>Stare Kobiałki 44</t>
  </si>
  <si>
    <t xml:space="preserve">Miejska Biblioteka Publiczna w Konstantynowie Łódzkim </t>
  </si>
  <si>
    <t>pl. Kościuszki 10</t>
  </si>
  <si>
    <t>Miejska Biblioteka Publiczna w Konstantynowie Łódzkim – Filia nr 1</t>
  </si>
  <si>
    <t xml:space="preserve">Gminna Biblioteka Publiczna w Strzelcach Wielkich </t>
  </si>
  <si>
    <t>Częstochowska 7</t>
  </si>
  <si>
    <t xml:space="preserve">Sątopy-Samulewo Biblioteka Publiczna w Bisztynku – Filia Sątopy-Samulewo </t>
  </si>
  <si>
    <t>Sątopy-Samulewo 48</t>
  </si>
  <si>
    <t>Dobrzyń</t>
  </si>
  <si>
    <t>Gminny Ośrodek Kultury w Lubszy</t>
  </si>
  <si>
    <t>Wojewódzka Biblioteka Publiczna – Biblioteka Austriacka</t>
  </si>
  <si>
    <t>pl. Piłsudskiego 5</t>
  </si>
  <si>
    <t>Miejska Biblioteka Publiczna w Opolu – Oddział Dziecięcy</t>
  </si>
  <si>
    <t>pl. M. Kopernika 10</t>
  </si>
  <si>
    <t>Gminny Ośrodek Kultury i Sportu w Olszance z siedzibą w Krzyżowicach</t>
  </si>
  <si>
    <t>Pogorzela 35</t>
  </si>
  <si>
    <t>Miejska i Gminna Biblioteka Publiczna w Strzelcach Opolskich – Filia nr 1</t>
  </si>
  <si>
    <t>Osiedle Piastów Śląskich 24</t>
  </si>
  <si>
    <t>Centrum Kultury Miejska Biblioteka Publiczna w Chojnie</t>
  </si>
  <si>
    <t>pl. Konstytucji 3-go Maja</t>
  </si>
  <si>
    <t>Miejska Biblioteka Publiczna w Nowogardzie – Filia w Dąbrowie</t>
  </si>
  <si>
    <t>Dąbrowa 73</t>
  </si>
  <si>
    <t xml:space="preserve">Ciechocin Gminna Biblioteka Publiczna w Ciechocinie z siedzibą w Elgiszewie </t>
  </si>
  <si>
    <t>Elgiszewo 115</t>
  </si>
  <si>
    <t xml:space="preserve">Fabianki Gminna Biblioteka Publiczna w Fabiankach </t>
  </si>
  <si>
    <t>Fabianki 3</t>
  </si>
  <si>
    <t xml:space="preserve">Gruta Gminna Biblioteka Publiczna w Grucie </t>
  </si>
  <si>
    <t>Gruta 69</t>
  </si>
  <si>
    <t xml:space="preserve">Nowogród Gminna Biblioteka Publiczna w Nowogrodzie </t>
  </si>
  <si>
    <t>Nowogród 32</t>
  </si>
  <si>
    <t xml:space="preserve">Płużnica Gminna Biblioteka Publiczna </t>
  </si>
  <si>
    <t>Płużnica 37A</t>
  </si>
  <si>
    <t>Gminna Biblioteka Publiczna w Pływaczewie</t>
  </si>
  <si>
    <t>Pływaczewo 9a</t>
  </si>
  <si>
    <t xml:space="preserve">Szabda Gminna Biblioteka Publiczna w Szczuce – Filia w Szabdzie </t>
  </si>
  <si>
    <t>Szabda 63</t>
  </si>
  <si>
    <t xml:space="preserve">Szczuka Gminna Biblioteka Publiczna w Szczuce </t>
  </si>
  <si>
    <t>Szczuka 34</t>
  </si>
  <si>
    <t>Miejsko-Gminna Biblioteka Publiczna w Zwoleniu – Filia w Jasieńcu Soleckim</t>
  </si>
  <si>
    <t>Jasieniec – Kolonia 175</t>
  </si>
  <si>
    <t xml:space="preserve">Boguszów-Gorce Miejska Biblioteka Publiczna </t>
  </si>
  <si>
    <t xml:space="preserve">pl. Odrodzenia 4 </t>
  </si>
  <si>
    <t>58-370 Boguszów-Gorce</t>
  </si>
  <si>
    <t xml:space="preserve">Gminna Biblioteka Publiczna w Bystrzycy – Filia w Osieku </t>
  </si>
  <si>
    <t>Osiek 124</t>
  </si>
  <si>
    <t xml:space="preserve">Pielgrzymka Gminna Biblioteka Publiczna </t>
  </si>
  <si>
    <t>Pielgrzymka 109</t>
  </si>
  <si>
    <t xml:space="preserve">Wilków Wielki Miejska i Gminna Biblioteka Publiczna w Niemczy – Filia w Wilkowie Wielkim </t>
  </si>
  <si>
    <t>Wilków Wielki 54</t>
  </si>
  <si>
    <t xml:space="preserve">Wojciechów Gminna Biblioteka Publiczna w Lubomierzu – Filia w Wojciechowie </t>
  </si>
  <si>
    <t>Wojciechów 34</t>
  </si>
  <si>
    <t xml:space="preserve">Miejska Biblioteka Publiczna – Filia nr 23 </t>
  </si>
  <si>
    <t>Bulwar Ikara 29-31</t>
  </si>
  <si>
    <t xml:space="preserve">Gminna Biblioteka Publiczna Gminy Żary z/s w Bieniowie – Filia w Sieniawie Żarskiej </t>
  </si>
  <si>
    <t>Sienawa Żarska 40</t>
  </si>
  <si>
    <t xml:space="preserve">WiMBP w Zielonej Górze – Filia nr 2, Biblioteka Słonia Elmera </t>
  </si>
  <si>
    <t>os. Pomorskie 13</t>
  </si>
  <si>
    <t>wypozyczalnia@biblioteka-naklo.pl</t>
  </si>
  <si>
    <t>filia.potulice@biblioteka-naklo.pl</t>
  </si>
  <si>
    <t>filia.paterek@biblioteka-naklo.pl</t>
  </si>
  <si>
    <t>filia.slesin@biblioteka-naklo.pl</t>
  </si>
  <si>
    <t>filia.trzeciewnica@biblioteka-naklo.pl</t>
  </si>
  <si>
    <t>problem z wysyłką</t>
  </si>
  <si>
    <t>bp.zagorow@gmail.com - zmiana adresu</t>
  </si>
  <si>
    <t>wypozyczalnia@biblioteka-zagorow.pl</t>
  </si>
  <si>
    <t>biblioteka@kruszwica.um.gov.pl</t>
  </si>
  <si>
    <t xml:space="preserve">beata_snarska@wbpg.org.pl </t>
  </si>
  <si>
    <t>orzelek@autograf.pl</t>
  </si>
  <si>
    <t xml:space="preserve">biblioteka@epelplin.pl </t>
  </si>
  <si>
    <t>powiatowabpw@pbpw.pl</t>
  </si>
  <si>
    <t>filia4@kbp.krosno.pl</t>
  </si>
  <si>
    <t>pierwszy adres nie działa</t>
  </si>
  <si>
    <t>biblioteka.papowobis@wp.pl</t>
  </si>
  <si>
    <t>m.ospalski@ksiaznica.torun.pl</t>
  </si>
  <si>
    <t>halinaj61@wp.pl</t>
  </si>
  <si>
    <t>filia4@mbp.jaroslaw.pl</t>
  </si>
  <si>
    <t>e.sobieraj@biblioteka.ozarow-mazowiecki.pl, bibliotekaozarow@gmial.pl</t>
  </si>
  <si>
    <t>w.dor@otwock.e-bp.pl,wdor@bibliotekaotwock.pl</t>
  </si>
  <si>
    <t>iwona.robakowska@mbpprzasnysz.pl</t>
  </si>
  <si>
    <t>wypozyczalnia.doroslych@biblioteka.wolomin.pl</t>
  </si>
  <si>
    <t>zastepca@biblioteka.klodzko.pl</t>
  </si>
  <si>
    <t>bibliotekadlugoleka@gmail.com</t>
  </si>
  <si>
    <t>kierownikbp@grebocickie.pl</t>
  </si>
  <si>
    <t>bcm@mb.plublin.pl</t>
  </si>
  <si>
    <t xml:space="preserve"> biblotekabrzezno@wbpg.org.pl</t>
  </si>
  <si>
    <t>bibliotekakolonia@wbpg.org.pl</t>
  </si>
  <si>
    <t>bibliotekamorenowa@wbpg.org.pl</t>
  </si>
  <si>
    <t>bibliotekasuchanino@wbpg.org.pl</t>
  </si>
  <si>
    <t>bibliotekanastogach@wbpg.org.pl</t>
  </si>
  <si>
    <t>biblioteka@pleszew.pl</t>
  </si>
  <si>
    <t>pierwszy nie działa</t>
  </si>
  <si>
    <t>checiny@neostrada.pl, barwos@o2.pl</t>
  </si>
  <si>
    <t>ljozwiak@wbp.lublin.pl</t>
  </si>
  <si>
    <t>biblioteka@klonowa.pl</t>
  </si>
  <si>
    <t>zamknięta</t>
  </si>
  <si>
    <t>gbp.jedwabno@op.pl</t>
  </si>
  <si>
    <t>Jakub Sobieralski</t>
  </si>
  <si>
    <t>info@gokip.stronyzklasa.pl</t>
  </si>
  <si>
    <t>Anna Janus</t>
  </si>
  <si>
    <t>mbpszprotawa3@wp.pl</t>
  </si>
  <si>
    <t>biblioteka_osiecznica@onet.pl</t>
  </si>
  <si>
    <t>biblioteka.lagow@op.pl</t>
  </si>
  <si>
    <t>biblioteka.starysacz@gmail.com</t>
  </si>
  <si>
    <t>mariakretbiblioteka@wp.pl</t>
  </si>
  <si>
    <t>71 33 52 234</t>
  </si>
  <si>
    <t>Magdalena Zagórska</t>
  </si>
  <si>
    <t>71 715 16 28</t>
  </si>
  <si>
    <t>Ślężański Ośrodek Kultury</t>
  </si>
  <si>
    <t>delag@rcks.pl</t>
  </si>
  <si>
    <t>a.zielinska@bibliotekaolesnica.pl</t>
  </si>
  <si>
    <t>k.szumejlo@bibliotekaolesnica.pl</t>
  </si>
  <si>
    <t xml:space="preserve">56-513 Międzybórz </t>
  </si>
  <si>
    <t xml:space="preserve"> 62 785 63 78</t>
  </si>
  <si>
    <t>533 351 408</t>
  </si>
  <si>
    <t>533 351 405</t>
  </si>
  <si>
    <t>bpswkatarzyna@kultura-siechnice.pl</t>
  </si>
  <si>
    <t>zamknieta</t>
  </si>
  <si>
    <t>?</t>
  </si>
  <si>
    <t xml:space="preserve">gbp-radgoszcz1@wp.pl </t>
  </si>
  <si>
    <t>marzena.laniak@mbppiaski.pl</t>
  </si>
  <si>
    <t>bibliotekapubliczna.jasien@gmail.com</t>
  </si>
  <si>
    <t>wbp@wbp.wroc.pl</t>
  </si>
  <si>
    <t>Dorosli</t>
  </si>
  <si>
    <t>dzieci</t>
  </si>
  <si>
    <t>mlodziez</t>
  </si>
  <si>
    <t>Tematyczny</t>
  </si>
  <si>
    <t>tak</t>
  </si>
  <si>
    <t>fantastyka</t>
  </si>
  <si>
    <t>komiks</t>
  </si>
  <si>
    <t>kontorenaty@wp.p</t>
  </si>
  <si>
    <t>lklub dla dorosłych</t>
  </si>
  <si>
    <t>Fantastyka</t>
  </si>
  <si>
    <t xml:space="preserve"> gok0@gazeta.pl, mariakaczmarska@gazeta.pl</t>
  </si>
  <si>
    <t>inne</t>
  </si>
  <si>
    <t>Bielawa</t>
  </si>
  <si>
    <t xml:space="preserve">ul. Piastowska 19c </t>
  </si>
  <si>
    <t xml:space="preserve">58-260 Bielawa </t>
  </si>
  <si>
    <t xml:space="preserve">74 645 09 63 (wew. 24) </t>
  </si>
  <si>
    <t xml:space="preserve">Izabela Fiedler </t>
  </si>
  <si>
    <t xml:space="preserve">bielawa.czytelnia@gmail.com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</si>
</sst>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rgb="FF000000"/>
      <name val="Segoe UI"/>
      <family val="2"/>
      <charset val="238"/>
    </font>
    <font>
      <sz val="11"/>
      <name val="Segoe UI Historic"/>
      <family val="2"/>
    </font>
    <font>
      <u/>
      <sz val="11"/>
      <name val="Inherit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1" fillId="0" borderId="0" xfId="1" applyAlignment="1">
      <alignment vertical="center" wrapText="1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0" borderId="0" xfId="1" applyAlignment="1">
      <alignment horizontal="center" wrapText="1"/>
    </xf>
    <xf numFmtId="0" fontId="1" fillId="0" borderId="0" xfId="1" applyAlignment="1">
      <alignment wrapText="1"/>
    </xf>
    <xf numFmtId="0" fontId="3" fillId="0" borderId="0" xfId="0" applyFont="1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1" fillId="0" borderId="0" xfId="1"/>
    <xf numFmtId="0" fontId="0" fillId="0" borderId="0" xfId="0" applyFill="1"/>
    <xf numFmtId="3" fontId="0" fillId="0" borderId="0" xfId="0" applyNumberFormat="1"/>
    <xf numFmtId="3" fontId="0" fillId="0" borderId="0" xfId="0" quotePrefix="1" applyNumberFormat="1"/>
    <xf numFmtId="0" fontId="0" fillId="0" borderId="0" xfId="0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biblioteka.turek/" TargetMode="External"/><Relationship Id="rId13" Type="http://schemas.openxmlformats.org/officeDocument/2006/relationships/hyperlink" Target="https://www.facebook.com/bpochota/" TargetMode="External"/><Relationship Id="rId18" Type="http://schemas.openxmlformats.org/officeDocument/2006/relationships/hyperlink" Target="https://www.facebook.com/BibliotekaGdynia" TargetMode="External"/><Relationship Id="rId26" Type="http://schemas.openxmlformats.org/officeDocument/2006/relationships/hyperlink" Target="https://www.facebook.com/wbplublin/" TargetMode="External"/><Relationship Id="rId39" Type="http://schemas.openxmlformats.org/officeDocument/2006/relationships/hyperlink" Target="https://www.facebook.com/mbpdg/" TargetMode="External"/><Relationship Id="rId3" Type="http://schemas.openxmlformats.org/officeDocument/2006/relationships/hyperlink" Target="https://www.facebook.com/biblioteka.piaseczno/" TargetMode="External"/><Relationship Id="rId21" Type="http://schemas.openxmlformats.org/officeDocument/2006/relationships/hyperlink" Target="https://www.facebook.com/Biblioteka-Publiczna-Gminy-K%C5%82obuck-im-Jana-D%C5%82ugosza-625687560919937/" TargetMode="External"/><Relationship Id="rId34" Type="http://schemas.openxmlformats.org/officeDocument/2006/relationships/hyperlink" Target="https://www.facebook.com/Miejska-Biblioteka-Publiczna-w-Czechowicach-Dziedzicach-267555839938163/" TargetMode="External"/><Relationship Id="rId42" Type="http://schemas.openxmlformats.org/officeDocument/2006/relationships/hyperlink" Target="https://www.facebook.com/bibliotekapiekary/" TargetMode="External"/><Relationship Id="rId7" Type="http://schemas.openxmlformats.org/officeDocument/2006/relationships/hyperlink" Target="https://www.facebook.com/MiejskaBibliotekaPublicznaWSzczecinie/" TargetMode="External"/><Relationship Id="rId12" Type="http://schemas.openxmlformats.org/officeDocument/2006/relationships/hyperlink" Target="https://www.facebook.com/mbp.konin/" TargetMode="External"/><Relationship Id="rId17" Type="http://schemas.openxmlformats.org/officeDocument/2006/relationships/hyperlink" Target="https://www.facebook.com/Miejska.Biblioteka.Publiczna.we.Wroclawiu" TargetMode="External"/><Relationship Id="rId25" Type="http://schemas.openxmlformats.org/officeDocument/2006/relationships/hyperlink" Target="https://www.facebook.com/bibliotekajastrzebie/" TargetMode="External"/><Relationship Id="rId33" Type="http://schemas.openxmlformats.org/officeDocument/2006/relationships/hyperlink" Target="https://www.facebook.com/mbp.oswiecim/" TargetMode="External"/><Relationship Id="rId38" Type="http://schemas.openxmlformats.org/officeDocument/2006/relationships/hyperlink" Target="https://www.facebook.com/MBPwCzeladzi/" TargetMode="External"/><Relationship Id="rId2" Type="http://schemas.openxmlformats.org/officeDocument/2006/relationships/hyperlink" Target="https://www.facebook.com/filianr18MBP/" TargetMode="External"/><Relationship Id="rId16" Type="http://schemas.openxmlformats.org/officeDocument/2006/relationships/hyperlink" Target="https://www.facebook.com/bibliotekapublicznawozarowiemazowieckim/" TargetMode="External"/><Relationship Id="rId20" Type="http://schemas.openxmlformats.org/officeDocument/2006/relationships/hyperlink" Target="mailto:biblioteka.klobuck@interia.pl%20-%20wys&#322;&#261;no%20mail" TargetMode="External"/><Relationship Id="rId29" Type="http://schemas.openxmlformats.org/officeDocument/2006/relationships/hyperlink" Target="https://www.facebook.com/Miejska-Biblioteka-Publiczna-im-Marii-D%C4%85browskiej-w-Ostrowi-Mazowieckiej-223777197690056/" TargetMode="External"/><Relationship Id="rId41" Type="http://schemas.openxmlformats.org/officeDocument/2006/relationships/hyperlink" Target="https://www.facebook.com/mbpswietochlowice/" TargetMode="External"/><Relationship Id="rId1" Type="http://schemas.openxmlformats.org/officeDocument/2006/relationships/hyperlink" Target="https://www.facebook.com/mbp.krasnik/" TargetMode="External"/><Relationship Id="rId6" Type="http://schemas.openxmlformats.org/officeDocument/2006/relationships/hyperlink" Target="https://www.facebook.com/bibliotekaczterechkultur/" TargetMode="External"/><Relationship Id="rId11" Type="http://schemas.openxmlformats.org/officeDocument/2006/relationships/hyperlink" Target="https://www.facebook.com/fajnabiblioteka/" TargetMode="External"/><Relationship Id="rId24" Type="http://schemas.openxmlformats.org/officeDocument/2006/relationships/hyperlink" Target="https://www.facebook.com/Miejska-i-Powiatowa-Biblioteka-Publiczna-w-B%C4%99dzinie-im-Stefana-%C5%BBeromskiego-124005290972034/" TargetMode="External"/><Relationship Id="rId32" Type="http://schemas.openxmlformats.org/officeDocument/2006/relationships/hyperlink" Target="https://www.facebook.com/bmijk.inowroclaw/" TargetMode="External"/><Relationship Id="rId37" Type="http://schemas.openxmlformats.org/officeDocument/2006/relationships/hyperlink" Target="https://www.facebook.com/bibliotekamiejskacieszyn/" TargetMode="External"/><Relationship Id="rId40" Type="http://schemas.openxmlformats.org/officeDocument/2006/relationships/hyperlink" Target="https://www.facebook.com/mbprsl/" TargetMode="External"/><Relationship Id="rId5" Type="http://schemas.openxmlformats.org/officeDocument/2006/relationships/hyperlink" Target="https://www.facebook.com/MBPZlotoryja/" TargetMode="External"/><Relationship Id="rId15" Type="http://schemas.openxmlformats.org/officeDocument/2006/relationships/hyperlink" Target="https://www.facebook.com/Gminna-Biblioteka-Publiczna-w-Czernicach-Borowych-410660082356989/" TargetMode="External"/><Relationship Id="rId23" Type="http://schemas.openxmlformats.org/officeDocument/2006/relationships/hyperlink" Target="https://www.facebook.com/GBP.Kety/" TargetMode="External"/><Relationship Id="rId28" Type="http://schemas.openxmlformats.org/officeDocument/2006/relationships/hyperlink" Target="mailto:biblzd@poczta.onet.pl%20-%20wys&#322;a&#322;em%20mail" TargetMode="External"/><Relationship Id="rId36" Type="http://schemas.openxmlformats.org/officeDocument/2006/relationships/hyperlink" Target="https://www.facebook.com/MBPGliwice/" TargetMode="External"/><Relationship Id="rId10" Type="http://schemas.openxmlformats.org/officeDocument/2006/relationships/hyperlink" Target="https://www.facebook.com/MultimedialnaFiliaBiblioteczna" TargetMode="External"/><Relationship Id="rId19" Type="http://schemas.openxmlformats.org/officeDocument/2006/relationships/hyperlink" Target="https://www.facebook.com/MBPKatowiceFilia12" TargetMode="External"/><Relationship Id="rId31" Type="http://schemas.openxmlformats.org/officeDocument/2006/relationships/hyperlink" Target="mailto:biblioteka@krotoszyn.pl%20-%20wys&#322;&#261;no%20mail" TargetMode="External"/><Relationship Id="rId4" Type="http://schemas.openxmlformats.org/officeDocument/2006/relationships/hyperlink" Target="https://www.facebook.com/gbpwyry/" TargetMode="External"/><Relationship Id="rId9" Type="http://schemas.openxmlformats.org/officeDocument/2006/relationships/hyperlink" Target="https://www.facebook.com/bibliotekaborow/" TargetMode="External"/><Relationship Id="rId14" Type="http://schemas.openxmlformats.org/officeDocument/2006/relationships/hyperlink" Target="https://www.facebook.com/Wojew%C3%B3dzka-Biblioteka-Publiczna-im-Marsza%C5%82ka-J%C3%B3zefa-Pi%C5%82sudskiego-w-%C5%81odzi-222287637949745" TargetMode="External"/><Relationship Id="rId22" Type="http://schemas.openxmlformats.org/officeDocument/2006/relationships/hyperlink" Target="https://www.facebook.com/bibliotekaczestochowa/" TargetMode="External"/><Relationship Id="rId27" Type="http://schemas.openxmlformats.org/officeDocument/2006/relationships/hyperlink" Target="https://www.facebook.com/bibliotekazdwola/" TargetMode="External"/><Relationship Id="rId30" Type="http://schemas.openxmlformats.org/officeDocument/2006/relationships/hyperlink" Target="https://www.facebook.com/KBPKrotoszyn/" TargetMode="External"/><Relationship Id="rId35" Type="http://schemas.openxmlformats.org/officeDocument/2006/relationships/hyperlink" Target="https://www.facebook.com/BibliotekaMiejskaGrudziadz/" TargetMode="External"/><Relationship Id="rId43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wypozyczalnia@biblioteka-zagorow.pl" TargetMode="External"/><Relationship Id="rId18" Type="http://schemas.openxmlformats.org/officeDocument/2006/relationships/hyperlink" Target="mailto:biblioteka@otmuchow.pl" TargetMode="External"/><Relationship Id="rId26" Type="http://schemas.openxmlformats.org/officeDocument/2006/relationships/hyperlink" Target="mailto:halinaj61@wp.pl" TargetMode="External"/><Relationship Id="rId39" Type="http://schemas.openxmlformats.org/officeDocument/2006/relationships/hyperlink" Target="mailto:bibliotekanastogach@wbpg.org.pl" TargetMode="External"/><Relationship Id="rId21" Type="http://schemas.openxmlformats.org/officeDocument/2006/relationships/hyperlink" Target="mailto:filia4@kbp.krosno.pl" TargetMode="External"/><Relationship Id="rId34" Type="http://schemas.openxmlformats.org/officeDocument/2006/relationships/hyperlink" Target="mailto:kierownikbp@grebocickie.pl" TargetMode="External"/><Relationship Id="rId42" Type="http://schemas.openxmlformats.org/officeDocument/2006/relationships/hyperlink" Target="mailto:ljozwiak@wbp.lublin.pl" TargetMode="External"/><Relationship Id="rId47" Type="http://schemas.openxmlformats.org/officeDocument/2006/relationships/hyperlink" Target="mailto:mbpszprotawa3@wp.pl" TargetMode="External"/><Relationship Id="rId50" Type="http://schemas.openxmlformats.org/officeDocument/2006/relationships/hyperlink" Target="mailto:mariakretbiblioteka@wp.pl" TargetMode="External"/><Relationship Id="rId55" Type="http://schemas.openxmlformats.org/officeDocument/2006/relationships/hyperlink" Target="mailto:k.szumejlo@bibliotekaolesnica.pl" TargetMode="External"/><Relationship Id="rId7" Type="http://schemas.openxmlformats.org/officeDocument/2006/relationships/hyperlink" Target="mailto:filia.paterek@biblioteka-naklo.pl" TargetMode="External"/><Relationship Id="rId2" Type="http://schemas.openxmlformats.org/officeDocument/2006/relationships/hyperlink" Target="mailto:starebielsko@ksiaznica.bielsko.pl" TargetMode="External"/><Relationship Id="rId16" Type="http://schemas.openxmlformats.org/officeDocument/2006/relationships/hyperlink" Target="mailto:orzelek@autograf.pl" TargetMode="External"/><Relationship Id="rId20" Type="http://schemas.openxmlformats.org/officeDocument/2006/relationships/hyperlink" Target="mailto:powiatowabpw@pbpw.pl" TargetMode="External"/><Relationship Id="rId29" Type="http://schemas.openxmlformats.org/officeDocument/2006/relationships/hyperlink" Target="mailto:iwona.robakowska@mbpprzasnysz.pl" TargetMode="External"/><Relationship Id="rId41" Type="http://schemas.openxmlformats.org/officeDocument/2006/relationships/hyperlink" Target="mailto:biblioteka@pleszew.pl" TargetMode="External"/><Relationship Id="rId54" Type="http://schemas.openxmlformats.org/officeDocument/2006/relationships/hyperlink" Target="mailto:a.zielinska@bibliotekaolesnica.pl" TargetMode="External"/><Relationship Id="rId62" Type="http://schemas.openxmlformats.org/officeDocument/2006/relationships/printerSettings" Target="../printerSettings/printerSettings2.bin"/><Relationship Id="rId1" Type="http://schemas.openxmlformats.org/officeDocument/2006/relationships/hyperlink" Target="mailto:filia_31@biblioteka.lodz.pl" TargetMode="External"/><Relationship Id="rId6" Type="http://schemas.openxmlformats.org/officeDocument/2006/relationships/hyperlink" Target="mailto:filia.potulice@biblioteka-naklo.pl" TargetMode="External"/><Relationship Id="rId11" Type="http://schemas.openxmlformats.org/officeDocument/2006/relationships/hyperlink" Target="mailto:biblioteka@kruszwica.um.gov.pl" TargetMode="External"/><Relationship Id="rId24" Type="http://schemas.openxmlformats.org/officeDocument/2006/relationships/hyperlink" Target="mailto:m.ospalski@ksiaznica.torun.pl" TargetMode="External"/><Relationship Id="rId32" Type="http://schemas.openxmlformats.org/officeDocument/2006/relationships/hyperlink" Target="mailto:bibliotekadlugoleka@gmail.com" TargetMode="External"/><Relationship Id="rId37" Type="http://schemas.openxmlformats.org/officeDocument/2006/relationships/hyperlink" Target="mailto:bibliotekamorenowa@wbpg.org.pl" TargetMode="External"/><Relationship Id="rId40" Type="http://schemas.openxmlformats.org/officeDocument/2006/relationships/hyperlink" Target="mailto:biblioteka.starysacz@gmail.com" TargetMode="External"/><Relationship Id="rId45" Type="http://schemas.openxmlformats.org/officeDocument/2006/relationships/hyperlink" Target="mailto:gbp.jedwabno@op.pl" TargetMode="External"/><Relationship Id="rId53" Type="http://schemas.openxmlformats.org/officeDocument/2006/relationships/hyperlink" Target="mailto:biblioteka.gminna.niechlow@wp.pl" TargetMode="External"/><Relationship Id="rId58" Type="http://schemas.openxmlformats.org/officeDocument/2006/relationships/hyperlink" Target="mailto:bibliotekapubliczna.jasien@gmail.com" TargetMode="External"/><Relationship Id="rId5" Type="http://schemas.openxmlformats.org/officeDocument/2006/relationships/hyperlink" Target="mailto:wypozyczalnia@biblioteka-naklo.pl" TargetMode="External"/><Relationship Id="rId15" Type="http://schemas.openxmlformats.org/officeDocument/2006/relationships/hyperlink" Target="mailto:bibliotekaskal@o2.pl" TargetMode="External"/><Relationship Id="rId23" Type="http://schemas.openxmlformats.org/officeDocument/2006/relationships/hyperlink" Target="mailto:biblioteka.papowobis@wp.pl" TargetMode="External"/><Relationship Id="rId28" Type="http://schemas.openxmlformats.org/officeDocument/2006/relationships/hyperlink" Target="mailto:w.dor@otwock.e-bp.pl,wdor@bibliotekaotwock.pl" TargetMode="External"/><Relationship Id="rId36" Type="http://schemas.openxmlformats.org/officeDocument/2006/relationships/hyperlink" Target="mailto:bibliotekakolonia@wbpg.org.pl" TargetMode="External"/><Relationship Id="rId49" Type="http://schemas.openxmlformats.org/officeDocument/2006/relationships/hyperlink" Target="mailto:biblioteka.lagow@op.pl" TargetMode="External"/><Relationship Id="rId57" Type="http://schemas.openxmlformats.org/officeDocument/2006/relationships/hyperlink" Target="mailto:marzena.laniak@mbppiaski.pl" TargetMode="External"/><Relationship Id="rId61" Type="http://schemas.openxmlformats.org/officeDocument/2006/relationships/hyperlink" Target="mailto:bielawa.czytelnia@gmail.com" TargetMode="External"/><Relationship Id="rId10" Type="http://schemas.openxmlformats.org/officeDocument/2006/relationships/hyperlink" Target="mailto:filia4@biblioteka-bochnia.pl" TargetMode="External"/><Relationship Id="rId19" Type="http://schemas.openxmlformats.org/officeDocument/2006/relationships/hyperlink" Target="mailto:biblioteka@epelplin.pl" TargetMode="External"/><Relationship Id="rId31" Type="http://schemas.openxmlformats.org/officeDocument/2006/relationships/hyperlink" Target="mailto:zastepca@biblioteka.klodzko.pl" TargetMode="External"/><Relationship Id="rId44" Type="http://schemas.openxmlformats.org/officeDocument/2006/relationships/hyperlink" Target="mailto:biblioteka@klonowa.pl" TargetMode="External"/><Relationship Id="rId52" Type="http://schemas.openxmlformats.org/officeDocument/2006/relationships/hyperlink" Target="mailto:delag@rcks.pl" TargetMode="External"/><Relationship Id="rId60" Type="http://schemas.openxmlformats.org/officeDocument/2006/relationships/hyperlink" Target="mailto:kontorenaty@wp.p" TargetMode="External"/><Relationship Id="rId4" Type="http://schemas.openxmlformats.org/officeDocument/2006/relationships/hyperlink" Target="mailto:sztutowo@bpsztutowo.pl" TargetMode="External"/><Relationship Id="rId9" Type="http://schemas.openxmlformats.org/officeDocument/2006/relationships/hyperlink" Target="mailto:filia.trzeciewnica@biblioteka-naklo.pl" TargetMode="External"/><Relationship Id="rId14" Type="http://schemas.openxmlformats.org/officeDocument/2006/relationships/hyperlink" Target="mailto:beata_snarska@wbpg.org.pl" TargetMode="External"/><Relationship Id="rId22" Type="http://schemas.openxmlformats.org/officeDocument/2006/relationships/hyperlink" Target="mailto:filia4@kbp.krosno.pl" TargetMode="External"/><Relationship Id="rId27" Type="http://schemas.openxmlformats.org/officeDocument/2006/relationships/hyperlink" Target="mailto:filia4@mbp.jaroslaw.pl" TargetMode="External"/><Relationship Id="rId30" Type="http://schemas.openxmlformats.org/officeDocument/2006/relationships/hyperlink" Target="mailto:wypozyczalnia.doroslych@biblioteka.wolomin.pl" TargetMode="External"/><Relationship Id="rId35" Type="http://schemas.openxmlformats.org/officeDocument/2006/relationships/hyperlink" Target="mailto:bcm@mb.plublin.pl" TargetMode="External"/><Relationship Id="rId43" Type="http://schemas.openxmlformats.org/officeDocument/2006/relationships/hyperlink" Target="mailto:bibliotekastojeszyn@vp.pl" TargetMode="External"/><Relationship Id="rId48" Type="http://schemas.openxmlformats.org/officeDocument/2006/relationships/hyperlink" Target="mailto:biblioteka_osiecznica@onet.pl" TargetMode="External"/><Relationship Id="rId56" Type="http://schemas.openxmlformats.org/officeDocument/2006/relationships/hyperlink" Target="mailto:gbp-radgoszcz1@wp.pl" TargetMode="External"/><Relationship Id="rId8" Type="http://schemas.openxmlformats.org/officeDocument/2006/relationships/hyperlink" Target="mailto:filia.slesin@biblioteka-naklo.pl" TargetMode="External"/><Relationship Id="rId51" Type="http://schemas.openxmlformats.org/officeDocument/2006/relationships/hyperlink" Target="mailto:bpswkatarzyna@kultura-siechnice.pl" TargetMode="External"/><Relationship Id="rId3" Type="http://schemas.openxmlformats.org/officeDocument/2006/relationships/hyperlink" Target="mailto:kaminska.utw@wp.pl" TargetMode="External"/><Relationship Id="rId12" Type="http://schemas.openxmlformats.org/officeDocument/2006/relationships/hyperlink" Target="mailto:bp.zagorow@gmail.com%20-%20zmiana%20adresu" TargetMode="External"/><Relationship Id="rId17" Type="http://schemas.openxmlformats.org/officeDocument/2006/relationships/hyperlink" Target="mailto:filia_16@wbpg.org.pl" TargetMode="External"/><Relationship Id="rId25" Type="http://schemas.openxmlformats.org/officeDocument/2006/relationships/hyperlink" Target="mailto:makk@op.pl" TargetMode="External"/><Relationship Id="rId33" Type="http://schemas.openxmlformats.org/officeDocument/2006/relationships/hyperlink" Target="mailto:bibliotekadlugoleka@gmail.com" TargetMode="External"/><Relationship Id="rId38" Type="http://schemas.openxmlformats.org/officeDocument/2006/relationships/hyperlink" Target="mailto:bibliotekasuchanino@wbpg.org.pl" TargetMode="External"/><Relationship Id="rId46" Type="http://schemas.openxmlformats.org/officeDocument/2006/relationships/hyperlink" Target="mailto:info@gokip.stronyzklasa.pl" TargetMode="External"/><Relationship Id="rId59" Type="http://schemas.openxmlformats.org/officeDocument/2006/relationships/hyperlink" Target="mailto:wbp@wbp.wroc.p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22542-E9E5-4B41-AEA4-90860FF5B095}">
  <sheetPr codeName="Arkusz1"/>
  <dimension ref="A1:E6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/>
  <cols>
    <col min="2" max="2" width="4.7109375" style="5" customWidth="1"/>
    <col min="3" max="3" width="90.42578125" style="5" customWidth="1"/>
    <col min="4" max="4" width="67.85546875" style="5" customWidth="1"/>
    <col min="5" max="5" width="58.7109375" style="7" bestFit="1" customWidth="1"/>
  </cols>
  <sheetData>
    <row r="1" spans="1:5">
      <c r="A1" s="2" t="s">
        <v>0</v>
      </c>
      <c r="B1" s="4"/>
      <c r="C1" s="4" t="s">
        <v>1</v>
      </c>
      <c r="D1" s="4" t="s">
        <v>28</v>
      </c>
      <c r="E1" s="6" t="s">
        <v>46</v>
      </c>
    </row>
    <row r="2" spans="1:5">
      <c r="A2">
        <v>1</v>
      </c>
      <c r="B2" s="3"/>
      <c r="C2" s="3" t="s">
        <v>2</v>
      </c>
      <c r="D2" s="1" t="s">
        <v>4</v>
      </c>
    </row>
    <row r="3" spans="1:5">
      <c r="A3">
        <v>2</v>
      </c>
      <c r="B3" s="8">
        <f>COUNTIF(C$2:C2,C3)</f>
        <v>0</v>
      </c>
      <c r="C3" s="3" t="s">
        <v>25</v>
      </c>
      <c r="D3" s="1" t="s">
        <v>3</v>
      </c>
      <c r="E3" s="7" t="s">
        <v>47</v>
      </c>
    </row>
    <row r="4" spans="1:5">
      <c r="A4">
        <v>3</v>
      </c>
      <c r="B4" s="8">
        <f>COUNTIF(C$2:C3,C4)</f>
        <v>0</v>
      </c>
      <c r="C4" s="3" t="s">
        <v>6</v>
      </c>
      <c r="D4" s="1" t="s">
        <v>5</v>
      </c>
    </row>
    <row r="5" spans="1:5">
      <c r="A5">
        <v>4</v>
      </c>
      <c r="B5" s="8">
        <f>COUNTIF(C$2:C4,C5)</f>
        <v>0</v>
      </c>
      <c r="C5" s="3" t="s">
        <v>8</v>
      </c>
      <c r="D5" s="1" t="s">
        <v>7</v>
      </c>
    </row>
    <row r="6" spans="1:5">
      <c r="A6">
        <v>5</v>
      </c>
      <c r="B6" s="8">
        <f>COUNTIF(C$2:C5,C6)</f>
        <v>0</v>
      </c>
      <c r="C6" s="3" t="s">
        <v>9</v>
      </c>
      <c r="D6" s="1" t="s">
        <v>10</v>
      </c>
    </row>
    <row r="7" spans="1:5">
      <c r="A7">
        <v>6</v>
      </c>
      <c r="B7" s="8">
        <f>COUNTIF(C$2:C6,C7)</f>
        <v>0</v>
      </c>
      <c r="C7" s="3" t="s">
        <v>12</v>
      </c>
      <c r="D7" s="1" t="s">
        <v>11</v>
      </c>
      <c r="E7" s="7" t="s">
        <v>45</v>
      </c>
    </row>
    <row r="8" spans="1:5">
      <c r="A8">
        <v>7</v>
      </c>
      <c r="B8" s="8">
        <f>COUNTIF(C$2:C7,C8)</f>
        <v>0</v>
      </c>
      <c r="C8" s="3" t="s">
        <v>14</v>
      </c>
      <c r="D8" s="1" t="s">
        <v>13</v>
      </c>
    </row>
    <row r="9" spans="1:5">
      <c r="A9">
        <v>8</v>
      </c>
      <c r="B9" s="8">
        <f>COUNTIF(C$2:C8,C9)</f>
        <v>0</v>
      </c>
      <c r="C9" s="3" t="s">
        <v>15</v>
      </c>
      <c r="D9" s="1" t="s">
        <v>16</v>
      </c>
    </row>
    <row r="10" spans="1:5">
      <c r="A10">
        <v>9</v>
      </c>
      <c r="B10" s="8">
        <f>COUNTIF(C$2:C9,C10)</f>
        <v>0</v>
      </c>
      <c r="C10" s="3" t="s">
        <v>17</v>
      </c>
      <c r="D10" s="1" t="s">
        <v>18</v>
      </c>
    </row>
    <row r="11" spans="1:5">
      <c r="A11">
        <v>10</v>
      </c>
      <c r="B11" s="8">
        <f>COUNTIF(C$2:C10,C11)</f>
        <v>0</v>
      </c>
      <c r="C11" s="3" t="s">
        <v>19</v>
      </c>
      <c r="D11" s="1" t="s">
        <v>20</v>
      </c>
    </row>
    <row r="12" spans="1:5">
      <c r="A12">
        <v>11</v>
      </c>
      <c r="B12" s="8">
        <f>COUNTIF(C$2:C11,C12)</f>
        <v>0</v>
      </c>
      <c r="C12" s="3" t="s">
        <v>21</v>
      </c>
      <c r="D12" s="1" t="s">
        <v>22</v>
      </c>
    </row>
    <row r="13" spans="1:5">
      <c r="A13">
        <v>12</v>
      </c>
      <c r="B13" s="8">
        <f>COUNTIF(C$2:C12,C13)</f>
        <v>0</v>
      </c>
      <c r="C13" s="3" t="s">
        <v>23</v>
      </c>
      <c r="D13" s="1" t="s">
        <v>24</v>
      </c>
    </row>
    <row r="14" spans="1:5">
      <c r="A14">
        <v>13</v>
      </c>
      <c r="B14" s="8">
        <f>COUNTIF(C$2:C13,C14)</f>
        <v>0</v>
      </c>
      <c r="C14" s="3" t="s">
        <v>26</v>
      </c>
      <c r="D14" s="1" t="s">
        <v>27</v>
      </c>
    </row>
    <row r="15" spans="1:5" ht="60">
      <c r="A15">
        <v>14</v>
      </c>
      <c r="B15" s="8">
        <f>COUNTIF(C$2:C14,C15)</f>
        <v>0</v>
      </c>
      <c r="C15" s="3" t="s">
        <v>29</v>
      </c>
      <c r="D15" s="1" t="s">
        <v>30</v>
      </c>
      <c r="E15" s="7" t="s">
        <v>53</v>
      </c>
    </row>
    <row r="16" spans="1:5" ht="30">
      <c r="A16">
        <v>16</v>
      </c>
      <c r="B16" s="8">
        <f>COUNTIF(C$2:C15,C16)</f>
        <v>0</v>
      </c>
      <c r="C16" s="3" t="s">
        <v>31</v>
      </c>
      <c r="D16" s="1" t="s">
        <v>32</v>
      </c>
    </row>
    <row r="17" spans="1:5">
      <c r="A17">
        <v>17</v>
      </c>
      <c r="B17" s="8">
        <f>COUNTIF(C$2:C16,C17)</f>
        <v>0</v>
      </c>
      <c r="C17" s="3" t="s">
        <v>33</v>
      </c>
      <c r="D17" s="1" t="s">
        <v>34</v>
      </c>
    </row>
    <row r="18" spans="1:5" ht="30">
      <c r="A18">
        <v>18</v>
      </c>
      <c r="B18" s="8">
        <f>COUNTIF(C$2:C17,C18)</f>
        <v>0</v>
      </c>
      <c r="C18" s="3" t="s">
        <v>35</v>
      </c>
      <c r="D18" s="1" t="s">
        <v>36</v>
      </c>
    </row>
    <row r="19" spans="1:5">
      <c r="A19">
        <v>19</v>
      </c>
      <c r="B19" s="8">
        <f>COUNTIF(C$2:C18,C19)</f>
        <v>0</v>
      </c>
      <c r="C19" s="3" t="s">
        <v>37</v>
      </c>
      <c r="D19" s="1" t="s">
        <v>38</v>
      </c>
    </row>
    <row r="20" spans="1:5">
      <c r="A20">
        <v>20</v>
      </c>
      <c r="B20" s="8">
        <f>COUNTIF(C$2:C19,C20)</f>
        <v>0</v>
      </c>
      <c r="C20" s="3" t="s">
        <v>39</v>
      </c>
      <c r="D20" s="1" t="s">
        <v>40</v>
      </c>
    </row>
    <row r="21" spans="1:5">
      <c r="A21">
        <v>21</v>
      </c>
      <c r="B21" s="8">
        <f>COUNTIF(C$2:C20,C21)</f>
        <v>0</v>
      </c>
      <c r="C21" s="3" t="s">
        <v>41</v>
      </c>
      <c r="D21" s="1" t="s">
        <v>42</v>
      </c>
    </row>
    <row r="22" spans="1:5">
      <c r="A22">
        <v>22</v>
      </c>
      <c r="B22" s="8">
        <f>COUNTIF(C$2:C21,C22)</f>
        <v>0</v>
      </c>
      <c r="C22" s="3" t="s">
        <v>43</v>
      </c>
      <c r="D22" s="1" t="s">
        <v>44</v>
      </c>
    </row>
    <row r="23" spans="1:5" ht="16.5">
      <c r="A23">
        <v>23</v>
      </c>
      <c r="B23" s="8">
        <f>COUNTIF(C$2:C22,C23)</f>
        <v>0</v>
      </c>
      <c r="C23" s="3" t="s">
        <v>48</v>
      </c>
      <c r="D23" s="1" t="s">
        <v>49</v>
      </c>
      <c r="E23" s="9"/>
    </row>
    <row r="24" spans="1:5" ht="30">
      <c r="A24">
        <v>24</v>
      </c>
      <c r="B24" s="8">
        <f>COUNTIF(C$2:C23,C24)</f>
        <v>0</v>
      </c>
      <c r="C24" s="3" t="s">
        <v>51</v>
      </c>
      <c r="D24" s="1" t="s">
        <v>52</v>
      </c>
      <c r="E24" s="7" t="s">
        <v>50</v>
      </c>
    </row>
    <row r="25" spans="1:5" ht="30">
      <c r="A25">
        <v>25</v>
      </c>
      <c r="B25" s="8">
        <f>COUNTIF(C$2:C24,C25)</f>
        <v>0</v>
      </c>
      <c r="C25" s="3" t="s">
        <v>54</v>
      </c>
      <c r="D25" s="1" t="s">
        <v>55</v>
      </c>
      <c r="E25" s="7" t="s">
        <v>56</v>
      </c>
    </row>
    <row r="26" spans="1:5" ht="30">
      <c r="A26">
        <v>26</v>
      </c>
      <c r="B26" s="8">
        <f>COUNTIF(C$2:C25,C26)</f>
        <v>0</v>
      </c>
      <c r="C26" s="3" t="s">
        <v>58</v>
      </c>
      <c r="D26" s="1" t="s">
        <v>59</v>
      </c>
      <c r="E26" s="7" t="s">
        <v>57</v>
      </c>
    </row>
    <row r="27" spans="1:5">
      <c r="A27">
        <v>27</v>
      </c>
      <c r="B27" s="8">
        <f>COUNTIF(C$2:C26,C27)</f>
        <v>0</v>
      </c>
      <c r="C27" s="3" t="s">
        <v>60</v>
      </c>
      <c r="D27" s="1" t="s">
        <v>61</v>
      </c>
    </row>
    <row r="28" spans="1:5">
      <c r="A28">
        <v>28</v>
      </c>
      <c r="B28" s="8">
        <f>COUNTIF(C$2:C27,C28)</f>
        <v>0</v>
      </c>
      <c r="C28" s="3" t="s">
        <v>62</v>
      </c>
      <c r="D28" s="1" t="s">
        <v>63</v>
      </c>
    </row>
    <row r="29" spans="1:5" ht="30">
      <c r="A29">
        <v>29</v>
      </c>
      <c r="B29" s="8">
        <f>COUNTIF(C$2:C28,C29)</f>
        <v>0</v>
      </c>
      <c r="C29" s="3" t="s">
        <v>64</v>
      </c>
      <c r="D29" s="1" t="s">
        <v>65</v>
      </c>
    </row>
    <row r="30" spans="1:5">
      <c r="A30">
        <v>30</v>
      </c>
      <c r="B30" s="8">
        <f>COUNTIF(C$2:C29,C30)</f>
        <v>0</v>
      </c>
      <c r="C30" s="3" t="s">
        <v>66</v>
      </c>
      <c r="D30" s="1" t="s">
        <v>67</v>
      </c>
    </row>
    <row r="31" spans="1:5" ht="30">
      <c r="A31">
        <v>31</v>
      </c>
      <c r="B31" s="8">
        <f>COUNTIF(C$2:C30,C31)</f>
        <v>0</v>
      </c>
      <c r="C31" s="3" t="s">
        <v>68</v>
      </c>
      <c r="D31" s="1" t="s">
        <v>69</v>
      </c>
    </row>
    <row r="32" spans="1:5">
      <c r="A32">
        <v>32</v>
      </c>
      <c r="B32" s="8">
        <f>COUNTIF(C$2:C31,C32)</f>
        <v>0</v>
      </c>
      <c r="C32" s="3" t="s">
        <v>70</v>
      </c>
      <c r="D32" s="1" t="s">
        <v>71</v>
      </c>
      <c r="E32" s="7" t="s">
        <v>72</v>
      </c>
    </row>
    <row r="33" spans="1:5" ht="30">
      <c r="A33">
        <v>33</v>
      </c>
      <c r="B33" s="8">
        <f>COUNTIF(C$2:C32,C33)</f>
        <v>0</v>
      </c>
      <c r="C33" s="3" t="s">
        <v>73</v>
      </c>
      <c r="D33" s="1" t="s">
        <v>74</v>
      </c>
      <c r="E33" s="7" t="s">
        <v>75</v>
      </c>
    </row>
    <row r="34" spans="1:5">
      <c r="A34">
        <v>34</v>
      </c>
      <c r="B34" s="8">
        <f>COUNTIF(C$2:C33,C34)</f>
        <v>0</v>
      </c>
      <c r="C34" s="3" t="s">
        <v>76</v>
      </c>
      <c r="D34" s="1" t="s">
        <v>77</v>
      </c>
      <c r="E34" s="10" t="s">
        <v>78</v>
      </c>
    </row>
    <row r="35" spans="1:5">
      <c r="A35">
        <v>35</v>
      </c>
      <c r="B35" s="8">
        <f>COUNTIF(C$2:C34,C35)</f>
        <v>0</v>
      </c>
      <c r="C35" s="3" t="s">
        <v>79</v>
      </c>
      <c r="D35" s="1" t="s">
        <v>80</v>
      </c>
    </row>
    <row r="36" spans="1:5">
      <c r="A36">
        <v>36</v>
      </c>
      <c r="B36" s="8">
        <f>COUNTIF(C$2:C35,C36)</f>
        <v>0</v>
      </c>
      <c r="C36" s="3" t="s">
        <v>81</v>
      </c>
      <c r="D36" s="1" t="s">
        <v>82</v>
      </c>
    </row>
    <row r="37" spans="1:5" ht="30">
      <c r="A37">
        <v>37</v>
      </c>
      <c r="B37" s="8">
        <f>COUNTIF(C$2:C36,C37)</f>
        <v>0</v>
      </c>
      <c r="C37" s="3" t="s">
        <v>83</v>
      </c>
      <c r="D37" s="1" t="s">
        <v>84</v>
      </c>
    </row>
    <row r="38" spans="1:5">
      <c r="A38">
        <v>38</v>
      </c>
      <c r="B38" s="8">
        <f>COUNTIF(C$2:C37,C38)</f>
        <v>0</v>
      </c>
      <c r="C38" s="3" t="s">
        <v>85</v>
      </c>
      <c r="D38" s="1" t="s">
        <v>86</v>
      </c>
    </row>
    <row r="39" spans="1:5">
      <c r="A39">
        <v>39</v>
      </c>
      <c r="B39" s="8">
        <f>COUNTIF(C$2:C38,C39)</f>
        <v>0</v>
      </c>
      <c r="C39" s="3" t="s">
        <v>87</v>
      </c>
      <c r="D39" s="1" t="s">
        <v>88</v>
      </c>
    </row>
    <row r="40" spans="1:5">
      <c r="A40">
        <v>40</v>
      </c>
      <c r="B40" s="8">
        <f>COUNTIF(C$2:C39,C40)</f>
        <v>0</v>
      </c>
      <c r="C40" s="3" t="s">
        <v>89</v>
      </c>
      <c r="D40" s="1" t="s">
        <v>90</v>
      </c>
    </row>
    <row r="41" spans="1:5">
      <c r="A41">
        <v>41</v>
      </c>
      <c r="B41" s="8">
        <f>COUNTIF(C$2:C40,C41)</f>
        <v>0</v>
      </c>
      <c r="C41" s="3" t="s">
        <v>91</v>
      </c>
      <c r="D41" s="1" t="s">
        <v>92</v>
      </c>
    </row>
    <row r="42" spans="1:5">
      <c r="A42">
        <v>42</v>
      </c>
      <c r="B42" s="8">
        <f>COUNTIF(C$2:C41,C42)</f>
        <v>0</v>
      </c>
      <c r="C42" s="11" t="s">
        <v>93</v>
      </c>
      <c r="D42" s="5" t="s">
        <v>94</v>
      </c>
    </row>
    <row r="43" spans="1:5">
      <c r="A43">
        <v>43</v>
      </c>
      <c r="B43" s="8">
        <f>COUNTIF(C$2:C42,C43)</f>
        <v>0</v>
      </c>
      <c r="C43" s="11" t="s">
        <v>95</v>
      </c>
      <c r="D43" s="5" t="s">
        <v>96</v>
      </c>
    </row>
    <row r="44" spans="1:5">
      <c r="A44">
        <v>44</v>
      </c>
      <c r="B44" s="8">
        <f>COUNTIF(C$2:C43,C44)</f>
        <v>0</v>
      </c>
      <c r="C44" s="11" t="s">
        <v>97</v>
      </c>
      <c r="D44" s="5" t="s">
        <v>98</v>
      </c>
    </row>
    <row r="45" spans="1:5">
      <c r="A45">
        <v>45</v>
      </c>
      <c r="B45" s="8">
        <f>COUNTIF(C$2:C44,C45)</f>
        <v>0</v>
      </c>
      <c r="C45" s="11" t="s">
        <v>99</v>
      </c>
      <c r="D45" s="5" t="s">
        <v>100</v>
      </c>
    </row>
    <row r="46" spans="1:5">
      <c r="A46">
        <v>46</v>
      </c>
      <c r="B46" s="8">
        <f>COUNTIF(C$2:C45,C46)</f>
        <v>0</v>
      </c>
    </row>
    <row r="47" spans="1:5">
      <c r="A47">
        <v>47</v>
      </c>
      <c r="B47" s="8">
        <f>COUNTIF(C$2:C46,C47)</f>
        <v>0</v>
      </c>
    </row>
    <row r="48" spans="1:5">
      <c r="A48">
        <v>48</v>
      </c>
      <c r="B48" s="8">
        <f>COUNTIF(C$2:C47,C48)</f>
        <v>0</v>
      </c>
    </row>
    <row r="49" spans="1:2">
      <c r="A49">
        <v>49</v>
      </c>
      <c r="B49" s="8">
        <f>COUNTIF(C$2:C48,C49)</f>
        <v>0</v>
      </c>
    </row>
    <row r="50" spans="1:2">
      <c r="A50">
        <v>50</v>
      </c>
      <c r="B50" s="8">
        <f>COUNTIF(C$2:C49,C50)</f>
        <v>0</v>
      </c>
    </row>
    <row r="51" spans="1:2">
      <c r="A51">
        <v>51</v>
      </c>
      <c r="B51" s="8">
        <f>COUNTIF(C$2:C50,C51)</f>
        <v>0</v>
      </c>
    </row>
    <row r="52" spans="1:2">
      <c r="A52">
        <v>52</v>
      </c>
      <c r="B52" s="8">
        <f>COUNTIF(C$2:C51,C52)</f>
        <v>0</v>
      </c>
    </row>
    <row r="53" spans="1:2">
      <c r="A53">
        <v>53</v>
      </c>
      <c r="B53" s="8">
        <f>COUNTIF(C$2:C52,C53)</f>
        <v>0</v>
      </c>
    </row>
    <row r="54" spans="1:2">
      <c r="A54">
        <v>54</v>
      </c>
      <c r="B54" s="8">
        <f>COUNTIF(C$2:C53,C54)</f>
        <v>0</v>
      </c>
    </row>
    <row r="55" spans="1:2">
      <c r="A55">
        <v>55</v>
      </c>
      <c r="B55" s="8">
        <f>COUNTIF(C$2:C54,C55)</f>
        <v>0</v>
      </c>
    </row>
    <row r="56" spans="1:2">
      <c r="A56">
        <v>56</v>
      </c>
      <c r="B56" s="8">
        <f>COUNTIF(C$2:C55,C56)</f>
        <v>0</v>
      </c>
    </row>
    <row r="57" spans="1:2">
      <c r="A57">
        <v>57</v>
      </c>
      <c r="B57" s="8">
        <f>COUNTIF(C$2:C56,C57)</f>
        <v>0</v>
      </c>
    </row>
    <row r="58" spans="1:2">
      <c r="A58">
        <v>58</v>
      </c>
      <c r="B58" s="8">
        <f>COUNTIF(C$2:C57,C58)</f>
        <v>0</v>
      </c>
    </row>
    <row r="59" spans="1:2">
      <c r="A59">
        <v>59</v>
      </c>
      <c r="B59" s="8">
        <f>COUNTIF(C$2:C58,C59)</f>
        <v>0</v>
      </c>
    </row>
    <row r="60" spans="1:2">
      <c r="A60">
        <v>60</v>
      </c>
      <c r="B60" s="8">
        <f>COUNTIF(C$2:C59,C60)</f>
        <v>0</v>
      </c>
    </row>
    <row r="61" spans="1:2">
      <c r="A61">
        <v>61</v>
      </c>
      <c r="B61" s="8">
        <f>COUNTIF(C$2:C60,C61)</f>
        <v>0</v>
      </c>
    </row>
    <row r="62" spans="1:2">
      <c r="A62">
        <v>62</v>
      </c>
      <c r="B62" s="8">
        <f>COUNTIF(C$2:C61,C62)</f>
        <v>0</v>
      </c>
    </row>
  </sheetData>
  <autoFilter ref="A1:D1" xr:uid="{421AF6F2-33FF-41E1-93C9-975097B26878}"/>
  <hyperlinks>
    <hyperlink ref="C2" r:id="rId1" xr:uid="{9DEBC7D0-6C4F-4FF4-B7B6-BFDBB7B0CA97}"/>
    <hyperlink ref="C4" r:id="rId2" xr:uid="{F17601BF-B104-48A5-9B1E-162332D25226}"/>
    <hyperlink ref="C5" r:id="rId3" xr:uid="{7D0E5584-FD20-42D8-8117-8160DFBE4A03}"/>
    <hyperlink ref="C6" r:id="rId4" xr:uid="{CC07F711-6CA6-4943-9365-7FC6885D9AC1}"/>
    <hyperlink ref="C7" r:id="rId5" xr:uid="{C662E486-F6CE-4ECF-92FD-E5DBC95037E8}"/>
    <hyperlink ref="C8" r:id="rId6" xr:uid="{084F7CBA-EFE5-48E0-BEE9-5C080015C81B}"/>
    <hyperlink ref="C9" r:id="rId7" xr:uid="{D17EBD85-8B15-47F4-827C-0B137CAA5B1C}"/>
    <hyperlink ref="C10" r:id="rId8" xr:uid="{C15CD285-5CB2-492A-8FFF-3C1E98208809}"/>
    <hyperlink ref="C11" r:id="rId9" xr:uid="{89634613-584B-4E7A-89DD-5C1660C73CB8}"/>
    <hyperlink ref="C12" r:id="rId10" xr:uid="{B051A278-480B-4F78-B323-51C98CEF50AA}"/>
    <hyperlink ref="C13" r:id="rId11" xr:uid="{0EB5DE9E-72C4-49A4-A170-5AD0F2A36566}"/>
    <hyperlink ref="C3" r:id="rId12" xr:uid="{54021D6A-3172-4DBB-A9BE-0203E676A2C5}"/>
    <hyperlink ref="C14" r:id="rId13" xr:uid="{BEDE9869-5EC7-4852-B8DA-314876384568}"/>
    <hyperlink ref="C15" r:id="rId14" xr:uid="{2394D099-F55D-4894-8CE8-4E12C705E61B}"/>
    <hyperlink ref="C16" r:id="rId15" xr:uid="{0A349403-824F-49EF-BBCC-F9652AEB2C4E}"/>
    <hyperlink ref="C17" r:id="rId16" xr:uid="{D3C5F3D3-17B8-4D6D-BBA8-44C205A597C2}"/>
    <hyperlink ref="C23" r:id="rId17" xr:uid="{D243BA07-4720-4D45-BC8E-8D011B858A05}"/>
    <hyperlink ref="C24" r:id="rId18" xr:uid="{1CDD52C6-DE99-4287-8DC4-3C9101384574}"/>
    <hyperlink ref="C25" r:id="rId19" xr:uid="{3EC56E8A-2159-4813-B97A-A5D5ECDD3D73}"/>
    <hyperlink ref="E26" r:id="rId20" xr:uid="{F2ECC153-FC08-407A-BC67-EE1778AA3297}"/>
    <hyperlink ref="C26" r:id="rId21" xr:uid="{0A2F0D8C-1270-4890-9779-30F4780EAC42}"/>
    <hyperlink ref="C27" r:id="rId22" xr:uid="{7D4A9F8C-EBED-46EF-8DC2-AD614F473EB2}"/>
    <hyperlink ref="C28" r:id="rId23" xr:uid="{70333EF9-4F47-40A2-B9C1-69ACADAC0A3F}"/>
    <hyperlink ref="C29" r:id="rId24" xr:uid="{B7BD681F-B5C9-4B58-B409-E3F55A8FA319}"/>
    <hyperlink ref="C30" r:id="rId25" xr:uid="{D922380D-10D3-49E7-B07E-870B2DD6FCD0}"/>
    <hyperlink ref="C31" r:id="rId26" xr:uid="{253D4617-C286-4D8B-959F-845959FE6FA1}"/>
    <hyperlink ref="C32" r:id="rId27" xr:uid="{8B5BDF98-9640-42AC-A353-F9A22D2530AA}"/>
    <hyperlink ref="E32" r:id="rId28" xr:uid="{B68DEB02-D712-4B2F-990D-2F2C8794EA54}"/>
    <hyperlink ref="C33" r:id="rId29" xr:uid="{3803F2AC-374C-4900-AB05-4B52F5DC9FCE}"/>
    <hyperlink ref="C34" r:id="rId30" xr:uid="{82AF7FA9-40AB-4B00-B730-86483A9C1F9F}"/>
    <hyperlink ref="E34" r:id="rId31" xr:uid="{2303AEDA-25DE-4FEE-B2A0-5250DB2586D5}"/>
    <hyperlink ref="C35" r:id="rId32" xr:uid="{F91EDA8B-918D-4E08-A405-1B954CECE730}"/>
    <hyperlink ref="C36" r:id="rId33" xr:uid="{320C2372-6479-4BB4-BE2F-07D89373CDA6}"/>
    <hyperlink ref="C37" r:id="rId34" xr:uid="{91EBEE6D-8FC2-4777-B430-FE22722BE11E}"/>
    <hyperlink ref="C38" r:id="rId35" xr:uid="{9132433C-F69F-4270-AEC1-89D30207EA24}"/>
    <hyperlink ref="C39" r:id="rId36" xr:uid="{2D7C8217-0A9F-468A-95FD-517C05293FA2}"/>
    <hyperlink ref="C40" r:id="rId37" xr:uid="{049BDE7F-234C-4E69-9D4D-A2E558F03BE4}"/>
    <hyperlink ref="C41" r:id="rId38" xr:uid="{85F73C99-61B3-4836-AEDB-4B8174F44960}"/>
    <hyperlink ref="C42" r:id="rId39" xr:uid="{CAEA37A3-715D-4870-A5A5-AF9CC4C8F55E}"/>
    <hyperlink ref="C43" r:id="rId40" xr:uid="{83A78FE6-3397-4D34-B514-750BB32A095A}"/>
    <hyperlink ref="C44" r:id="rId41" xr:uid="{ADD1D1BC-15C8-4C7F-8056-4CFA2C4150DF}"/>
    <hyperlink ref="C45" r:id="rId42" xr:uid="{216ACDC8-5113-48AB-BDB7-3061C23C647E}"/>
  </hyperlinks>
  <pageMargins left="0.7" right="0.7" top="0.75" bottom="0.75" header="0.3" footer="0.3"/>
  <pageSetup paperSize="9" orientation="portrait" r:id="rId4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D2D69-D25C-411A-8230-655825A99B41}">
  <sheetPr codeName="Arkusz2"/>
  <dimension ref="A1"/>
  <sheetViews>
    <sheetView workbookViewId="0">
      <selection activeCell="A5" sqref="A5"/>
    </sheetView>
  </sheetViews>
  <sheetFormatPr defaultRowHeight="15"/>
  <cols>
    <col min="1" max="1" width="124.140625" customWidth="1"/>
  </cols>
  <sheetData>
    <row r="1" spans="1:1" ht="279">
      <c r="A1" s="12" t="s"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B0ACB-098C-45CA-8F70-208E75C8F8A7}">
  <sheetPr codeName="Arkusz3"/>
  <dimension ref="A1:V1694"/>
  <sheetViews>
    <sheetView tabSelected="1" zoomScale="96" zoomScaleNormal="96" workbookViewId="0">
      <pane xSplit="3" ySplit="1" topLeftCell="O284" activePane="bottomRight" state="frozen"/>
      <selection pane="topRight" activeCell="C1" sqref="C1"/>
      <selection pane="bottomLeft" activeCell="A2" sqref="A2"/>
      <selection pane="bottomRight" activeCell="B286" sqref="B286"/>
    </sheetView>
  </sheetViews>
  <sheetFormatPr defaultRowHeight="15"/>
  <cols>
    <col min="1" max="1" width="6.7109375" customWidth="1"/>
    <col min="2" max="2" width="20" bestFit="1" customWidth="1"/>
    <col min="3" max="3" width="36" bestFit="1" customWidth="1"/>
    <col min="4" max="4" width="75.7109375" customWidth="1"/>
    <col min="5" max="5" width="28" customWidth="1"/>
    <col min="6" max="6" width="26.28515625" bestFit="1" customWidth="1"/>
    <col min="7" max="7" width="17.85546875" customWidth="1"/>
    <col min="8" max="8" width="29.5703125" customWidth="1"/>
    <col min="9" max="9" width="43.7109375" bestFit="1" customWidth="1"/>
    <col min="10" max="10" width="22.7109375" customWidth="1"/>
    <col min="11" max="11" width="28.140625" customWidth="1"/>
    <col min="12" max="12" width="16.42578125" customWidth="1"/>
    <col min="13" max="13" width="16.28515625" customWidth="1"/>
    <col min="14" max="14" width="15.5703125" bestFit="1" customWidth="1"/>
    <col min="15" max="18" width="15.5703125" customWidth="1"/>
    <col min="19" max="19" width="14.5703125" bestFit="1" customWidth="1"/>
    <col min="23" max="27" width="4.7109375" customWidth="1"/>
    <col min="28" max="28" width="6.5703125" bestFit="1" customWidth="1"/>
    <col min="29" max="29" width="4.7109375" customWidth="1"/>
    <col min="30" max="30" width="6.5703125" bestFit="1" customWidth="1"/>
    <col min="31" max="38" width="4.7109375" customWidth="1"/>
    <col min="39" max="40" width="4.5703125" customWidth="1"/>
  </cols>
  <sheetData>
    <row r="1" spans="1:21">
      <c r="A1" s="13" t="s">
        <v>0</v>
      </c>
      <c r="B1" s="13" t="s">
        <v>9622</v>
      </c>
      <c r="C1" s="13" t="s">
        <v>9623</v>
      </c>
      <c r="D1" s="13" t="s">
        <v>9629</v>
      </c>
      <c r="E1" s="13" t="s">
        <v>348</v>
      </c>
      <c r="F1" s="13" t="s">
        <v>349</v>
      </c>
      <c r="G1" s="13" t="s">
        <v>9624</v>
      </c>
      <c r="H1" s="13" t="s">
        <v>9625</v>
      </c>
      <c r="I1" s="13" t="s">
        <v>351</v>
      </c>
      <c r="J1" s="13" t="s">
        <v>5186</v>
      </c>
      <c r="K1" s="13" t="s">
        <v>9626</v>
      </c>
      <c r="L1" s="13" t="s">
        <v>9627</v>
      </c>
      <c r="M1" s="13" t="s">
        <v>9628</v>
      </c>
      <c r="N1" s="14" t="s">
        <v>1399</v>
      </c>
      <c r="O1" s="2" t="s">
        <v>9772</v>
      </c>
      <c r="P1" s="2" t="s">
        <v>9773</v>
      </c>
      <c r="Q1" s="2" t="s">
        <v>9774</v>
      </c>
      <c r="R1" s="2" t="s">
        <v>9775</v>
      </c>
      <c r="S1" s="2" t="s">
        <v>9783</v>
      </c>
      <c r="T1" s="14" t="s">
        <v>2211</v>
      </c>
      <c r="U1">
        <f>COUNTA(C:C)</f>
        <v>1694</v>
      </c>
    </row>
    <row r="2" spans="1:21">
      <c r="A2">
        <v>1</v>
      </c>
      <c r="B2" t="s">
        <v>103</v>
      </c>
      <c r="C2" t="s">
        <v>102</v>
      </c>
      <c r="D2" t="s">
        <v>497</v>
      </c>
      <c r="E2" t="s">
        <v>498</v>
      </c>
      <c r="F2" t="s">
        <v>499</v>
      </c>
      <c r="G2" t="s">
        <v>824</v>
      </c>
      <c r="H2" t="s">
        <v>825</v>
      </c>
      <c r="I2" t="s">
        <v>8229</v>
      </c>
      <c r="K2" t="s">
        <v>224</v>
      </c>
      <c r="L2" t="s">
        <v>358</v>
      </c>
      <c r="N2" t="str">
        <f>IF(ISERROR(FIND(",",H2)),IF(MID(H2,FIND(" ",H2)-1,1)="a","Szanowna Pani","Szanowny Pan"), "Szanowne Panie")</f>
        <v>Szanowna Pani</v>
      </c>
      <c r="Q2" s="19" t="s">
        <v>9776</v>
      </c>
      <c r="U2" t="str">
        <f t="shared" ref="U2:U12" si="0">+O2 &amp;P2&amp;Q2</f>
        <v>tak</v>
      </c>
    </row>
    <row r="3" spans="1:21">
      <c r="A3">
        <v>2</v>
      </c>
      <c r="B3" t="s">
        <v>103</v>
      </c>
      <c r="C3" t="s">
        <v>103</v>
      </c>
      <c r="D3" t="s">
        <v>9639</v>
      </c>
      <c r="E3" t="s">
        <v>566</v>
      </c>
      <c r="F3" t="s">
        <v>567</v>
      </c>
      <c r="G3" t="s">
        <v>826</v>
      </c>
      <c r="H3" t="s">
        <v>827</v>
      </c>
      <c r="I3" t="s">
        <v>8230</v>
      </c>
      <c r="K3" t="s">
        <v>164</v>
      </c>
      <c r="L3" t="s">
        <v>358</v>
      </c>
      <c r="N3" t="str">
        <f t="shared" ref="N3:N51" si="1">IF(ISERROR(FIND(",",H3)),IF(MID(H3,FIND(" ",H3)-1,1)="a","Szanowna Pani","Szanowny Pan"), "Szanowne Panie")</f>
        <v>Szanowna Pani</v>
      </c>
      <c r="O3" s="19" t="s">
        <v>9776</v>
      </c>
      <c r="U3" t="str">
        <f t="shared" si="0"/>
        <v>tak</v>
      </c>
    </row>
    <row r="4" spans="1:21">
      <c r="A4">
        <v>3</v>
      </c>
      <c r="B4" t="s">
        <v>103</v>
      </c>
      <c r="C4" t="s">
        <v>103</v>
      </c>
      <c r="D4" t="s">
        <v>9640</v>
      </c>
      <c r="E4" t="s">
        <v>568</v>
      </c>
      <c r="F4" t="s">
        <v>569</v>
      </c>
      <c r="G4" t="s">
        <v>828</v>
      </c>
      <c r="H4" t="s">
        <v>829</v>
      </c>
      <c r="I4" t="s">
        <v>8231</v>
      </c>
      <c r="K4" t="s">
        <v>164</v>
      </c>
      <c r="L4" t="s">
        <v>358</v>
      </c>
      <c r="N4" t="str">
        <f t="shared" si="1"/>
        <v>Szanowna Pani</v>
      </c>
      <c r="O4" s="19" t="s">
        <v>9776</v>
      </c>
      <c r="U4" t="str">
        <f t="shared" si="0"/>
        <v>tak</v>
      </c>
    </row>
    <row r="5" spans="1:21">
      <c r="A5">
        <v>4</v>
      </c>
      <c r="B5" t="s">
        <v>103</v>
      </c>
      <c r="C5" t="s">
        <v>103</v>
      </c>
      <c r="D5" t="s">
        <v>9630</v>
      </c>
      <c r="E5" t="s">
        <v>570</v>
      </c>
      <c r="F5" t="s">
        <v>571</v>
      </c>
      <c r="G5" t="s">
        <v>830</v>
      </c>
      <c r="H5" t="s">
        <v>831</v>
      </c>
      <c r="I5" t="s">
        <v>8232</v>
      </c>
      <c r="K5" t="s">
        <v>565</v>
      </c>
      <c r="L5" t="s">
        <v>358</v>
      </c>
      <c r="N5" t="str">
        <f t="shared" si="1"/>
        <v>Szanowna Pani</v>
      </c>
      <c r="P5" s="19" t="s">
        <v>9776</v>
      </c>
      <c r="Q5" s="19" t="s">
        <v>9776</v>
      </c>
      <c r="U5" t="str">
        <f t="shared" si="0"/>
        <v>taktak</v>
      </c>
    </row>
    <row r="6" spans="1:21">
      <c r="A6">
        <v>5</v>
      </c>
      <c r="B6" t="s">
        <v>103</v>
      </c>
      <c r="C6" t="s">
        <v>103</v>
      </c>
      <c r="D6" t="s">
        <v>9631</v>
      </c>
      <c r="E6" t="s">
        <v>572</v>
      </c>
      <c r="F6" t="s">
        <v>573</v>
      </c>
      <c r="G6" t="s">
        <v>832</v>
      </c>
      <c r="H6" t="s">
        <v>833</v>
      </c>
      <c r="I6" t="s">
        <v>8233</v>
      </c>
      <c r="K6" t="s">
        <v>164</v>
      </c>
      <c r="L6" t="s">
        <v>358</v>
      </c>
      <c r="N6" t="str">
        <f t="shared" si="1"/>
        <v>Szanowna Pani</v>
      </c>
      <c r="O6" s="19" t="s">
        <v>9776</v>
      </c>
      <c r="U6" t="str">
        <f t="shared" si="0"/>
        <v>tak</v>
      </c>
    </row>
    <row r="7" spans="1:21">
      <c r="A7">
        <v>6</v>
      </c>
      <c r="B7" t="s">
        <v>103</v>
      </c>
      <c r="C7" t="s">
        <v>103</v>
      </c>
      <c r="D7" t="s">
        <v>9632</v>
      </c>
      <c r="E7" t="s">
        <v>574</v>
      </c>
      <c r="F7" t="s">
        <v>575</v>
      </c>
      <c r="G7" t="s">
        <v>834</v>
      </c>
      <c r="H7" t="s">
        <v>835</v>
      </c>
      <c r="I7" t="s">
        <v>8234</v>
      </c>
      <c r="K7" t="s">
        <v>164</v>
      </c>
      <c r="L7" t="s">
        <v>358</v>
      </c>
      <c r="N7" t="str">
        <f t="shared" si="1"/>
        <v>Szanowna Pani</v>
      </c>
      <c r="O7" s="19" t="s">
        <v>9776</v>
      </c>
      <c r="U7" t="str">
        <f t="shared" si="0"/>
        <v>tak</v>
      </c>
    </row>
    <row r="8" spans="1:21">
      <c r="A8">
        <v>7</v>
      </c>
      <c r="B8" t="s">
        <v>103</v>
      </c>
      <c r="C8" t="s">
        <v>103</v>
      </c>
      <c r="D8" t="s">
        <v>9633</v>
      </c>
      <c r="E8" t="s">
        <v>500</v>
      </c>
      <c r="F8" t="s">
        <v>501</v>
      </c>
      <c r="G8" t="s">
        <v>836</v>
      </c>
      <c r="H8" t="s">
        <v>837</v>
      </c>
      <c r="I8" t="s">
        <v>8235</v>
      </c>
      <c r="K8" t="s">
        <v>165</v>
      </c>
      <c r="L8" t="s">
        <v>358</v>
      </c>
      <c r="N8" t="str">
        <f t="shared" si="1"/>
        <v>Szanowna Pani</v>
      </c>
      <c r="P8" s="19" t="s">
        <v>9776</v>
      </c>
      <c r="U8" t="str">
        <f t="shared" si="0"/>
        <v>tak</v>
      </c>
    </row>
    <row r="9" spans="1:21">
      <c r="A9">
        <v>8</v>
      </c>
      <c r="B9" t="s">
        <v>103</v>
      </c>
      <c r="C9" t="s">
        <v>103</v>
      </c>
      <c r="D9" t="s">
        <v>9634</v>
      </c>
      <c r="E9" t="s">
        <v>576</v>
      </c>
      <c r="F9" t="s">
        <v>577</v>
      </c>
      <c r="G9" t="s">
        <v>838</v>
      </c>
      <c r="H9" t="s">
        <v>839</v>
      </c>
      <c r="I9" t="s">
        <v>8236</v>
      </c>
      <c r="K9" t="s">
        <v>565</v>
      </c>
      <c r="L9" t="s">
        <v>358</v>
      </c>
      <c r="N9" t="str">
        <f t="shared" si="1"/>
        <v>Szanowna Pani</v>
      </c>
      <c r="P9" s="19" t="s">
        <v>9776</v>
      </c>
      <c r="Q9" s="19" t="s">
        <v>9776</v>
      </c>
      <c r="U9" t="str">
        <f t="shared" si="0"/>
        <v>taktak</v>
      </c>
    </row>
    <row r="10" spans="1:21">
      <c r="A10">
        <v>9</v>
      </c>
      <c r="B10" t="s">
        <v>103</v>
      </c>
      <c r="C10" t="s">
        <v>103</v>
      </c>
      <c r="D10" t="s">
        <v>9635</v>
      </c>
      <c r="E10" t="s">
        <v>578</v>
      </c>
      <c r="F10" t="s">
        <v>579</v>
      </c>
      <c r="G10" t="s">
        <v>840</v>
      </c>
      <c r="H10" t="s">
        <v>841</v>
      </c>
      <c r="I10" t="s">
        <v>8237</v>
      </c>
      <c r="K10" t="s">
        <v>565</v>
      </c>
      <c r="L10" t="s">
        <v>358</v>
      </c>
      <c r="N10" t="str">
        <f t="shared" si="1"/>
        <v>Szanowna Pani</v>
      </c>
      <c r="P10" s="19" t="s">
        <v>9776</v>
      </c>
      <c r="Q10" s="19" t="s">
        <v>9776</v>
      </c>
      <c r="U10" t="str">
        <f t="shared" si="0"/>
        <v>taktak</v>
      </c>
    </row>
    <row r="11" spans="1:21">
      <c r="A11">
        <v>10</v>
      </c>
      <c r="B11" t="s">
        <v>103</v>
      </c>
      <c r="C11" t="s">
        <v>103</v>
      </c>
      <c r="D11" t="s">
        <v>9636</v>
      </c>
      <c r="E11" t="s">
        <v>580</v>
      </c>
      <c r="F11" t="s">
        <v>581</v>
      </c>
      <c r="G11" t="s">
        <v>842</v>
      </c>
      <c r="H11" t="s">
        <v>843</v>
      </c>
      <c r="I11" t="s">
        <v>8238</v>
      </c>
      <c r="K11" t="s">
        <v>565</v>
      </c>
      <c r="L11" t="s">
        <v>358</v>
      </c>
      <c r="N11" t="str">
        <f t="shared" si="1"/>
        <v>Szanowna Pani</v>
      </c>
      <c r="P11" s="19" t="s">
        <v>9776</v>
      </c>
      <c r="Q11" s="19" t="s">
        <v>9776</v>
      </c>
      <c r="U11" t="str">
        <f t="shared" si="0"/>
        <v>taktak</v>
      </c>
    </row>
    <row r="12" spans="1:21">
      <c r="A12">
        <v>11</v>
      </c>
      <c r="B12" t="s">
        <v>103</v>
      </c>
      <c r="C12" t="s">
        <v>103</v>
      </c>
      <c r="D12" t="s">
        <v>9637</v>
      </c>
      <c r="E12" t="s">
        <v>582</v>
      </c>
      <c r="F12" t="s">
        <v>567</v>
      </c>
      <c r="G12" t="s">
        <v>844</v>
      </c>
      <c r="H12" t="s">
        <v>845</v>
      </c>
      <c r="I12" t="s">
        <v>8239</v>
      </c>
      <c r="K12" t="s">
        <v>165</v>
      </c>
      <c r="L12" t="s">
        <v>358</v>
      </c>
      <c r="N12" t="str">
        <f t="shared" si="1"/>
        <v>Szanowna Pani</v>
      </c>
      <c r="P12" s="19" t="s">
        <v>9776</v>
      </c>
      <c r="U12" t="str">
        <f t="shared" si="0"/>
        <v>tak</v>
      </c>
    </row>
    <row r="13" spans="1:21">
      <c r="A13">
        <v>12</v>
      </c>
      <c r="B13" t="s">
        <v>103</v>
      </c>
      <c r="C13" t="s">
        <v>103</v>
      </c>
      <c r="D13" t="s">
        <v>9638</v>
      </c>
      <c r="E13" t="s">
        <v>502</v>
      </c>
      <c r="F13" t="s">
        <v>503</v>
      </c>
      <c r="G13" t="s">
        <v>846</v>
      </c>
      <c r="H13" t="s">
        <v>847</v>
      </c>
      <c r="I13" t="s">
        <v>8240</v>
      </c>
      <c r="K13" t="s">
        <v>165</v>
      </c>
      <c r="L13" t="s">
        <v>358</v>
      </c>
      <c r="N13" t="str">
        <f t="shared" si="1"/>
        <v>Szanowna Pani</v>
      </c>
      <c r="P13" s="19" t="s">
        <v>9776</v>
      </c>
      <c r="U13" t="str">
        <f t="shared" ref="U13:U50" si="2">+O13 &amp;P13&amp;Q13</f>
        <v>tak</v>
      </c>
    </row>
    <row r="14" spans="1:21">
      <c r="A14">
        <v>13</v>
      </c>
      <c r="B14" t="s">
        <v>103</v>
      </c>
      <c r="C14" t="s">
        <v>104</v>
      </c>
      <c r="D14" t="s">
        <v>504</v>
      </c>
      <c r="E14" t="s">
        <v>583</v>
      </c>
      <c r="F14" t="s">
        <v>584</v>
      </c>
      <c r="G14" t="s">
        <v>848</v>
      </c>
      <c r="H14" t="s">
        <v>849</v>
      </c>
      <c r="I14" t="s">
        <v>8241</v>
      </c>
      <c r="K14" t="s">
        <v>164</v>
      </c>
      <c r="L14" t="s">
        <v>358</v>
      </c>
      <c r="N14" t="str">
        <f t="shared" si="1"/>
        <v>Szanowna Pani</v>
      </c>
      <c r="O14" s="19" t="s">
        <v>9776</v>
      </c>
      <c r="U14" t="str">
        <f t="shared" si="2"/>
        <v>tak</v>
      </c>
    </row>
    <row r="15" spans="1:21">
      <c r="A15">
        <v>14</v>
      </c>
      <c r="B15" t="s">
        <v>103</v>
      </c>
      <c r="C15" t="s">
        <v>105</v>
      </c>
      <c r="D15" t="s">
        <v>505</v>
      </c>
      <c r="E15" t="s">
        <v>585</v>
      </c>
      <c r="F15" t="s">
        <v>586</v>
      </c>
      <c r="G15" t="s">
        <v>850</v>
      </c>
      <c r="H15" t="s">
        <v>851</v>
      </c>
      <c r="I15" t="s">
        <v>8242</v>
      </c>
      <c r="K15" t="s">
        <v>164</v>
      </c>
      <c r="L15" t="s">
        <v>358</v>
      </c>
      <c r="N15" t="str">
        <f t="shared" si="1"/>
        <v>Szanowna Pani</v>
      </c>
      <c r="O15" s="19" t="s">
        <v>9776</v>
      </c>
      <c r="U15" t="str">
        <f t="shared" si="2"/>
        <v>tak</v>
      </c>
    </row>
    <row r="16" spans="1:21">
      <c r="A16">
        <v>15</v>
      </c>
      <c r="B16" t="s">
        <v>103</v>
      </c>
      <c r="C16" t="s">
        <v>106</v>
      </c>
      <c r="D16" t="s">
        <v>506</v>
      </c>
      <c r="E16" t="s">
        <v>587</v>
      </c>
      <c r="F16" t="s">
        <v>588</v>
      </c>
      <c r="G16" t="s">
        <v>852</v>
      </c>
      <c r="H16" t="s">
        <v>853</v>
      </c>
      <c r="I16" t="s">
        <v>8243</v>
      </c>
      <c r="K16" t="s">
        <v>165</v>
      </c>
      <c r="L16" t="s">
        <v>358</v>
      </c>
      <c r="N16" t="str">
        <f t="shared" si="1"/>
        <v>Szanowna Pani</v>
      </c>
      <c r="P16" s="19" t="s">
        <v>9776</v>
      </c>
      <c r="U16" t="str">
        <f t="shared" si="2"/>
        <v>tak</v>
      </c>
    </row>
    <row r="17" spans="1:21">
      <c r="A17">
        <v>16</v>
      </c>
      <c r="B17" t="s">
        <v>103</v>
      </c>
      <c r="C17" t="s">
        <v>107</v>
      </c>
      <c r="D17" t="s">
        <v>507</v>
      </c>
      <c r="E17" t="s">
        <v>589</v>
      </c>
      <c r="F17" t="s">
        <v>590</v>
      </c>
      <c r="G17" t="s">
        <v>854</v>
      </c>
      <c r="H17" t="s">
        <v>855</v>
      </c>
      <c r="I17" t="s">
        <v>8244</v>
      </c>
      <c r="K17" t="s">
        <v>164</v>
      </c>
      <c r="L17" t="s">
        <v>358</v>
      </c>
      <c r="N17" t="str">
        <f t="shared" si="1"/>
        <v>Szanowna Pani</v>
      </c>
      <c r="O17" s="19" t="s">
        <v>9776</v>
      </c>
      <c r="U17" t="str">
        <f t="shared" si="2"/>
        <v>tak</v>
      </c>
    </row>
    <row r="18" spans="1:21">
      <c r="A18">
        <v>17</v>
      </c>
      <c r="B18" t="s">
        <v>103</v>
      </c>
      <c r="C18" t="s">
        <v>108</v>
      </c>
      <c r="D18" t="s">
        <v>508</v>
      </c>
      <c r="E18" t="s">
        <v>509</v>
      </c>
      <c r="F18" t="s">
        <v>510</v>
      </c>
      <c r="G18" t="s">
        <v>856</v>
      </c>
      <c r="H18" t="s">
        <v>857</v>
      </c>
      <c r="I18" t="s">
        <v>8245</v>
      </c>
      <c r="K18" t="s">
        <v>164</v>
      </c>
      <c r="L18" t="s">
        <v>358</v>
      </c>
      <c r="N18" t="str">
        <f t="shared" si="1"/>
        <v>Szanowna Pani</v>
      </c>
      <c r="O18" s="19" t="s">
        <v>9776</v>
      </c>
      <c r="U18" t="str">
        <f t="shared" si="2"/>
        <v>tak</v>
      </c>
    </row>
    <row r="19" spans="1:21">
      <c r="A19">
        <v>18</v>
      </c>
      <c r="B19" t="s">
        <v>103</v>
      </c>
      <c r="C19" t="s">
        <v>109</v>
      </c>
      <c r="D19" t="s">
        <v>511</v>
      </c>
      <c r="E19" t="s">
        <v>591</v>
      </c>
      <c r="F19" t="s">
        <v>513</v>
      </c>
      <c r="G19" t="s">
        <v>858</v>
      </c>
      <c r="H19" t="s">
        <v>859</v>
      </c>
      <c r="I19" t="s">
        <v>8246</v>
      </c>
      <c r="K19" t="s">
        <v>164</v>
      </c>
      <c r="L19" t="s">
        <v>358</v>
      </c>
      <c r="N19" t="str">
        <f t="shared" si="1"/>
        <v>Szanowna Pani</v>
      </c>
      <c r="O19" s="19" t="s">
        <v>9776</v>
      </c>
      <c r="U19" t="str">
        <f t="shared" si="2"/>
        <v>tak</v>
      </c>
    </row>
    <row r="20" spans="1:21">
      <c r="A20">
        <v>19</v>
      </c>
      <c r="B20" t="s">
        <v>103</v>
      </c>
      <c r="C20" t="s">
        <v>109</v>
      </c>
      <c r="D20" t="s">
        <v>511</v>
      </c>
      <c r="E20" t="s">
        <v>512</v>
      </c>
      <c r="F20" t="s">
        <v>513</v>
      </c>
      <c r="G20" t="s">
        <v>860</v>
      </c>
      <c r="H20" t="s">
        <v>861</v>
      </c>
      <c r="I20" t="s">
        <v>8247</v>
      </c>
      <c r="K20" t="s">
        <v>165</v>
      </c>
      <c r="L20" t="s">
        <v>358</v>
      </c>
      <c r="N20" t="str">
        <f t="shared" si="1"/>
        <v>Szanowna Pani</v>
      </c>
      <c r="P20" s="19" t="s">
        <v>9776</v>
      </c>
      <c r="U20" t="str">
        <f t="shared" si="2"/>
        <v>tak</v>
      </c>
    </row>
    <row r="21" spans="1:21">
      <c r="A21">
        <v>20</v>
      </c>
      <c r="B21" t="s">
        <v>103</v>
      </c>
      <c r="C21" t="s">
        <v>110</v>
      </c>
      <c r="D21" t="s">
        <v>514</v>
      </c>
      <c r="E21" t="s">
        <v>592</v>
      </c>
      <c r="F21" t="s">
        <v>593</v>
      </c>
      <c r="G21" t="s">
        <v>862</v>
      </c>
      <c r="H21" t="s">
        <v>863</v>
      </c>
      <c r="I21" t="s">
        <v>8248</v>
      </c>
      <c r="K21" t="s">
        <v>164</v>
      </c>
      <c r="L21" t="s">
        <v>358</v>
      </c>
      <c r="N21" t="str">
        <f t="shared" si="1"/>
        <v>Szanowna Pani</v>
      </c>
      <c r="O21" s="19" t="s">
        <v>9776</v>
      </c>
      <c r="U21" t="str">
        <f t="shared" si="2"/>
        <v>tak</v>
      </c>
    </row>
    <row r="22" spans="1:21">
      <c r="A22">
        <v>21</v>
      </c>
      <c r="B22" t="s">
        <v>103</v>
      </c>
      <c r="C22" t="s">
        <v>111</v>
      </c>
      <c r="D22" t="s">
        <v>515</v>
      </c>
      <c r="E22" t="s">
        <v>594</v>
      </c>
      <c r="F22" t="s">
        <v>588</v>
      </c>
      <c r="G22" t="s">
        <v>864</v>
      </c>
      <c r="H22" t="s">
        <v>865</v>
      </c>
      <c r="I22" t="s">
        <v>8249</v>
      </c>
      <c r="K22" t="s">
        <v>565</v>
      </c>
      <c r="L22" t="s">
        <v>358</v>
      </c>
      <c r="N22" t="str">
        <f t="shared" si="1"/>
        <v>Szanowna Pani</v>
      </c>
      <c r="P22" s="19" t="s">
        <v>9776</v>
      </c>
      <c r="Q22" s="19" t="s">
        <v>9776</v>
      </c>
      <c r="U22" t="str">
        <f t="shared" si="2"/>
        <v>taktak</v>
      </c>
    </row>
    <row r="23" spans="1:21">
      <c r="A23">
        <v>22</v>
      </c>
      <c r="B23" t="s">
        <v>103</v>
      </c>
      <c r="C23" t="s">
        <v>112</v>
      </c>
      <c r="D23" t="s">
        <v>516</v>
      </c>
      <c r="E23" t="s">
        <v>517</v>
      </c>
      <c r="F23" t="s">
        <v>518</v>
      </c>
      <c r="G23" t="s">
        <v>866</v>
      </c>
      <c r="H23" t="s">
        <v>867</v>
      </c>
      <c r="I23" t="s">
        <v>8250</v>
      </c>
      <c r="K23" t="s">
        <v>164</v>
      </c>
      <c r="L23" t="s">
        <v>358</v>
      </c>
      <c r="N23" t="str">
        <f t="shared" si="1"/>
        <v>Szanowne Panie</v>
      </c>
      <c r="O23" s="19" t="s">
        <v>9776</v>
      </c>
      <c r="U23" t="str">
        <f t="shared" si="2"/>
        <v>tak</v>
      </c>
    </row>
    <row r="24" spans="1:21">
      <c r="A24">
        <v>23</v>
      </c>
      <c r="B24" t="s">
        <v>103</v>
      </c>
      <c r="C24" t="s">
        <v>519</v>
      </c>
      <c r="D24" t="s">
        <v>520</v>
      </c>
      <c r="E24" t="s">
        <v>595</v>
      </c>
      <c r="F24" t="s">
        <v>596</v>
      </c>
      <c r="G24" t="s">
        <v>868</v>
      </c>
      <c r="H24" t="s">
        <v>869</v>
      </c>
      <c r="I24" t="s">
        <v>8251</v>
      </c>
      <c r="K24" t="s">
        <v>597</v>
      </c>
      <c r="L24" t="s">
        <v>358</v>
      </c>
      <c r="N24" t="str">
        <f t="shared" si="1"/>
        <v>Szanowna Pani</v>
      </c>
      <c r="O24" s="19" t="s">
        <v>9776</v>
      </c>
      <c r="U24" t="str">
        <f t="shared" si="2"/>
        <v>tak</v>
      </c>
    </row>
    <row r="25" spans="1:21">
      <c r="A25">
        <v>24</v>
      </c>
      <c r="B25" t="s">
        <v>103</v>
      </c>
      <c r="C25" t="s">
        <v>521</v>
      </c>
      <c r="D25" t="s">
        <v>522</v>
      </c>
      <c r="E25" t="s">
        <v>598</v>
      </c>
      <c r="F25" t="s">
        <v>599</v>
      </c>
      <c r="G25" t="s">
        <v>870</v>
      </c>
      <c r="H25" t="s">
        <v>871</v>
      </c>
      <c r="I25" t="s">
        <v>8252</v>
      </c>
      <c r="K25" t="s">
        <v>164</v>
      </c>
      <c r="L25" t="s">
        <v>358</v>
      </c>
      <c r="N25" t="str">
        <f t="shared" si="1"/>
        <v>Szanowna Pani</v>
      </c>
      <c r="O25" s="19" t="s">
        <v>9776</v>
      </c>
      <c r="U25" t="str">
        <f t="shared" si="2"/>
        <v>tak</v>
      </c>
    </row>
    <row r="26" spans="1:21">
      <c r="A26">
        <v>25</v>
      </c>
      <c r="B26" t="s">
        <v>103</v>
      </c>
      <c r="C26" t="s">
        <v>113</v>
      </c>
      <c r="D26" t="s">
        <v>523</v>
      </c>
      <c r="E26" t="s">
        <v>600</v>
      </c>
      <c r="F26" t="s">
        <v>601</v>
      </c>
      <c r="G26" t="s">
        <v>872</v>
      </c>
      <c r="H26" t="s">
        <v>873</v>
      </c>
      <c r="I26" t="s">
        <v>8253</v>
      </c>
      <c r="K26" t="s">
        <v>165</v>
      </c>
      <c r="L26" t="s">
        <v>358</v>
      </c>
      <c r="N26" t="str">
        <f t="shared" si="1"/>
        <v>Szanowna Pani</v>
      </c>
      <c r="P26" s="19" t="s">
        <v>9776</v>
      </c>
      <c r="U26" t="str">
        <f t="shared" si="2"/>
        <v>tak</v>
      </c>
    </row>
    <row r="27" spans="1:21">
      <c r="A27">
        <v>26</v>
      </c>
      <c r="B27" t="s">
        <v>103</v>
      </c>
      <c r="C27" t="s">
        <v>114</v>
      </c>
      <c r="D27" t="s">
        <v>524</v>
      </c>
      <c r="E27" t="s">
        <v>602</v>
      </c>
      <c r="F27" t="s">
        <v>603</v>
      </c>
      <c r="G27" t="s">
        <v>874</v>
      </c>
      <c r="H27" t="s">
        <v>875</v>
      </c>
      <c r="I27" t="s">
        <v>8254</v>
      </c>
      <c r="K27" t="s">
        <v>164</v>
      </c>
      <c r="L27" t="s">
        <v>358</v>
      </c>
      <c r="N27" t="str">
        <f t="shared" si="1"/>
        <v>Szanowne Panie</v>
      </c>
      <c r="O27" s="19" t="s">
        <v>9776</v>
      </c>
      <c r="U27" t="str">
        <f t="shared" si="2"/>
        <v>tak</v>
      </c>
    </row>
    <row r="28" spans="1:21">
      <c r="A28">
        <v>27</v>
      </c>
      <c r="B28" t="s">
        <v>103</v>
      </c>
      <c r="C28" t="s">
        <v>115</v>
      </c>
      <c r="D28" t="s">
        <v>525</v>
      </c>
      <c r="E28" t="s">
        <v>604</v>
      </c>
      <c r="F28" t="s">
        <v>605</v>
      </c>
      <c r="G28" t="s">
        <v>876</v>
      </c>
      <c r="H28" t="s">
        <v>877</v>
      </c>
      <c r="I28" t="s">
        <v>8255</v>
      </c>
      <c r="K28" t="s">
        <v>165</v>
      </c>
      <c r="L28" t="s">
        <v>358</v>
      </c>
      <c r="N28" t="str">
        <f t="shared" si="1"/>
        <v>Szanowna Pani</v>
      </c>
      <c r="P28" s="19" t="s">
        <v>9776</v>
      </c>
      <c r="U28" t="str">
        <f t="shared" si="2"/>
        <v>tak</v>
      </c>
    </row>
    <row r="29" spans="1:21">
      <c r="A29">
        <v>28</v>
      </c>
      <c r="B29" t="s">
        <v>103</v>
      </c>
      <c r="C29" t="s">
        <v>115</v>
      </c>
      <c r="D29" t="s">
        <v>526</v>
      </c>
      <c r="E29" t="s">
        <v>606</v>
      </c>
      <c r="F29" t="s">
        <v>607</v>
      </c>
      <c r="G29" t="s">
        <v>878</v>
      </c>
      <c r="H29" t="s">
        <v>879</v>
      </c>
      <c r="I29" t="s">
        <v>8256</v>
      </c>
      <c r="K29" t="s">
        <v>165</v>
      </c>
      <c r="L29" t="s">
        <v>358</v>
      </c>
      <c r="N29" t="str">
        <f t="shared" si="1"/>
        <v>Szanowna Pani</v>
      </c>
      <c r="P29" s="19" t="s">
        <v>9776</v>
      </c>
      <c r="U29" t="str">
        <f t="shared" si="2"/>
        <v>tak</v>
      </c>
    </row>
    <row r="30" spans="1:21">
      <c r="A30">
        <v>29</v>
      </c>
      <c r="B30" t="s">
        <v>103</v>
      </c>
      <c r="C30" t="s">
        <v>527</v>
      </c>
      <c r="D30" t="s">
        <v>528</v>
      </c>
      <c r="E30" t="s">
        <v>529</v>
      </c>
      <c r="F30" t="s">
        <v>530</v>
      </c>
      <c r="G30" t="s">
        <v>880</v>
      </c>
      <c r="H30" t="s">
        <v>881</v>
      </c>
      <c r="I30" t="s">
        <v>8257</v>
      </c>
      <c r="K30" t="s">
        <v>165</v>
      </c>
      <c r="L30" t="s">
        <v>358</v>
      </c>
      <c r="N30" t="str">
        <f t="shared" si="1"/>
        <v>Szanowna Pani</v>
      </c>
      <c r="P30" s="19" t="s">
        <v>9776</v>
      </c>
      <c r="U30" t="str">
        <f t="shared" si="2"/>
        <v>tak</v>
      </c>
    </row>
    <row r="31" spans="1:21">
      <c r="A31">
        <v>30</v>
      </c>
      <c r="B31" t="s">
        <v>103</v>
      </c>
      <c r="C31" t="s">
        <v>116</v>
      </c>
      <c r="D31" t="s">
        <v>531</v>
      </c>
      <c r="E31" t="s">
        <v>608</v>
      </c>
      <c r="F31" t="s">
        <v>609</v>
      </c>
      <c r="G31" t="s">
        <v>882</v>
      </c>
      <c r="H31" t="s">
        <v>883</v>
      </c>
      <c r="I31" t="s">
        <v>8258</v>
      </c>
      <c r="K31" t="s">
        <v>164</v>
      </c>
      <c r="L31" t="s">
        <v>358</v>
      </c>
      <c r="N31" t="str">
        <f t="shared" si="1"/>
        <v>Szanowna Pani</v>
      </c>
      <c r="O31" s="19" t="s">
        <v>9776</v>
      </c>
      <c r="U31" t="str">
        <f t="shared" si="2"/>
        <v>tak</v>
      </c>
    </row>
    <row r="32" spans="1:21">
      <c r="A32">
        <v>31</v>
      </c>
      <c r="B32" t="s">
        <v>103</v>
      </c>
      <c r="C32" t="s">
        <v>117</v>
      </c>
      <c r="D32" t="s">
        <v>532</v>
      </c>
      <c r="E32" t="s">
        <v>610</v>
      </c>
      <c r="F32" t="s">
        <v>611</v>
      </c>
      <c r="G32" t="s">
        <v>884</v>
      </c>
      <c r="H32" t="s">
        <v>885</v>
      </c>
      <c r="I32" t="s">
        <v>8259</v>
      </c>
      <c r="K32" t="s">
        <v>164</v>
      </c>
      <c r="L32" t="s">
        <v>358</v>
      </c>
      <c r="N32" t="str">
        <f t="shared" si="1"/>
        <v>Szanowna Pani</v>
      </c>
      <c r="O32" s="19" t="s">
        <v>9776</v>
      </c>
      <c r="U32" t="str">
        <f t="shared" si="2"/>
        <v>tak</v>
      </c>
    </row>
    <row r="33" spans="1:21">
      <c r="A33">
        <v>32</v>
      </c>
      <c r="B33" t="s">
        <v>103</v>
      </c>
      <c r="C33" t="s">
        <v>117</v>
      </c>
      <c r="D33" t="s">
        <v>533</v>
      </c>
      <c r="E33" t="s">
        <v>118</v>
      </c>
      <c r="F33" t="s">
        <v>534</v>
      </c>
      <c r="G33" t="s">
        <v>886</v>
      </c>
      <c r="H33" t="s">
        <v>887</v>
      </c>
      <c r="I33" t="s">
        <v>8260</v>
      </c>
      <c r="K33" t="s">
        <v>165</v>
      </c>
      <c r="L33" t="s">
        <v>358</v>
      </c>
      <c r="N33" t="str">
        <f t="shared" si="1"/>
        <v>Szanowna Pani</v>
      </c>
      <c r="P33" s="19" t="s">
        <v>9776</v>
      </c>
      <c r="U33" t="str">
        <f t="shared" si="2"/>
        <v>tak</v>
      </c>
    </row>
    <row r="34" spans="1:21">
      <c r="A34">
        <v>33</v>
      </c>
      <c r="B34" t="s">
        <v>103</v>
      </c>
      <c r="C34" t="s">
        <v>119</v>
      </c>
      <c r="D34" t="s">
        <v>535</v>
      </c>
      <c r="E34" t="s">
        <v>612</v>
      </c>
      <c r="F34" t="s">
        <v>613</v>
      </c>
      <c r="G34" t="s">
        <v>888</v>
      </c>
      <c r="H34" t="s">
        <v>889</v>
      </c>
      <c r="I34" t="s">
        <v>8261</v>
      </c>
      <c r="K34" t="s">
        <v>165</v>
      </c>
      <c r="L34" t="s">
        <v>358</v>
      </c>
      <c r="N34" t="str">
        <f t="shared" si="1"/>
        <v>Szanowna Pani</v>
      </c>
      <c r="P34" s="19" t="s">
        <v>9776</v>
      </c>
      <c r="U34" t="str">
        <f t="shared" si="2"/>
        <v>tak</v>
      </c>
    </row>
    <row r="35" spans="1:21">
      <c r="A35">
        <v>34</v>
      </c>
      <c r="B35" t="s">
        <v>103</v>
      </c>
      <c r="C35" t="s">
        <v>119</v>
      </c>
      <c r="D35" t="s">
        <v>536</v>
      </c>
      <c r="E35" t="s">
        <v>537</v>
      </c>
      <c r="F35" t="s">
        <v>538</v>
      </c>
      <c r="G35" t="s">
        <v>890</v>
      </c>
      <c r="H35" t="s">
        <v>891</v>
      </c>
      <c r="I35" t="s">
        <v>8262</v>
      </c>
      <c r="K35" t="s">
        <v>164</v>
      </c>
      <c r="L35" t="s">
        <v>358</v>
      </c>
      <c r="N35" t="str">
        <f t="shared" si="1"/>
        <v>Szanowna Pani</v>
      </c>
      <c r="O35" s="19" t="s">
        <v>9776</v>
      </c>
      <c r="U35" t="str">
        <f t="shared" si="2"/>
        <v>tak</v>
      </c>
    </row>
    <row r="36" spans="1:21">
      <c r="A36">
        <v>35</v>
      </c>
      <c r="B36" t="s">
        <v>103</v>
      </c>
      <c r="C36" t="s">
        <v>120</v>
      </c>
      <c r="D36" t="s">
        <v>539</v>
      </c>
      <c r="E36" t="s">
        <v>803</v>
      </c>
      <c r="F36" t="s">
        <v>804</v>
      </c>
      <c r="G36" t="s">
        <v>892</v>
      </c>
      <c r="H36" t="s">
        <v>893</v>
      </c>
      <c r="I36" t="s">
        <v>8263</v>
      </c>
      <c r="K36" t="s">
        <v>164</v>
      </c>
      <c r="L36" t="s">
        <v>358</v>
      </c>
      <c r="N36" t="str">
        <f t="shared" si="1"/>
        <v>Szanowna Pani</v>
      </c>
      <c r="O36" s="19" t="s">
        <v>9776</v>
      </c>
      <c r="U36" t="str">
        <f t="shared" si="2"/>
        <v>tak</v>
      </c>
    </row>
    <row r="37" spans="1:21">
      <c r="A37">
        <v>36</v>
      </c>
      <c r="B37" t="s">
        <v>103</v>
      </c>
      <c r="C37" t="s">
        <v>121</v>
      </c>
      <c r="D37" t="s">
        <v>540</v>
      </c>
      <c r="E37" t="s">
        <v>805</v>
      </c>
      <c r="F37" t="s">
        <v>806</v>
      </c>
      <c r="G37" t="s">
        <v>894</v>
      </c>
      <c r="H37" t="s">
        <v>895</v>
      </c>
      <c r="I37" t="s">
        <v>8264</v>
      </c>
      <c r="K37" t="s">
        <v>164</v>
      </c>
      <c r="L37" t="s">
        <v>358</v>
      </c>
      <c r="N37" t="str">
        <f t="shared" si="1"/>
        <v>Szanowna Pani</v>
      </c>
      <c r="O37" s="19" t="s">
        <v>9776</v>
      </c>
      <c r="U37" t="str">
        <f t="shared" si="2"/>
        <v>tak</v>
      </c>
    </row>
    <row r="38" spans="1:21">
      <c r="A38">
        <v>37</v>
      </c>
      <c r="B38" t="s">
        <v>103</v>
      </c>
      <c r="C38" t="s">
        <v>122</v>
      </c>
      <c r="D38" t="s">
        <v>541</v>
      </c>
      <c r="E38" t="s">
        <v>807</v>
      </c>
      <c r="F38" t="s">
        <v>808</v>
      </c>
      <c r="G38" t="s">
        <v>896</v>
      </c>
      <c r="H38" t="s">
        <v>897</v>
      </c>
      <c r="I38" t="s">
        <v>8265</v>
      </c>
      <c r="K38" t="s">
        <v>542</v>
      </c>
      <c r="L38" t="s">
        <v>358</v>
      </c>
      <c r="N38" t="str">
        <f t="shared" si="1"/>
        <v>Szanowna Pani</v>
      </c>
      <c r="P38" s="19" t="s">
        <v>9776</v>
      </c>
      <c r="Q38" s="19" t="s">
        <v>9776</v>
      </c>
      <c r="U38" t="str">
        <f t="shared" si="2"/>
        <v>taktak</v>
      </c>
    </row>
    <row r="39" spans="1:21">
      <c r="A39">
        <v>38</v>
      </c>
      <c r="B39" t="s">
        <v>103</v>
      </c>
      <c r="C39" t="s">
        <v>122</v>
      </c>
      <c r="D39" t="s">
        <v>543</v>
      </c>
      <c r="E39" t="s">
        <v>809</v>
      </c>
      <c r="F39" t="s">
        <v>810</v>
      </c>
      <c r="G39" t="s">
        <v>898</v>
      </c>
      <c r="H39" t="s">
        <v>899</v>
      </c>
      <c r="I39" t="s">
        <v>8266</v>
      </c>
      <c r="K39" t="s">
        <v>164</v>
      </c>
      <c r="L39" t="s">
        <v>358</v>
      </c>
      <c r="N39" t="str">
        <f t="shared" si="1"/>
        <v>Szanowna Pani</v>
      </c>
      <c r="O39" s="19" t="s">
        <v>9776</v>
      </c>
      <c r="U39" t="str">
        <f t="shared" si="2"/>
        <v>tak</v>
      </c>
    </row>
    <row r="40" spans="1:21">
      <c r="A40">
        <v>39</v>
      </c>
      <c r="B40" t="s">
        <v>103</v>
      </c>
      <c r="C40" t="s">
        <v>122</v>
      </c>
      <c r="D40" t="s">
        <v>544</v>
      </c>
      <c r="E40" t="s">
        <v>545</v>
      </c>
      <c r="F40" t="s">
        <v>546</v>
      </c>
      <c r="G40" t="s">
        <v>900</v>
      </c>
      <c r="H40" t="s">
        <v>901</v>
      </c>
      <c r="I40" t="s">
        <v>8267</v>
      </c>
      <c r="K40" t="s">
        <v>165</v>
      </c>
      <c r="L40" t="s">
        <v>358</v>
      </c>
      <c r="N40" t="str">
        <f t="shared" si="1"/>
        <v>Szanowny Pan</v>
      </c>
      <c r="P40" s="19" t="s">
        <v>9776</v>
      </c>
      <c r="U40" t="str">
        <f t="shared" si="2"/>
        <v>tak</v>
      </c>
    </row>
    <row r="41" spans="1:21">
      <c r="A41">
        <v>40</v>
      </c>
      <c r="B41" t="s">
        <v>103</v>
      </c>
      <c r="C41" t="s">
        <v>123</v>
      </c>
      <c r="D41" t="s">
        <v>547</v>
      </c>
      <c r="E41" t="s">
        <v>548</v>
      </c>
      <c r="F41" t="s">
        <v>549</v>
      </c>
      <c r="G41" t="s">
        <v>902</v>
      </c>
      <c r="H41" t="s">
        <v>903</v>
      </c>
      <c r="I41" t="s">
        <v>8268</v>
      </c>
      <c r="K41" t="s">
        <v>597</v>
      </c>
      <c r="L41" t="s">
        <v>358</v>
      </c>
      <c r="N41" t="str">
        <f t="shared" si="1"/>
        <v>Szanowna Pani</v>
      </c>
      <c r="O41" s="19" t="s">
        <v>9776</v>
      </c>
      <c r="U41" t="str">
        <f t="shared" si="2"/>
        <v>tak</v>
      </c>
    </row>
    <row r="42" spans="1:21">
      <c r="A42">
        <v>41</v>
      </c>
      <c r="B42" t="s">
        <v>103</v>
      </c>
      <c r="C42" t="s">
        <v>124</v>
      </c>
      <c r="D42" t="s">
        <v>550</v>
      </c>
      <c r="E42" t="s">
        <v>811</v>
      </c>
      <c r="F42" t="s">
        <v>812</v>
      </c>
      <c r="G42" t="s">
        <v>904</v>
      </c>
      <c r="H42" t="s">
        <v>905</v>
      </c>
      <c r="I42" t="s">
        <v>8269</v>
      </c>
      <c r="K42" t="s">
        <v>164</v>
      </c>
      <c r="L42" t="s">
        <v>358</v>
      </c>
      <c r="N42" t="str">
        <f t="shared" si="1"/>
        <v>Szanowna Pani</v>
      </c>
      <c r="O42" s="19" t="s">
        <v>9776</v>
      </c>
      <c r="U42" t="str">
        <f t="shared" si="2"/>
        <v>tak</v>
      </c>
    </row>
    <row r="43" spans="1:21">
      <c r="A43">
        <v>42</v>
      </c>
      <c r="B43" t="s">
        <v>103</v>
      </c>
      <c r="C43" t="s">
        <v>124</v>
      </c>
      <c r="D43" t="s">
        <v>550</v>
      </c>
      <c r="E43" t="s">
        <v>811</v>
      </c>
      <c r="F43" t="s">
        <v>812</v>
      </c>
      <c r="G43" t="s">
        <v>904</v>
      </c>
      <c r="H43" t="s">
        <v>906</v>
      </c>
      <c r="I43" t="s">
        <v>8270</v>
      </c>
      <c r="K43" t="s">
        <v>165</v>
      </c>
      <c r="N43" t="str">
        <f t="shared" si="1"/>
        <v>Szanowna Pani</v>
      </c>
      <c r="P43" s="19" t="s">
        <v>9776</v>
      </c>
      <c r="U43" t="str">
        <f t="shared" si="2"/>
        <v>tak</v>
      </c>
    </row>
    <row r="44" spans="1:21">
      <c r="A44">
        <v>43</v>
      </c>
      <c r="B44" t="s">
        <v>103</v>
      </c>
      <c r="C44" t="s">
        <v>125</v>
      </c>
      <c r="D44" t="s">
        <v>551</v>
      </c>
      <c r="E44" t="s">
        <v>552</v>
      </c>
      <c r="F44" t="s">
        <v>553</v>
      </c>
      <c r="G44" t="s">
        <v>907</v>
      </c>
      <c r="H44" t="s">
        <v>908</v>
      </c>
      <c r="I44" t="s">
        <v>8271</v>
      </c>
      <c r="K44" t="s">
        <v>165</v>
      </c>
      <c r="L44" t="s">
        <v>358</v>
      </c>
      <c r="N44" t="str">
        <f t="shared" si="1"/>
        <v>Szanowna Pani</v>
      </c>
      <c r="P44" s="19" t="s">
        <v>9776</v>
      </c>
      <c r="U44" t="str">
        <f t="shared" si="2"/>
        <v>tak</v>
      </c>
    </row>
    <row r="45" spans="1:21">
      <c r="A45">
        <v>44</v>
      </c>
      <c r="B45" t="s">
        <v>103</v>
      </c>
      <c r="C45" t="s">
        <v>126</v>
      </c>
      <c r="D45" t="s">
        <v>554</v>
      </c>
      <c r="E45" t="s">
        <v>813</v>
      </c>
      <c r="F45" t="s">
        <v>814</v>
      </c>
      <c r="G45" t="s">
        <v>909</v>
      </c>
      <c r="H45" t="s">
        <v>910</v>
      </c>
      <c r="I45" t="s">
        <v>8272</v>
      </c>
      <c r="K45" t="s">
        <v>165</v>
      </c>
      <c r="L45" t="s">
        <v>358</v>
      </c>
      <c r="N45" t="str">
        <f t="shared" si="1"/>
        <v>Szanowna Pani</v>
      </c>
      <c r="P45" s="19" t="s">
        <v>9776</v>
      </c>
      <c r="U45" t="str">
        <f t="shared" si="2"/>
        <v>tak</v>
      </c>
    </row>
    <row r="46" spans="1:21">
      <c r="A46">
        <v>45</v>
      </c>
      <c r="B46" t="s">
        <v>103</v>
      </c>
      <c r="C46" t="s">
        <v>127</v>
      </c>
      <c r="D46" t="s">
        <v>555</v>
      </c>
      <c r="E46" t="s">
        <v>815</v>
      </c>
      <c r="F46" t="s">
        <v>816</v>
      </c>
      <c r="G46" t="s">
        <v>911</v>
      </c>
      <c r="H46" t="s">
        <v>912</v>
      </c>
      <c r="I46" t="s">
        <v>8273</v>
      </c>
      <c r="K46" t="s">
        <v>164</v>
      </c>
      <c r="L46" t="s">
        <v>358</v>
      </c>
      <c r="N46" t="str">
        <f t="shared" si="1"/>
        <v>Szanowna Pani</v>
      </c>
      <c r="O46" s="19" t="s">
        <v>9776</v>
      </c>
      <c r="U46" t="str">
        <f t="shared" si="2"/>
        <v>tak</v>
      </c>
    </row>
    <row r="47" spans="1:21">
      <c r="A47">
        <v>46</v>
      </c>
      <c r="B47" t="s">
        <v>103</v>
      </c>
      <c r="C47" t="s">
        <v>128</v>
      </c>
      <c r="D47" t="s">
        <v>556</v>
      </c>
      <c r="E47" t="s">
        <v>557</v>
      </c>
      <c r="F47" t="s">
        <v>817</v>
      </c>
      <c r="G47" t="s">
        <v>913</v>
      </c>
      <c r="H47" t="s">
        <v>914</v>
      </c>
      <c r="I47" t="s">
        <v>8274</v>
      </c>
      <c r="K47" t="s">
        <v>164</v>
      </c>
      <c r="L47" t="s">
        <v>358</v>
      </c>
      <c r="N47" t="str">
        <f t="shared" si="1"/>
        <v>Szanowna Pani</v>
      </c>
      <c r="O47" s="19" t="s">
        <v>9776</v>
      </c>
      <c r="U47" t="str">
        <f t="shared" si="2"/>
        <v>tak</v>
      </c>
    </row>
    <row r="48" spans="1:21">
      <c r="A48">
        <v>47</v>
      </c>
      <c r="B48" t="s">
        <v>103</v>
      </c>
      <c r="C48" t="s">
        <v>129</v>
      </c>
      <c r="D48" t="s">
        <v>558</v>
      </c>
      <c r="E48" t="s">
        <v>559</v>
      </c>
      <c r="F48" t="s">
        <v>560</v>
      </c>
      <c r="G48" t="s">
        <v>915</v>
      </c>
      <c r="H48" t="s">
        <v>916</v>
      </c>
      <c r="I48" t="s">
        <v>8275</v>
      </c>
      <c r="K48" t="s">
        <v>165</v>
      </c>
      <c r="L48" t="s">
        <v>358</v>
      </c>
      <c r="N48" t="str">
        <f t="shared" si="1"/>
        <v>Szanowna Pani</v>
      </c>
      <c r="P48" s="19" t="s">
        <v>9776</v>
      </c>
      <c r="U48" t="str">
        <f t="shared" si="2"/>
        <v>tak</v>
      </c>
    </row>
    <row r="49" spans="1:21">
      <c r="A49">
        <v>48</v>
      </c>
      <c r="B49" t="s">
        <v>103</v>
      </c>
      <c r="C49" t="s">
        <v>130</v>
      </c>
      <c r="D49" t="s">
        <v>561</v>
      </c>
      <c r="E49" t="s">
        <v>818</v>
      </c>
      <c r="F49" t="s">
        <v>819</v>
      </c>
      <c r="G49" t="s">
        <v>917</v>
      </c>
      <c r="H49" t="s">
        <v>918</v>
      </c>
      <c r="I49" t="s">
        <v>8276</v>
      </c>
      <c r="K49" t="s">
        <v>165</v>
      </c>
      <c r="L49" t="s">
        <v>358</v>
      </c>
      <c r="N49" t="str">
        <f t="shared" si="1"/>
        <v>Szanowna Pani</v>
      </c>
      <c r="P49" s="19" t="s">
        <v>9776</v>
      </c>
      <c r="U49" t="str">
        <f t="shared" si="2"/>
        <v>tak</v>
      </c>
    </row>
    <row r="50" spans="1:21">
      <c r="A50">
        <v>49</v>
      </c>
      <c r="B50" t="s">
        <v>103</v>
      </c>
      <c r="C50" t="s">
        <v>130</v>
      </c>
      <c r="D50" t="s">
        <v>562</v>
      </c>
      <c r="E50" t="s">
        <v>563</v>
      </c>
      <c r="F50" t="s">
        <v>821</v>
      </c>
      <c r="G50" t="s">
        <v>919</v>
      </c>
      <c r="H50" t="s">
        <v>920</v>
      </c>
      <c r="I50" t="s">
        <v>8277</v>
      </c>
      <c r="K50" t="s">
        <v>164</v>
      </c>
      <c r="L50" t="s">
        <v>358</v>
      </c>
      <c r="N50" t="str">
        <f t="shared" si="1"/>
        <v>Szanowna Pani</v>
      </c>
      <c r="O50" s="19" t="s">
        <v>9776</v>
      </c>
      <c r="U50" t="str">
        <f t="shared" si="2"/>
        <v>tak</v>
      </c>
    </row>
    <row r="51" spans="1:21">
      <c r="A51">
        <v>50</v>
      </c>
      <c r="B51" t="s">
        <v>103</v>
      </c>
      <c r="C51" t="s">
        <v>131</v>
      </c>
      <c r="D51" t="s">
        <v>564</v>
      </c>
      <c r="E51" t="s">
        <v>822</v>
      </c>
      <c r="F51" t="s">
        <v>823</v>
      </c>
      <c r="G51" t="s">
        <v>921</v>
      </c>
      <c r="H51" t="s">
        <v>922</v>
      </c>
      <c r="I51" t="s">
        <v>8278</v>
      </c>
      <c r="K51" t="s">
        <v>165</v>
      </c>
      <c r="L51" t="s">
        <v>358</v>
      </c>
      <c r="N51" t="str">
        <f t="shared" si="1"/>
        <v>Szanowna Pani</v>
      </c>
      <c r="P51" s="19" t="s">
        <v>9776</v>
      </c>
      <c r="U51" t="str">
        <f t="shared" ref="U51:U88" si="3">+O51 &amp;P51&amp;Q51</f>
        <v>tak</v>
      </c>
    </row>
    <row r="52" spans="1:21">
      <c r="A52">
        <v>96</v>
      </c>
      <c r="B52" t="s">
        <v>132</v>
      </c>
      <c r="C52" t="s">
        <v>133</v>
      </c>
      <c r="D52" t="s">
        <v>161</v>
      </c>
      <c r="E52" t="s">
        <v>162</v>
      </c>
      <c r="F52" t="s">
        <v>163</v>
      </c>
      <c r="G52" t="s">
        <v>356</v>
      </c>
      <c r="H52" t="s">
        <v>357</v>
      </c>
      <c r="I52" t="s">
        <v>739</v>
      </c>
      <c r="N52" t="str">
        <f t="shared" ref="N52:N85" si="4">IF(ISERROR(FIND(",",H52)),IF(MID(H52,FIND(" ",H52)-1,1)="a","Szanowna Pani","Szanowny Pan"), "Szanowne Panie")</f>
        <v>Szanowna Pani</v>
      </c>
      <c r="O52" s="19" t="s">
        <v>9776</v>
      </c>
      <c r="U52" t="str">
        <f t="shared" si="3"/>
        <v>tak</v>
      </c>
    </row>
    <row r="53" spans="1:21">
      <c r="A53">
        <v>97</v>
      </c>
      <c r="B53" t="s">
        <v>132</v>
      </c>
      <c r="C53" t="s">
        <v>133</v>
      </c>
      <c r="D53" t="s">
        <v>161</v>
      </c>
      <c r="E53" t="s">
        <v>162</v>
      </c>
      <c r="F53" t="s">
        <v>163</v>
      </c>
      <c r="G53" t="s">
        <v>356</v>
      </c>
      <c r="H53" t="s">
        <v>359</v>
      </c>
      <c r="I53" t="s">
        <v>740</v>
      </c>
      <c r="K53" t="s">
        <v>165</v>
      </c>
      <c r="N53" t="str">
        <f t="shared" si="4"/>
        <v>Szanowna Pani</v>
      </c>
      <c r="P53" s="19" t="s">
        <v>9776</v>
      </c>
      <c r="U53" t="str">
        <f t="shared" si="3"/>
        <v>tak</v>
      </c>
    </row>
    <row r="54" spans="1:21">
      <c r="A54">
        <v>98</v>
      </c>
      <c r="B54" t="s">
        <v>132</v>
      </c>
      <c r="C54" t="s">
        <v>134</v>
      </c>
      <c r="D54" t="s">
        <v>166</v>
      </c>
      <c r="E54" t="s">
        <v>167</v>
      </c>
      <c r="F54" t="s">
        <v>168</v>
      </c>
      <c r="G54" t="s">
        <v>360</v>
      </c>
      <c r="H54" t="s">
        <v>361</v>
      </c>
      <c r="I54" t="s">
        <v>741</v>
      </c>
      <c r="K54" t="s">
        <v>164</v>
      </c>
      <c r="N54" t="str">
        <f t="shared" si="4"/>
        <v>Szanowna Pani</v>
      </c>
      <c r="O54" s="19" t="s">
        <v>9776</v>
      </c>
      <c r="U54" t="str">
        <f t="shared" si="3"/>
        <v>tak</v>
      </c>
    </row>
    <row r="55" spans="1:21">
      <c r="A55">
        <v>99</v>
      </c>
      <c r="B55" t="s">
        <v>132</v>
      </c>
      <c r="C55" t="s">
        <v>132</v>
      </c>
      <c r="D55" t="s">
        <v>169</v>
      </c>
      <c r="E55" t="s">
        <v>170</v>
      </c>
      <c r="F55" t="s">
        <v>171</v>
      </c>
      <c r="G55" t="s">
        <v>362</v>
      </c>
      <c r="H55" t="s">
        <v>363</v>
      </c>
      <c r="I55" t="s">
        <v>742</v>
      </c>
      <c r="K55" t="s">
        <v>164</v>
      </c>
      <c r="N55" t="str">
        <f t="shared" si="4"/>
        <v>Szanowna Pani</v>
      </c>
      <c r="O55" s="19" t="s">
        <v>9776</v>
      </c>
      <c r="U55" t="str">
        <f t="shared" si="3"/>
        <v>tak</v>
      </c>
    </row>
    <row r="56" spans="1:21">
      <c r="A56">
        <v>100</v>
      </c>
      <c r="B56" t="s">
        <v>132</v>
      </c>
      <c r="C56" t="s">
        <v>132</v>
      </c>
      <c r="D56" t="s">
        <v>172</v>
      </c>
      <c r="E56" t="s">
        <v>173</v>
      </c>
      <c r="F56" t="s">
        <v>174</v>
      </c>
      <c r="G56" t="s">
        <v>364</v>
      </c>
      <c r="H56" t="s">
        <v>365</v>
      </c>
      <c r="I56" t="s">
        <v>743</v>
      </c>
      <c r="K56" t="s">
        <v>164</v>
      </c>
      <c r="N56" t="str">
        <f t="shared" si="4"/>
        <v>Szanowna Pani</v>
      </c>
      <c r="O56" s="19" t="s">
        <v>9776</v>
      </c>
      <c r="U56" t="str">
        <f t="shared" si="3"/>
        <v>tak</v>
      </c>
    </row>
    <row r="57" spans="1:21">
      <c r="A57">
        <v>101</v>
      </c>
      <c r="B57" t="s">
        <v>132</v>
      </c>
      <c r="C57" t="s">
        <v>132</v>
      </c>
      <c r="D57" t="s">
        <v>175</v>
      </c>
      <c r="E57" t="s">
        <v>176</v>
      </c>
      <c r="F57" t="s">
        <v>177</v>
      </c>
      <c r="G57" t="s">
        <v>366</v>
      </c>
      <c r="H57" t="s">
        <v>367</v>
      </c>
      <c r="I57" t="s">
        <v>744</v>
      </c>
      <c r="K57" t="s">
        <v>164</v>
      </c>
      <c r="N57" t="str">
        <f t="shared" si="4"/>
        <v>Szanowna Pani</v>
      </c>
      <c r="O57" s="19" t="s">
        <v>9776</v>
      </c>
      <c r="U57" t="str">
        <f t="shared" si="3"/>
        <v>tak</v>
      </c>
    </row>
    <row r="58" spans="1:21">
      <c r="A58">
        <v>102</v>
      </c>
      <c r="B58" t="s">
        <v>132</v>
      </c>
      <c r="C58" t="s">
        <v>132</v>
      </c>
      <c r="D58" t="s">
        <v>178</v>
      </c>
      <c r="E58" t="s">
        <v>179</v>
      </c>
      <c r="F58" t="s">
        <v>180</v>
      </c>
      <c r="G58" t="s">
        <v>368</v>
      </c>
      <c r="H58" t="s">
        <v>369</v>
      </c>
      <c r="I58" t="s">
        <v>745</v>
      </c>
      <c r="K58" t="s">
        <v>164</v>
      </c>
      <c r="N58" t="str">
        <f t="shared" si="4"/>
        <v>Szanowna Pani</v>
      </c>
      <c r="O58" s="19" t="s">
        <v>9776</v>
      </c>
      <c r="U58" t="str">
        <f t="shared" si="3"/>
        <v>tak</v>
      </c>
    </row>
    <row r="59" spans="1:21">
      <c r="A59">
        <v>103</v>
      </c>
      <c r="B59" t="s">
        <v>132</v>
      </c>
      <c r="C59" t="s">
        <v>132</v>
      </c>
      <c r="D59" t="s">
        <v>178</v>
      </c>
      <c r="E59" t="s">
        <v>181</v>
      </c>
      <c r="F59" t="s">
        <v>182</v>
      </c>
      <c r="G59" t="s">
        <v>370</v>
      </c>
      <c r="H59" t="s">
        <v>371</v>
      </c>
      <c r="I59" t="s">
        <v>746</v>
      </c>
      <c r="K59" t="s">
        <v>165</v>
      </c>
      <c r="N59" t="str">
        <f t="shared" si="4"/>
        <v>Szanowna Pani</v>
      </c>
      <c r="P59" s="19" t="s">
        <v>9776</v>
      </c>
      <c r="U59" t="str">
        <f t="shared" si="3"/>
        <v>tak</v>
      </c>
    </row>
    <row r="60" spans="1:21">
      <c r="A60">
        <v>104</v>
      </c>
      <c r="B60" t="s">
        <v>132</v>
      </c>
      <c r="C60" t="s">
        <v>132</v>
      </c>
      <c r="D60" t="s">
        <v>183</v>
      </c>
      <c r="E60" t="s">
        <v>184</v>
      </c>
      <c r="F60" t="s">
        <v>185</v>
      </c>
      <c r="G60" t="s">
        <v>372</v>
      </c>
      <c r="H60" t="s">
        <v>373</v>
      </c>
      <c r="I60" t="s">
        <v>747</v>
      </c>
      <c r="K60" t="s">
        <v>164</v>
      </c>
      <c r="N60" t="str">
        <f t="shared" si="4"/>
        <v>Szanowna Pani</v>
      </c>
      <c r="O60" s="19" t="s">
        <v>9776</v>
      </c>
      <c r="U60" t="str">
        <f t="shared" si="3"/>
        <v>tak</v>
      </c>
    </row>
    <row r="61" spans="1:21">
      <c r="A61">
        <v>105</v>
      </c>
      <c r="B61" t="s">
        <v>132</v>
      </c>
      <c r="C61" t="s">
        <v>132</v>
      </c>
      <c r="D61" t="s">
        <v>183</v>
      </c>
      <c r="E61" t="s">
        <v>186</v>
      </c>
      <c r="F61" t="s">
        <v>187</v>
      </c>
      <c r="G61" t="s">
        <v>374</v>
      </c>
      <c r="H61" t="s">
        <v>375</v>
      </c>
      <c r="I61" t="s">
        <v>748</v>
      </c>
      <c r="K61" t="s">
        <v>165</v>
      </c>
      <c r="N61" t="str">
        <f t="shared" si="4"/>
        <v>Szanowna Pani</v>
      </c>
      <c r="P61" s="19" t="s">
        <v>9776</v>
      </c>
      <c r="U61" t="str">
        <f t="shared" si="3"/>
        <v>tak</v>
      </c>
    </row>
    <row r="62" spans="1:21">
      <c r="A62">
        <v>106</v>
      </c>
      <c r="B62" t="s">
        <v>132</v>
      </c>
      <c r="C62" t="s">
        <v>132</v>
      </c>
      <c r="D62" t="s">
        <v>188</v>
      </c>
      <c r="E62" t="s">
        <v>189</v>
      </c>
      <c r="F62" t="s">
        <v>190</v>
      </c>
      <c r="G62" t="s">
        <v>376</v>
      </c>
      <c r="H62" t="s">
        <v>377</v>
      </c>
      <c r="I62" t="s">
        <v>749</v>
      </c>
      <c r="K62" t="s">
        <v>164</v>
      </c>
      <c r="N62" t="str">
        <f t="shared" si="4"/>
        <v>Szanowna Pani</v>
      </c>
      <c r="O62" s="19" t="s">
        <v>9776</v>
      </c>
      <c r="U62" t="str">
        <f t="shared" si="3"/>
        <v>tak</v>
      </c>
    </row>
    <row r="63" spans="1:21">
      <c r="A63">
        <v>107</v>
      </c>
      <c r="B63" t="s">
        <v>132</v>
      </c>
      <c r="C63" t="s">
        <v>132</v>
      </c>
      <c r="D63" t="s">
        <v>188</v>
      </c>
      <c r="E63" t="s">
        <v>189</v>
      </c>
      <c r="F63" t="s">
        <v>190</v>
      </c>
      <c r="G63" t="s">
        <v>376</v>
      </c>
      <c r="H63" t="s">
        <v>378</v>
      </c>
      <c r="I63" t="s">
        <v>749</v>
      </c>
      <c r="K63" t="s">
        <v>165</v>
      </c>
      <c r="N63" t="str">
        <f t="shared" si="4"/>
        <v>Szanowna Pani</v>
      </c>
      <c r="P63" s="19" t="s">
        <v>9776</v>
      </c>
      <c r="U63" t="str">
        <f t="shared" si="3"/>
        <v>tak</v>
      </c>
    </row>
    <row r="64" spans="1:21">
      <c r="A64">
        <v>108</v>
      </c>
      <c r="B64" t="s">
        <v>132</v>
      </c>
      <c r="C64" t="s">
        <v>132</v>
      </c>
      <c r="D64" t="s">
        <v>191</v>
      </c>
      <c r="E64" t="s">
        <v>192</v>
      </c>
      <c r="F64" t="s">
        <v>193</v>
      </c>
      <c r="G64" t="s">
        <v>379</v>
      </c>
      <c r="H64" t="s">
        <v>380</v>
      </c>
      <c r="I64" t="s">
        <v>750</v>
      </c>
      <c r="K64" t="s">
        <v>164</v>
      </c>
      <c r="N64" t="str">
        <f t="shared" si="4"/>
        <v>Szanowna Pani</v>
      </c>
      <c r="O64" s="19" t="s">
        <v>9776</v>
      </c>
      <c r="U64" t="str">
        <f t="shared" si="3"/>
        <v>tak</v>
      </c>
    </row>
    <row r="65" spans="1:21">
      <c r="A65">
        <v>109</v>
      </c>
      <c r="B65" t="s">
        <v>132</v>
      </c>
      <c r="C65" t="s">
        <v>132</v>
      </c>
      <c r="D65" t="s">
        <v>194</v>
      </c>
      <c r="E65" t="s">
        <v>195</v>
      </c>
      <c r="F65" t="s">
        <v>196</v>
      </c>
      <c r="G65" t="s">
        <v>381</v>
      </c>
      <c r="H65" t="s">
        <v>382</v>
      </c>
      <c r="I65" t="s">
        <v>751</v>
      </c>
      <c r="K65" t="s">
        <v>164</v>
      </c>
      <c r="N65" t="str">
        <f t="shared" si="4"/>
        <v>Szanowna Pani</v>
      </c>
      <c r="O65" s="19" t="s">
        <v>9776</v>
      </c>
      <c r="U65" t="str">
        <f t="shared" si="3"/>
        <v>tak</v>
      </c>
    </row>
    <row r="66" spans="1:21">
      <c r="A66">
        <v>110</v>
      </c>
      <c r="B66" t="s">
        <v>132</v>
      </c>
      <c r="C66" t="s">
        <v>132</v>
      </c>
      <c r="D66" t="s">
        <v>197</v>
      </c>
      <c r="E66" t="s">
        <v>198</v>
      </c>
      <c r="F66" t="s">
        <v>199</v>
      </c>
      <c r="G66" t="s">
        <v>383</v>
      </c>
      <c r="H66" t="s">
        <v>384</v>
      </c>
      <c r="I66" t="s">
        <v>752</v>
      </c>
      <c r="K66" t="s">
        <v>164</v>
      </c>
      <c r="N66" t="str">
        <f t="shared" si="4"/>
        <v>Szanowny Pan</v>
      </c>
      <c r="O66" s="19" t="s">
        <v>9776</v>
      </c>
      <c r="S66" t="s">
        <v>9766</v>
      </c>
      <c r="U66" t="str">
        <f t="shared" si="3"/>
        <v>tak</v>
      </c>
    </row>
    <row r="67" spans="1:21">
      <c r="A67">
        <v>111</v>
      </c>
      <c r="B67" t="s">
        <v>132</v>
      </c>
      <c r="C67" t="s">
        <v>132</v>
      </c>
      <c r="D67" t="s">
        <v>200</v>
      </c>
      <c r="E67" t="s">
        <v>201</v>
      </c>
      <c r="F67" t="s">
        <v>202</v>
      </c>
      <c r="G67" t="s">
        <v>385</v>
      </c>
      <c r="H67" t="s">
        <v>386</v>
      </c>
      <c r="I67" t="s">
        <v>753</v>
      </c>
      <c r="K67" t="s">
        <v>164</v>
      </c>
      <c r="N67" t="str">
        <f t="shared" si="4"/>
        <v>Szanowna Pani</v>
      </c>
      <c r="O67" s="19" t="s">
        <v>9776</v>
      </c>
      <c r="U67" t="str">
        <f t="shared" si="3"/>
        <v>tak</v>
      </c>
    </row>
    <row r="68" spans="1:21">
      <c r="A68">
        <v>112</v>
      </c>
      <c r="B68" t="s">
        <v>132</v>
      </c>
      <c r="C68" t="s">
        <v>132</v>
      </c>
      <c r="D68" t="s">
        <v>203</v>
      </c>
      <c r="E68" t="s">
        <v>204</v>
      </c>
      <c r="F68" t="s">
        <v>205</v>
      </c>
      <c r="G68" t="s">
        <v>387</v>
      </c>
      <c r="H68" t="s">
        <v>388</v>
      </c>
      <c r="I68" t="s">
        <v>754</v>
      </c>
      <c r="K68" t="s">
        <v>164</v>
      </c>
      <c r="N68" t="str">
        <f t="shared" si="4"/>
        <v>Szanowna Pani</v>
      </c>
      <c r="O68" s="19" t="s">
        <v>9776</v>
      </c>
      <c r="U68" t="str">
        <f t="shared" si="3"/>
        <v>tak</v>
      </c>
    </row>
    <row r="69" spans="1:21">
      <c r="A69">
        <v>113</v>
      </c>
      <c r="B69" t="s">
        <v>132</v>
      </c>
      <c r="C69" t="s">
        <v>132</v>
      </c>
      <c r="D69" t="s">
        <v>206</v>
      </c>
      <c r="E69" t="s">
        <v>207</v>
      </c>
      <c r="F69" t="s">
        <v>208</v>
      </c>
      <c r="G69" t="s">
        <v>389</v>
      </c>
      <c r="H69" t="s">
        <v>390</v>
      </c>
      <c r="I69" t="s">
        <v>755</v>
      </c>
      <c r="K69" t="s">
        <v>164</v>
      </c>
      <c r="N69" t="str">
        <f t="shared" si="4"/>
        <v>Szanowny Pan</v>
      </c>
      <c r="O69" s="19" t="s">
        <v>9776</v>
      </c>
      <c r="U69" t="str">
        <f t="shared" si="3"/>
        <v>tak</v>
      </c>
    </row>
    <row r="70" spans="1:21">
      <c r="A70">
        <v>114</v>
      </c>
      <c r="B70" t="s">
        <v>132</v>
      </c>
      <c r="C70" t="s">
        <v>132</v>
      </c>
      <c r="D70" t="s">
        <v>209</v>
      </c>
      <c r="E70" t="s">
        <v>210</v>
      </c>
      <c r="F70" t="s">
        <v>211</v>
      </c>
      <c r="G70" t="s">
        <v>391</v>
      </c>
      <c r="H70" t="s">
        <v>392</v>
      </c>
      <c r="I70" t="s">
        <v>756</v>
      </c>
      <c r="K70" t="s">
        <v>164</v>
      </c>
      <c r="N70" t="str">
        <f t="shared" si="4"/>
        <v>Szanowna Pani</v>
      </c>
      <c r="O70" s="19" t="s">
        <v>9776</v>
      </c>
      <c r="U70" t="str">
        <f t="shared" si="3"/>
        <v>tak</v>
      </c>
    </row>
    <row r="71" spans="1:21">
      <c r="A71">
        <v>115</v>
      </c>
      <c r="B71" t="s">
        <v>132</v>
      </c>
      <c r="C71" t="s">
        <v>132</v>
      </c>
      <c r="D71" t="s">
        <v>212</v>
      </c>
      <c r="E71" t="s">
        <v>213</v>
      </c>
      <c r="F71" t="s">
        <v>214</v>
      </c>
      <c r="G71" t="s">
        <v>393</v>
      </c>
      <c r="H71" t="s">
        <v>394</v>
      </c>
      <c r="I71" t="s">
        <v>757</v>
      </c>
      <c r="K71" t="s">
        <v>164</v>
      </c>
      <c r="N71" t="str">
        <f t="shared" si="4"/>
        <v>Szanowna Pani</v>
      </c>
      <c r="O71" s="19" t="s">
        <v>9776</v>
      </c>
      <c r="U71" t="str">
        <f t="shared" si="3"/>
        <v>tak</v>
      </c>
    </row>
    <row r="72" spans="1:21">
      <c r="A72">
        <v>116</v>
      </c>
      <c r="B72" t="s">
        <v>132</v>
      </c>
      <c r="C72" t="s">
        <v>132</v>
      </c>
      <c r="D72" t="s">
        <v>215</v>
      </c>
      <c r="E72" t="s">
        <v>216</v>
      </c>
      <c r="F72" t="s">
        <v>217</v>
      </c>
      <c r="G72" t="s">
        <v>395</v>
      </c>
      <c r="H72" t="s">
        <v>396</v>
      </c>
      <c r="I72" t="s">
        <v>758</v>
      </c>
      <c r="K72" t="s">
        <v>164</v>
      </c>
      <c r="N72" t="str">
        <f t="shared" si="4"/>
        <v>Szanowna Pani</v>
      </c>
      <c r="O72" s="19" t="s">
        <v>9776</v>
      </c>
      <c r="U72" t="str">
        <f t="shared" si="3"/>
        <v>tak</v>
      </c>
    </row>
    <row r="73" spans="1:21">
      <c r="A73">
        <v>117</v>
      </c>
      <c r="B73" t="s">
        <v>132</v>
      </c>
      <c r="C73" t="s">
        <v>135</v>
      </c>
      <c r="D73" t="s">
        <v>218</v>
      </c>
      <c r="E73" t="s">
        <v>219</v>
      </c>
      <c r="F73" t="s">
        <v>220</v>
      </c>
      <c r="G73" t="s">
        <v>397</v>
      </c>
      <c r="H73" t="s">
        <v>398</v>
      </c>
      <c r="I73" t="s">
        <v>759</v>
      </c>
      <c r="K73" t="s">
        <v>164</v>
      </c>
      <c r="N73" t="str">
        <f t="shared" si="4"/>
        <v>Szanowna Pani</v>
      </c>
      <c r="O73" s="19" t="s">
        <v>9776</v>
      </c>
      <c r="U73" t="str">
        <f t="shared" si="3"/>
        <v>tak</v>
      </c>
    </row>
    <row r="74" spans="1:21">
      <c r="A74">
        <v>118</v>
      </c>
      <c r="B74" t="s">
        <v>132</v>
      </c>
      <c r="C74" t="s">
        <v>136</v>
      </c>
      <c r="D74" t="s">
        <v>221</v>
      </c>
      <c r="E74" t="s">
        <v>222</v>
      </c>
      <c r="F74" t="s">
        <v>223</v>
      </c>
      <c r="G74" t="s">
        <v>399</v>
      </c>
      <c r="H74" t="s">
        <v>400</v>
      </c>
      <c r="I74" t="s">
        <v>760</v>
      </c>
      <c r="K74" t="s">
        <v>164</v>
      </c>
      <c r="N74" t="str">
        <f t="shared" si="4"/>
        <v>Szanowna Pani</v>
      </c>
      <c r="O74" s="19" t="s">
        <v>9776</v>
      </c>
      <c r="U74" t="str">
        <f t="shared" si="3"/>
        <v>tak</v>
      </c>
    </row>
    <row r="75" spans="1:21">
      <c r="A75">
        <v>119</v>
      </c>
      <c r="B75" t="s">
        <v>132</v>
      </c>
      <c r="C75" t="s">
        <v>136</v>
      </c>
      <c r="D75" t="s">
        <v>221</v>
      </c>
      <c r="E75" t="s">
        <v>222</v>
      </c>
      <c r="F75" t="s">
        <v>223</v>
      </c>
      <c r="G75" t="s">
        <v>399</v>
      </c>
      <c r="H75" t="s">
        <v>401</v>
      </c>
      <c r="I75" t="s">
        <v>760</v>
      </c>
      <c r="K75" t="s">
        <v>165</v>
      </c>
      <c r="N75" t="str">
        <f t="shared" si="4"/>
        <v>Szanowna Pani</v>
      </c>
      <c r="P75" s="19" t="s">
        <v>9776</v>
      </c>
      <c r="U75" t="str">
        <f t="shared" si="3"/>
        <v>tak</v>
      </c>
    </row>
    <row r="76" spans="1:21">
      <c r="A76">
        <v>120</v>
      </c>
      <c r="B76" t="s">
        <v>132</v>
      </c>
      <c r="C76" t="s">
        <v>137</v>
      </c>
      <c r="D76" t="s">
        <v>166</v>
      </c>
      <c r="E76" t="s">
        <v>225</v>
      </c>
      <c r="F76" t="s">
        <v>226</v>
      </c>
      <c r="G76" t="s">
        <v>402</v>
      </c>
      <c r="H76" t="s">
        <v>403</v>
      </c>
      <c r="I76" t="s">
        <v>761</v>
      </c>
      <c r="K76" t="s">
        <v>164</v>
      </c>
      <c r="N76" t="str">
        <f t="shared" si="4"/>
        <v>Szanowna Pani</v>
      </c>
      <c r="O76" s="19" t="s">
        <v>9776</v>
      </c>
      <c r="U76" t="str">
        <f t="shared" si="3"/>
        <v>tak</v>
      </c>
    </row>
    <row r="77" spans="1:21">
      <c r="A77">
        <v>121</v>
      </c>
      <c r="B77" t="s">
        <v>132</v>
      </c>
      <c r="C77" t="s">
        <v>138</v>
      </c>
      <c r="D77" t="s">
        <v>166</v>
      </c>
      <c r="E77" t="s">
        <v>227</v>
      </c>
      <c r="F77" t="s">
        <v>228</v>
      </c>
      <c r="G77" t="s">
        <v>404</v>
      </c>
      <c r="H77" t="s">
        <v>405</v>
      </c>
      <c r="I77" t="s">
        <v>762</v>
      </c>
      <c r="K77" t="s">
        <v>164</v>
      </c>
      <c r="N77" t="str">
        <f t="shared" si="4"/>
        <v>Szanowna Pani</v>
      </c>
      <c r="O77" s="19" t="s">
        <v>9776</v>
      </c>
      <c r="U77" t="str">
        <f t="shared" si="3"/>
        <v>tak</v>
      </c>
    </row>
    <row r="78" spans="1:21">
      <c r="A78">
        <v>122</v>
      </c>
      <c r="B78" t="s">
        <v>132</v>
      </c>
      <c r="C78" t="s">
        <v>139</v>
      </c>
      <c r="D78" t="s">
        <v>229</v>
      </c>
      <c r="E78" t="s">
        <v>230</v>
      </c>
      <c r="F78" t="s">
        <v>231</v>
      </c>
      <c r="G78" t="s">
        <v>406</v>
      </c>
      <c r="H78" t="s">
        <v>407</v>
      </c>
      <c r="I78" t="s">
        <v>763</v>
      </c>
      <c r="K78" t="s">
        <v>164</v>
      </c>
      <c r="N78" t="str">
        <f t="shared" si="4"/>
        <v>Szanowna Pani</v>
      </c>
      <c r="O78" s="19" t="s">
        <v>9776</v>
      </c>
      <c r="U78" t="str">
        <f t="shared" si="3"/>
        <v>tak</v>
      </c>
    </row>
    <row r="79" spans="1:21">
      <c r="A79">
        <v>123</v>
      </c>
      <c r="B79" t="s">
        <v>132</v>
      </c>
      <c r="C79" t="s">
        <v>140</v>
      </c>
      <c r="D79" t="s">
        <v>232</v>
      </c>
      <c r="E79" t="s">
        <v>233</v>
      </c>
      <c r="F79" t="s">
        <v>234</v>
      </c>
      <c r="G79" t="s">
        <v>408</v>
      </c>
      <c r="H79" t="s">
        <v>409</v>
      </c>
      <c r="I79" t="s">
        <v>764</v>
      </c>
      <c r="K79" t="s">
        <v>164</v>
      </c>
      <c r="N79" t="str">
        <f t="shared" si="4"/>
        <v>Szanowna Pani</v>
      </c>
      <c r="O79" s="19" t="s">
        <v>9776</v>
      </c>
      <c r="U79" t="str">
        <f t="shared" si="3"/>
        <v>tak</v>
      </c>
    </row>
    <row r="80" spans="1:21">
      <c r="A80">
        <v>124</v>
      </c>
      <c r="B80" t="s">
        <v>132</v>
      </c>
      <c r="C80" t="s">
        <v>140</v>
      </c>
      <c r="D80" t="s">
        <v>235</v>
      </c>
      <c r="E80" t="s">
        <v>236</v>
      </c>
      <c r="F80" t="s">
        <v>234</v>
      </c>
      <c r="G80" t="s">
        <v>410</v>
      </c>
      <c r="H80" t="s">
        <v>411</v>
      </c>
      <c r="I80" t="s">
        <v>765</v>
      </c>
      <c r="K80" t="s">
        <v>164</v>
      </c>
      <c r="N80" t="str">
        <f t="shared" si="4"/>
        <v>Szanowna Pani</v>
      </c>
      <c r="O80" s="19" t="s">
        <v>9776</v>
      </c>
      <c r="U80" t="str">
        <f t="shared" si="3"/>
        <v>tak</v>
      </c>
    </row>
    <row r="81" spans="1:21">
      <c r="A81">
        <v>125</v>
      </c>
      <c r="B81" t="s">
        <v>132</v>
      </c>
      <c r="C81" t="s">
        <v>140</v>
      </c>
      <c r="D81" t="s">
        <v>237</v>
      </c>
      <c r="E81" t="s">
        <v>238</v>
      </c>
      <c r="F81" t="s">
        <v>234</v>
      </c>
      <c r="G81" t="s">
        <v>412</v>
      </c>
      <c r="H81" t="s">
        <v>413</v>
      </c>
      <c r="I81" t="s">
        <v>766</v>
      </c>
      <c r="K81" t="s">
        <v>164</v>
      </c>
      <c r="N81" t="str">
        <f t="shared" si="4"/>
        <v>Szanowna Pani</v>
      </c>
      <c r="O81" s="19" t="s">
        <v>9776</v>
      </c>
      <c r="U81" t="str">
        <f t="shared" si="3"/>
        <v>tak</v>
      </c>
    </row>
    <row r="82" spans="1:21">
      <c r="A82">
        <v>126</v>
      </c>
      <c r="B82" t="s">
        <v>132</v>
      </c>
      <c r="C82" t="s">
        <v>140</v>
      </c>
      <c r="D82" t="s">
        <v>239</v>
      </c>
      <c r="E82" t="s">
        <v>240</v>
      </c>
      <c r="F82" t="s">
        <v>234</v>
      </c>
      <c r="G82" t="s">
        <v>414</v>
      </c>
      <c r="H82" t="s">
        <v>415</v>
      </c>
      <c r="I82" t="s">
        <v>767</v>
      </c>
      <c r="K82" t="s">
        <v>224</v>
      </c>
      <c r="N82" t="str">
        <f t="shared" si="4"/>
        <v>Szanowna Pani</v>
      </c>
      <c r="Q82" s="19" t="s">
        <v>9776</v>
      </c>
      <c r="U82" t="str">
        <f t="shared" si="3"/>
        <v>tak</v>
      </c>
    </row>
    <row r="83" spans="1:21">
      <c r="A83">
        <v>127</v>
      </c>
      <c r="B83" t="s">
        <v>132</v>
      </c>
      <c r="C83" t="s">
        <v>140</v>
      </c>
      <c r="D83" t="s">
        <v>241</v>
      </c>
      <c r="E83" t="s">
        <v>242</v>
      </c>
      <c r="F83" t="s">
        <v>234</v>
      </c>
      <c r="G83" t="s">
        <v>416</v>
      </c>
      <c r="H83" t="s">
        <v>417</v>
      </c>
      <c r="I83" t="s">
        <v>768</v>
      </c>
      <c r="K83" t="s">
        <v>164</v>
      </c>
      <c r="N83" t="str">
        <f t="shared" si="4"/>
        <v>Szanowna Pani</v>
      </c>
      <c r="O83" s="19" t="s">
        <v>9776</v>
      </c>
      <c r="U83" t="str">
        <f t="shared" si="3"/>
        <v>tak</v>
      </c>
    </row>
    <row r="84" spans="1:21">
      <c r="A84">
        <v>128</v>
      </c>
      <c r="B84" t="s">
        <v>132</v>
      </c>
      <c r="C84" t="s">
        <v>141</v>
      </c>
      <c r="D84" t="s">
        <v>243</v>
      </c>
      <c r="E84" t="s">
        <v>244</v>
      </c>
      <c r="F84" t="s">
        <v>245</v>
      </c>
      <c r="G84" t="s">
        <v>418</v>
      </c>
      <c r="H84" t="s">
        <v>419</v>
      </c>
      <c r="I84" t="s">
        <v>769</v>
      </c>
      <c r="K84" t="s">
        <v>164</v>
      </c>
      <c r="N84" t="str">
        <f t="shared" si="4"/>
        <v>Szanowna Pani</v>
      </c>
      <c r="O84" s="19" t="s">
        <v>9776</v>
      </c>
      <c r="U84" t="str">
        <f t="shared" si="3"/>
        <v>tak</v>
      </c>
    </row>
    <row r="85" spans="1:21">
      <c r="A85">
        <v>129</v>
      </c>
      <c r="B85" t="s">
        <v>132</v>
      </c>
      <c r="C85" t="s">
        <v>142</v>
      </c>
      <c r="D85" t="s">
        <v>246</v>
      </c>
      <c r="E85" t="s">
        <v>247</v>
      </c>
      <c r="F85" t="s">
        <v>248</v>
      </c>
      <c r="G85" t="s">
        <v>420</v>
      </c>
      <c r="H85" t="s">
        <v>421</v>
      </c>
      <c r="I85" t="s">
        <v>770</v>
      </c>
      <c r="K85" t="s">
        <v>164</v>
      </c>
      <c r="N85" t="str">
        <f t="shared" si="4"/>
        <v>Szanowna Pani</v>
      </c>
      <c r="O85" s="19" t="s">
        <v>9776</v>
      </c>
      <c r="U85" t="str">
        <f t="shared" si="3"/>
        <v>tak</v>
      </c>
    </row>
    <row r="86" spans="1:21">
      <c r="A86">
        <v>130</v>
      </c>
      <c r="B86" t="s">
        <v>132</v>
      </c>
      <c r="C86" t="s">
        <v>143</v>
      </c>
      <c r="D86" t="s">
        <v>166</v>
      </c>
      <c r="E86" t="s">
        <v>249</v>
      </c>
      <c r="F86" t="s">
        <v>250</v>
      </c>
      <c r="G86" t="s">
        <v>422</v>
      </c>
      <c r="H86" t="s">
        <v>423</v>
      </c>
      <c r="I86" t="s">
        <v>771</v>
      </c>
      <c r="K86" t="s">
        <v>164</v>
      </c>
      <c r="N86" t="str">
        <f t="shared" ref="N86:N149" si="5">IF(ISERROR(FIND(",",H86)),IF(MID(H86,FIND(" ",H86)-1,1)="a","Szanowna Pani","Szanowny Pan"), "Szanowne Panie")</f>
        <v>Szanowna Pani</v>
      </c>
      <c r="O86" s="19" t="s">
        <v>9776</v>
      </c>
      <c r="U86" t="str">
        <f t="shared" si="3"/>
        <v>tak</v>
      </c>
    </row>
    <row r="87" spans="1:21">
      <c r="A87">
        <v>131</v>
      </c>
      <c r="B87" t="s">
        <v>132</v>
      </c>
      <c r="C87" t="s">
        <v>144</v>
      </c>
      <c r="D87" t="s">
        <v>251</v>
      </c>
      <c r="E87" t="s">
        <v>252</v>
      </c>
      <c r="F87" t="s">
        <v>253</v>
      </c>
      <c r="G87" t="s">
        <v>424</v>
      </c>
      <c r="H87" t="s">
        <v>425</v>
      </c>
      <c r="I87" t="s">
        <v>772</v>
      </c>
      <c r="K87" t="s">
        <v>164</v>
      </c>
      <c r="N87" t="str">
        <f t="shared" si="5"/>
        <v>Szanowne Panie</v>
      </c>
      <c r="O87" s="19" t="s">
        <v>9776</v>
      </c>
      <c r="U87" t="str">
        <f t="shared" si="3"/>
        <v>tak</v>
      </c>
    </row>
    <row r="88" spans="1:21">
      <c r="A88">
        <v>132</v>
      </c>
      <c r="B88" t="s">
        <v>132</v>
      </c>
      <c r="C88" t="s">
        <v>145</v>
      </c>
      <c r="D88" t="s">
        <v>246</v>
      </c>
      <c r="E88" t="s">
        <v>254</v>
      </c>
      <c r="F88" t="s">
        <v>255</v>
      </c>
      <c r="G88" t="s">
        <v>426</v>
      </c>
      <c r="H88" t="s">
        <v>427</v>
      </c>
      <c r="I88" s="11" t="s">
        <v>9715</v>
      </c>
      <c r="N88" t="str">
        <f t="shared" si="5"/>
        <v>Szanowna Pani</v>
      </c>
      <c r="O88" s="19" t="s">
        <v>9776</v>
      </c>
      <c r="S88" t="s">
        <v>9767</v>
      </c>
      <c r="U88" t="str">
        <f t="shared" si="3"/>
        <v>tak</v>
      </c>
    </row>
    <row r="89" spans="1:21">
      <c r="A89">
        <v>133</v>
      </c>
      <c r="B89" t="s">
        <v>132</v>
      </c>
      <c r="C89" t="s">
        <v>146</v>
      </c>
      <c r="D89" t="s">
        <v>256</v>
      </c>
      <c r="E89" t="s">
        <v>257</v>
      </c>
      <c r="F89" t="s">
        <v>258</v>
      </c>
      <c r="G89" t="s">
        <v>428</v>
      </c>
      <c r="H89" t="s">
        <v>429</v>
      </c>
      <c r="I89" t="s">
        <v>773</v>
      </c>
      <c r="K89" t="s">
        <v>164</v>
      </c>
      <c r="N89" t="str">
        <f t="shared" si="5"/>
        <v>Szanowna Pani</v>
      </c>
      <c r="O89" s="19" t="s">
        <v>9776</v>
      </c>
      <c r="U89" t="str">
        <f t="shared" ref="U89:U124" si="6">+O89 &amp;P89&amp;Q89</f>
        <v>tak</v>
      </c>
    </row>
    <row r="90" spans="1:21">
      <c r="A90">
        <v>134</v>
      </c>
      <c r="B90" t="s">
        <v>132</v>
      </c>
      <c r="C90" t="s">
        <v>147</v>
      </c>
      <c r="D90" t="s">
        <v>166</v>
      </c>
      <c r="E90" t="s">
        <v>259</v>
      </c>
      <c r="F90" t="s">
        <v>260</v>
      </c>
      <c r="G90" t="s">
        <v>430</v>
      </c>
      <c r="H90" t="s">
        <v>431</v>
      </c>
      <c r="I90" t="s">
        <v>774</v>
      </c>
      <c r="K90" t="s">
        <v>164</v>
      </c>
      <c r="N90" t="str">
        <f t="shared" si="5"/>
        <v>Szanowna Pani</v>
      </c>
      <c r="O90" s="19" t="s">
        <v>9776</v>
      </c>
      <c r="U90" t="str">
        <f t="shared" si="6"/>
        <v>tak</v>
      </c>
    </row>
    <row r="91" spans="1:21">
      <c r="A91">
        <v>135</v>
      </c>
      <c r="B91" t="s">
        <v>132</v>
      </c>
      <c r="C91" t="s">
        <v>148</v>
      </c>
      <c r="D91" t="s">
        <v>161</v>
      </c>
      <c r="E91" t="s">
        <v>261</v>
      </c>
      <c r="F91" t="s">
        <v>262</v>
      </c>
      <c r="G91" t="s">
        <v>432</v>
      </c>
      <c r="H91" t="s">
        <v>433</v>
      </c>
      <c r="I91" t="s">
        <v>775</v>
      </c>
      <c r="K91" t="s">
        <v>164</v>
      </c>
      <c r="N91" t="str">
        <f t="shared" si="5"/>
        <v>Szanowna Pani</v>
      </c>
      <c r="O91" s="19" t="s">
        <v>9776</v>
      </c>
      <c r="U91" t="str">
        <f t="shared" si="6"/>
        <v>tak</v>
      </c>
    </row>
    <row r="92" spans="1:21">
      <c r="A92">
        <v>136</v>
      </c>
      <c r="B92" t="s">
        <v>132</v>
      </c>
      <c r="C92" t="s">
        <v>149</v>
      </c>
      <c r="D92" t="s">
        <v>263</v>
      </c>
      <c r="E92" t="s">
        <v>264</v>
      </c>
      <c r="F92" t="s">
        <v>163</v>
      </c>
      <c r="G92" t="s">
        <v>434</v>
      </c>
      <c r="H92" t="s">
        <v>435</v>
      </c>
      <c r="I92" t="s">
        <v>776</v>
      </c>
      <c r="K92" t="s">
        <v>165</v>
      </c>
      <c r="N92" t="str">
        <f t="shared" si="5"/>
        <v>Szanowna Pani</v>
      </c>
      <c r="P92" s="19" t="s">
        <v>9776</v>
      </c>
      <c r="U92" t="str">
        <f t="shared" si="6"/>
        <v>tak</v>
      </c>
    </row>
    <row r="93" spans="1:21">
      <c r="A93">
        <v>137</v>
      </c>
      <c r="B93" t="s">
        <v>132</v>
      </c>
      <c r="C93" t="s">
        <v>150</v>
      </c>
      <c r="D93" t="s">
        <v>251</v>
      </c>
      <c r="E93" t="s">
        <v>265</v>
      </c>
      <c r="F93" t="s">
        <v>266</v>
      </c>
      <c r="G93" t="s">
        <v>436</v>
      </c>
      <c r="H93" t="s">
        <v>437</v>
      </c>
      <c r="I93" t="s">
        <v>777</v>
      </c>
      <c r="K93" t="s">
        <v>164</v>
      </c>
      <c r="N93" t="str">
        <f t="shared" si="5"/>
        <v>Szanowna Pani</v>
      </c>
      <c r="O93" s="19" t="s">
        <v>9776</v>
      </c>
      <c r="U93" t="str">
        <f t="shared" si="6"/>
        <v>tak</v>
      </c>
    </row>
    <row r="94" spans="1:21">
      <c r="A94">
        <v>138</v>
      </c>
      <c r="B94" t="s">
        <v>132</v>
      </c>
      <c r="C94" t="s">
        <v>151</v>
      </c>
      <c r="D94" t="s">
        <v>267</v>
      </c>
      <c r="E94" t="s">
        <v>268</v>
      </c>
      <c r="F94" t="s">
        <v>269</v>
      </c>
      <c r="G94" t="s">
        <v>438</v>
      </c>
      <c r="H94" t="s">
        <v>439</v>
      </c>
      <c r="I94" s="15" t="s">
        <v>9707</v>
      </c>
      <c r="K94" t="s">
        <v>164</v>
      </c>
      <c r="N94" t="str">
        <f t="shared" si="5"/>
        <v>Szanowna Pani</v>
      </c>
      <c r="O94" s="19" t="s">
        <v>9776</v>
      </c>
      <c r="U94" t="str">
        <f t="shared" si="6"/>
        <v>tak</v>
      </c>
    </row>
    <row r="95" spans="1:21">
      <c r="A95">
        <v>139</v>
      </c>
      <c r="B95" t="s">
        <v>132</v>
      </c>
      <c r="C95" t="s">
        <v>151</v>
      </c>
      <c r="D95" t="s">
        <v>270</v>
      </c>
      <c r="E95" t="s">
        <v>271</v>
      </c>
      <c r="F95" t="s">
        <v>269</v>
      </c>
      <c r="G95" t="s">
        <v>440</v>
      </c>
      <c r="H95" t="s">
        <v>441</v>
      </c>
      <c r="I95" t="s">
        <v>778</v>
      </c>
      <c r="K95" t="s">
        <v>164</v>
      </c>
      <c r="N95" t="str">
        <f t="shared" si="5"/>
        <v>Szanowna Pani</v>
      </c>
      <c r="O95" s="19" t="s">
        <v>9776</v>
      </c>
      <c r="U95" t="str">
        <f t="shared" si="6"/>
        <v>tak</v>
      </c>
    </row>
    <row r="96" spans="1:21">
      <c r="A96">
        <v>140</v>
      </c>
      <c r="B96" t="s">
        <v>132</v>
      </c>
      <c r="C96" t="s">
        <v>152</v>
      </c>
      <c r="D96" t="s">
        <v>166</v>
      </c>
      <c r="E96" t="s">
        <v>272</v>
      </c>
      <c r="F96" t="s">
        <v>273</v>
      </c>
      <c r="G96" t="s">
        <v>442</v>
      </c>
      <c r="H96" t="s">
        <v>443</v>
      </c>
      <c r="I96" t="s">
        <v>779</v>
      </c>
      <c r="K96" t="s">
        <v>164</v>
      </c>
      <c r="N96" t="str">
        <f t="shared" si="5"/>
        <v>Szanowna Pani</v>
      </c>
      <c r="O96" s="19" t="s">
        <v>9776</v>
      </c>
      <c r="U96" t="str">
        <f t="shared" si="6"/>
        <v>tak</v>
      </c>
    </row>
    <row r="97" spans="1:21">
      <c r="A97">
        <v>141</v>
      </c>
      <c r="B97" t="s">
        <v>132</v>
      </c>
      <c r="C97" t="s">
        <v>153</v>
      </c>
      <c r="D97" t="s">
        <v>166</v>
      </c>
      <c r="E97" t="s">
        <v>274</v>
      </c>
      <c r="F97" t="s">
        <v>275</v>
      </c>
      <c r="G97" t="s">
        <v>444</v>
      </c>
      <c r="H97" t="s">
        <v>445</v>
      </c>
      <c r="I97" t="s">
        <v>780</v>
      </c>
      <c r="K97" t="s">
        <v>164</v>
      </c>
      <c r="N97" t="str">
        <f t="shared" si="5"/>
        <v>Szanowna Pani</v>
      </c>
      <c r="O97" s="19" t="s">
        <v>9776</v>
      </c>
      <c r="U97" t="str">
        <f t="shared" si="6"/>
        <v>tak</v>
      </c>
    </row>
    <row r="98" spans="1:21">
      <c r="A98">
        <v>142</v>
      </c>
      <c r="B98" t="s">
        <v>132</v>
      </c>
      <c r="C98" t="s">
        <v>154</v>
      </c>
      <c r="D98" t="s">
        <v>276</v>
      </c>
      <c r="E98" t="s">
        <v>277</v>
      </c>
      <c r="F98" t="s">
        <v>269</v>
      </c>
      <c r="G98" t="s">
        <v>446</v>
      </c>
      <c r="H98" t="s">
        <v>447</v>
      </c>
      <c r="I98" s="15" t="s">
        <v>9709</v>
      </c>
      <c r="K98" t="s">
        <v>164</v>
      </c>
      <c r="N98" t="str">
        <f t="shared" si="5"/>
        <v>Szanowna Pani</v>
      </c>
      <c r="O98" s="19" t="s">
        <v>9776</v>
      </c>
      <c r="U98" t="str">
        <f t="shared" si="6"/>
        <v>tak</v>
      </c>
    </row>
    <row r="99" spans="1:21">
      <c r="A99">
        <v>143</v>
      </c>
      <c r="B99" t="s">
        <v>132</v>
      </c>
      <c r="C99" t="s">
        <v>155</v>
      </c>
      <c r="D99" t="s">
        <v>278</v>
      </c>
      <c r="E99" t="s">
        <v>279</v>
      </c>
      <c r="F99" t="s">
        <v>280</v>
      </c>
      <c r="G99" t="s">
        <v>448</v>
      </c>
      <c r="H99" t="s">
        <v>449</v>
      </c>
      <c r="I99" t="s">
        <v>781</v>
      </c>
      <c r="K99" t="s">
        <v>164</v>
      </c>
      <c r="N99" t="str">
        <f t="shared" si="5"/>
        <v>Szanowna Pani</v>
      </c>
      <c r="O99" s="19" t="s">
        <v>9776</v>
      </c>
      <c r="U99" t="str">
        <f t="shared" si="6"/>
        <v>tak</v>
      </c>
    </row>
    <row r="100" spans="1:21">
      <c r="A100">
        <v>144</v>
      </c>
      <c r="B100" t="s">
        <v>132</v>
      </c>
      <c r="C100" t="s">
        <v>156</v>
      </c>
      <c r="D100" t="s">
        <v>281</v>
      </c>
      <c r="E100" t="s">
        <v>282</v>
      </c>
      <c r="F100" t="s">
        <v>283</v>
      </c>
      <c r="G100" t="s">
        <v>450</v>
      </c>
      <c r="H100" t="s">
        <v>451</v>
      </c>
      <c r="I100" s="15" t="s">
        <v>9708</v>
      </c>
      <c r="K100" t="s">
        <v>164</v>
      </c>
      <c r="N100" t="str">
        <f t="shared" si="5"/>
        <v>Szanowna Pani</v>
      </c>
      <c r="O100" s="19" t="s">
        <v>9776</v>
      </c>
      <c r="U100" t="str">
        <f t="shared" si="6"/>
        <v>tak</v>
      </c>
    </row>
    <row r="101" spans="1:21">
      <c r="A101">
        <v>145</v>
      </c>
      <c r="B101" t="s">
        <v>132</v>
      </c>
      <c r="C101" t="s">
        <v>157</v>
      </c>
      <c r="D101" t="s">
        <v>166</v>
      </c>
      <c r="E101" t="s">
        <v>284</v>
      </c>
      <c r="F101" t="s">
        <v>285</v>
      </c>
      <c r="G101" t="s">
        <v>452</v>
      </c>
      <c r="H101" t="s">
        <v>453</v>
      </c>
      <c r="I101" t="s">
        <v>782</v>
      </c>
      <c r="K101" t="s">
        <v>164</v>
      </c>
      <c r="N101" t="str">
        <f t="shared" si="5"/>
        <v>Szanowna Pani</v>
      </c>
      <c r="O101" s="19" t="s">
        <v>9776</v>
      </c>
      <c r="U101" t="str">
        <f t="shared" si="6"/>
        <v>tak</v>
      </c>
    </row>
    <row r="102" spans="1:21">
      <c r="A102">
        <v>146</v>
      </c>
      <c r="B102" t="s">
        <v>132</v>
      </c>
      <c r="C102" t="s">
        <v>157</v>
      </c>
      <c r="D102" t="s">
        <v>166</v>
      </c>
      <c r="E102" t="s">
        <v>284</v>
      </c>
      <c r="F102" t="s">
        <v>285</v>
      </c>
      <c r="G102" t="s">
        <v>452</v>
      </c>
      <c r="H102" t="s">
        <v>454</v>
      </c>
      <c r="I102" t="s">
        <v>782</v>
      </c>
      <c r="K102" t="s">
        <v>224</v>
      </c>
      <c r="N102" t="str">
        <f t="shared" si="5"/>
        <v>Szanowna Pani</v>
      </c>
      <c r="Q102" s="19" t="s">
        <v>9776</v>
      </c>
      <c r="U102" t="str">
        <f t="shared" si="6"/>
        <v>tak</v>
      </c>
    </row>
    <row r="103" spans="1:21">
      <c r="A103">
        <v>147</v>
      </c>
      <c r="B103" t="s">
        <v>132</v>
      </c>
      <c r="C103" t="s">
        <v>157</v>
      </c>
      <c r="D103" t="s">
        <v>166</v>
      </c>
      <c r="E103" t="s">
        <v>284</v>
      </c>
      <c r="F103" t="s">
        <v>285</v>
      </c>
      <c r="G103" t="s">
        <v>452</v>
      </c>
      <c r="H103" t="s">
        <v>455</v>
      </c>
      <c r="I103" t="s">
        <v>782</v>
      </c>
      <c r="K103" t="s">
        <v>165</v>
      </c>
      <c r="N103" t="str">
        <f t="shared" si="5"/>
        <v>Szanowna Pani</v>
      </c>
      <c r="P103" s="19" t="s">
        <v>9776</v>
      </c>
      <c r="U103" t="str">
        <f t="shared" si="6"/>
        <v>tak</v>
      </c>
    </row>
    <row r="104" spans="1:21">
      <c r="A104">
        <v>148</v>
      </c>
      <c r="B104" t="s">
        <v>132</v>
      </c>
      <c r="C104" t="s">
        <v>157</v>
      </c>
      <c r="D104" t="s">
        <v>286</v>
      </c>
      <c r="E104" t="s">
        <v>287</v>
      </c>
      <c r="F104" t="s">
        <v>228</v>
      </c>
      <c r="G104" t="s">
        <v>404</v>
      </c>
      <c r="H104" t="s">
        <v>456</v>
      </c>
      <c r="I104" t="s">
        <v>783</v>
      </c>
      <c r="K104" t="s">
        <v>164</v>
      </c>
      <c r="N104" t="str">
        <f t="shared" si="5"/>
        <v>Szanowna Pani</v>
      </c>
      <c r="O104" s="19" t="s">
        <v>9776</v>
      </c>
      <c r="U104" t="str">
        <f t="shared" si="6"/>
        <v>tak</v>
      </c>
    </row>
    <row r="105" spans="1:21">
      <c r="A105">
        <v>149</v>
      </c>
      <c r="B105" t="s">
        <v>132</v>
      </c>
      <c r="C105" t="s">
        <v>158</v>
      </c>
      <c r="D105" t="s">
        <v>166</v>
      </c>
      <c r="E105" t="s">
        <v>288</v>
      </c>
      <c r="F105" t="s">
        <v>289</v>
      </c>
      <c r="G105" t="s">
        <v>457</v>
      </c>
      <c r="H105" t="s">
        <v>458</v>
      </c>
      <c r="I105" t="s">
        <v>784</v>
      </c>
      <c r="K105" t="s">
        <v>164</v>
      </c>
      <c r="N105" t="str">
        <f t="shared" si="5"/>
        <v>Szanowna Pani</v>
      </c>
      <c r="O105" s="19" t="s">
        <v>9776</v>
      </c>
      <c r="U105" t="str">
        <f t="shared" si="6"/>
        <v>tak</v>
      </c>
    </row>
    <row r="106" spans="1:21">
      <c r="A106">
        <v>150</v>
      </c>
      <c r="B106" t="s">
        <v>132</v>
      </c>
      <c r="C106" t="s">
        <v>159</v>
      </c>
      <c r="D106" t="s">
        <v>290</v>
      </c>
      <c r="E106" t="s">
        <v>291</v>
      </c>
      <c r="F106" t="s">
        <v>292</v>
      </c>
      <c r="G106" t="s">
        <v>459</v>
      </c>
      <c r="H106" t="s">
        <v>460</v>
      </c>
      <c r="I106" t="s">
        <v>785</v>
      </c>
      <c r="K106" t="s">
        <v>165</v>
      </c>
      <c r="N106" t="str">
        <f t="shared" si="5"/>
        <v>Szanowna Pani</v>
      </c>
      <c r="P106" s="19" t="s">
        <v>9776</v>
      </c>
      <c r="U106" t="str">
        <f t="shared" si="6"/>
        <v>tak</v>
      </c>
    </row>
    <row r="107" spans="1:21">
      <c r="A107">
        <v>151</v>
      </c>
      <c r="B107" t="s">
        <v>132</v>
      </c>
      <c r="C107" t="s">
        <v>159</v>
      </c>
      <c r="D107" t="s">
        <v>293</v>
      </c>
      <c r="E107" t="s">
        <v>294</v>
      </c>
      <c r="F107" t="s">
        <v>292</v>
      </c>
      <c r="G107" t="s">
        <v>461</v>
      </c>
      <c r="H107" t="s">
        <v>462</v>
      </c>
      <c r="I107" t="s">
        <v>786</v>
      </c>
      <c r="K107" t="s">
        <v>164</v>
      </c>
      <c r="N107" t="str">
        <f t="shared" si="5"/>
        <v>Szanowna Pani</v>
      </c>
      <c r="O107" s="19" t="s">
        <v>9776</v>
      </c>
      <c r="U107" t="str">
        <f t="shared" si="6"/>
        <v>tak</v>
      </c>
    </row>
    <row r="108" spans="1:21">
      <c r="A108">
        <v>152</v>
      </c>
      <c r="B108" t="s">
        <v>132</v>
      </c>
      <c r="C108" t="s">
        <v>160</v>
      </c>
      <c r="D108" t="s">
        <v>166</v>
      </c>
      <c r="E108" t="s">
        <v>295</v>
      </c>
      <c r="F108" t="s">
        <v>296</v>
      </c>
      <c r="G108" t="s">
        <v>463</v>
      </c>
      <c r="H108" t="s">
        <v>464</v>
      </c>
      <c r="I108" t="s">
        <v>787</v>
      </c>
      <c r="K108" t="s">
        <v>164</v>
      </c>
      <c r="N108" t="str">
        <f t="shared" si="5"/>
        <v>Szanowna Pani</v>
      </c>
      <c r="O108" s="19" t="s">
        <v>9776</v>
      </c>
      <c r="U108" t="str">
        <f t="shared" si="6"/>
        <v>tak</v>
      </c>
    </row>
    <row r="109" spans="1:21">
      <c r="A109">
        <v>153</v>
      </c>
      <c r="B109" t="s">
        <v>132</v>
      </c>
      <c r="C109" t="s">
        <v>297</v>
      </c>
      <c r="D109" t="s">
        <v>290</v>
      </c>
      <c r="E109" t="s">
        <v>298</v>
      </c>
      <c r="F109" t="s">
        <v>299</v>
      </c>
      <c r="G109" t="s">
        <v>465</v>
      </c>
      <c r="H109" t="s">
        <v>466</v>
      </c>
      <c r="I109" t="s">
        <v>788</v>
      </c>
      <c r="K109" t="s">
        <v>300</v>
      </c>
      <c r="N109" t="str">
        <f t="shared" si="5"/>
        <v>Szanowna Pani</v>
      </c>
      <c r="O109" s="19" t="s">
        <v>9776</v>
      </c>
      <c r="U109" t="str">
        <f t="shared" si="6"/>
        <v>tak</v>
      </c>
    </row>
    <row r="110" spans="1:21">
      <c r="A110">
        <v>154</v>
      </c>
      <c r="B110" t="s">
        <v>132</v>
      </c>
      <c r="C110" t="s">
        <v>297</v>
      </c>
      <c r="D110" t="s">
        <v>290</v>
      </c>
      <c r="E110" t="s">
        <v>298</v>
      </c>
      <c r="F110" t="s">
        <v>299</v>
      </c>
      <c r="G110" t="s">
        <v>465</v>
      </c>
      <c r="H110" t="s">
        <v>467</v>
      </c>
      <c r="I110" t="s">
        <v>789</v>
      </c>
      <c r="K110" t="s">
        <v>164</v>
      </c>
      <c r="N110" t="str">
        <f t="shared" si="5"/>
        <v>Szanowna Pani</v>
      </c>
      <c r="O110" s="19" t="s">
        <v>9776</v>
      </c>
      <c r="U110" t="str">
        <f t="shared" si="6"/>
        <v>tak</v>
      </c>
    </row>
    <row r="111" spans="1:21">
      <c r="A111">
        <v>155</v>
      </c>
      <c r="B111" t="s">
        <v>132</v>
      </c>
      <c r="C111" t="s">
        <v>301</v>
      </c>
      <c r="D111" t="s">
        <v>166</v>
      </c>
      <c r="E111" t="s">
        <v>302</v>
      </c>
      <c r="F111" t="s">
        <v>303</v>
      </c>
      <c r="G111" t="s">
        <v>468</v>
      </c>
      <c r="H111" t="s">
        <v>469</v>
      </c>
      <c r="I111" t="s">
        <v>790</v>
      </c>
      <c r="K111" t="s">
        <v>164</v>
      </c>
      <c r="N111" t="str">
        <f t="shared" si="5"/>
        <v>Szanowna Pani</v>
      </c>
      <c r="O111" s="19" t="s">
        <v>9776</v>
      </c>
      <c r="U111" t="str">
        <f t="shared" si="6"/>
        <v>tak</v>
      </c>
    </row>
    <row r="112" spans="1:21">
      <c r="A112">
        <v>156</v>
      </c>
      <c r="B112" t="s">
        <v>132</v>
      </c>
      <c r="C112" t="s">
        <v>304</v>
      </c>
      <c r="D112" t="s">
        <v>305</v>
      </c>
      <c r="E112" t="s">
        <v>306</v>
      </c>
      <c r="F112" t="s">
        <v>307</v>
      </c>
      <c r="G112" t="s">
        <v>470</v>
      </c>
      <c r="H112" t="s">
        <v>471</v>
      </c>
      <c r="I112" t="s">
        <v>791</v>
      </c>
      <c r="K112" t="s">
        <v>164</v>
      </c>
      <c r="N112" t="str">
        <f t="shared" si="5"/>
        <v>Szanowna Pani</v>
      </c>
      <c r="O112" s="19" t="s">
        <v>9776</v>
      </c>
      <c r="U112" t="str">
        <f t="shared" si="6"/>
        <v>tak</v>
      </c>
    </row>
    <row r="113" spans="1:21">
      <c r="A113">
        <v>157</v>
      </c>
      <c r="B113" t="s">
        <v>132</v>
      </c>
      <c r="C113" t="s">
        <v>308</v>
      </c>
      <c r="D113" t="s">
        <v>309</v>
      </c>
      <c r="E113" t="s">
        <v>310</v>
      </c>
      <c r="F113" t="s">
        <v>311</v>
      </c>
      <c r="G113" t="s">
        <v>472</v>
      </c>
      <c r="H113" t="s">
        <v>473</v>
      </c>
      <c r="I113" s="15" t="s">
        <v>9710</v>
      </c>
      <c r="K113" t="s">
        <v>164</v>
      </c>
      <c r="N113" t="str">
        <f t="shared" si="5"/>
        <v>Szanowna Pani</v>
      </c>
      <c r="O113" s="19" t="s">
        <v>9776</v>
      </c>
      <c r="U113" t="str">
        <f t="shared" si="6"/>
        <v>tak</v>
      </c>
    </row>
    <row r="114" spans="1:21">
      <c r="A114">
        <v>158</v>
      </c>
      <c r="B114" t="s">
        <v>132</v>
      </c>
      <c r="C114" t="s">
        <v>312</v>
      </c>
      <c r="D114" t="s">
        <v>251</v>
      </c>
      <c r="E114" t="s">
        <v>313</v>
      </c>
      <c r="F114" t="s">
        <v>314</v>
      </c>
      <c r="G114" t="s">
        <v>474</v>
      </c>
      <c r="H114" t="s">
        <v>475</v>
      </c>
      <c r="I114" t="s">
        <v>792</v>
      </c>
      <c r="K114" t="s">
        <v>164</v>
      </c>
      <c r="N114" t="str">
        <f t="shared" si="5"/>
        <v>Szanowny Pan</v>
      </c>
      <c r="O114" s="19" t="s">
        <v>9776</v>
      </c>
      <c r="U114" t="str">
        <f t="shared" si="6"/>
        <v>tak</v>
      </c>
    </row>
    <row r="115" spans="1:21">
      <c r="A115">
        <v>159</v>
      </c>
      <c r="B115" t="s">
        <v>132</v>
      </c>
      <c r="C115" t="s">
        <v>312</v>
      </c>
      <c r="D115" t="s">
        <v>315</v>
      </c>
      <c r="E115" t="s">
        <v>316</v>
      </c>
      <c r="F115" t="s">
        <v>317</v>
      </c>
      <c r="H115" t="s">
        <v>476</v>
      </c>
      <c r="I115" t="s">
        <v>793</v>
      </c>
      <c r="K115" t="s">
        <v>164</v>
      </c>
      <c r="N115" t="str">
        <f t="shared" si="5"/>
        <v>Szanowna Pani</v>
      </c>
      <c r="O115" s="19" t="s">
        <v>9776</v>
      </c>
      <c r="U115" t="str">
        <f t="shared" si="6"/>
        <v>tak</v>
      </c>
    </row>
    <row r="116" spans="1:21">
      <c r="A116">
        <v>160</v>
      </c>
      <c r="B116" t="s">
        <v>132</v>
      </c>
      <c r="C116" t="s">
        <v>312</v>
      </c>
      <c r="D116" t="s">
        <v>318</v>
      </c>
      <c r="E116" t="s">
        <v>319</v>
      </c>
      <c r="F116" t="s">
        <v>317</v>
      </c>
      <c r="G116" t="s">
        <v>477</v>
      </c>
      <c r="H116" t="s">
        <v>478</v>
      </c>
      <c r="I116" t="s">
        <v>794</v>
      </c>
      <c r="K116" t="s">
        <v>164</v>
      </c>
      <c r="N116" t="str">
        <f t="shared" si="5"/>
        <v>Szanowna Pani</v>
      </c>
      <c r="O116" s="19" t="s">
        <v>9776</v>
      </c>
      <c r="U116" t="str">
        <f t="shared" si="6"/>
        <v>tak</v>
      </c>
    </row>
    <row r="117" spans="1:21">
      <c r="A117">
        <v>161</v>
      </c>
      <c r="B117" t="s">
        <v>132</v>
      </c>
      <c r="C117" t="s">
        <v>320</v>
      </c>
      <c r="D117" t="s">
        <v>166</v>
      </c>
      <c r="E117" t="s">
        <v>321</v>
      </c>
      <c r="F117" t="s">
        <v>322</v>
      </c>
      <c r="G117" t="s">
        <v>479</v>
      </c>
      <c r="H117" t="s">
        <v>480</v>
      </c>
      <c r="I117" t="s">
        <v>795</v>
      </c>
      <c r="K117" t="s">
        <v>164</v>
      </c>
      <c r="N117" t="str">
        <f t="shared" si="5"/>
        <v>Szanowna Pani</v>
      </c>
      <c r="O117" s="19" t="s">
        <v>9776</v>
      </c>
      <c r="U117" t="str">
        <f t="shared" si="6"/>
        <v>tak</v>
      </c>
    </row>
    <row r="118" spans="1:21">
      <c r="A118">
        <v>162</v>
      </c>
      <c r="B118" t="s">
        <v>132</v>
      </c>
      <c r="C118" t="s">
        <v>323</v>
      </c>
      <c r="D118" t="s">
        <v>324</v>
      </c>
      <c r="E118" t="s">
        <v>325</v>
      </c>
      <c r="F118" t="s">
        <v>326</v>
      </c>
      <c r="G118" t="s">
        <v>481</v>
      </c>
      <c r="H118" t="s">
        <v>473</v>
      </c>
      <c r="I118" s="15" t="s">
        <v>9711</v>
      </c>
      <c r="K118" t="s">
        <v>164</v>
      </c>
      <c r="N118" t="str">
        <f t="shared" si="5"/>
        <v>Szanowna Pani</v>
      </c>
      <c r="O118" s="19" t="s">
        <v>9776</v>
      </c>
      <c r="U118" t="str">
        <f t="shared" si="6"/>
        <v>tak</v>
      </c>
    </row>
    <row r="119" spans="1:21">
      <c r="A119">
        <v>163</v>
      </c>
      <c r="B119" t="s">
        <v>132</v>
      </c>
      <c r="C119" t="s">
        <v>327</v>
      </c>
      <c r="D119" t="s">
        <v>251</v>
      </c>
      <c r="E119" t="s">
        <v>328</v>
      </c>
      <c r="F119" t="s">
        <v>329</v>
      </c>
      <c r="G119" t="s">
        <v>482</v>
      </c>
      <c r="H119" t="s">
        <v>483</v>
      </c>
      <c r="I119" t="s">
        <v>796</v>
      </c>
      <c r="K119" t="s">
        <v>164</v>
      </c>
      <c r="N119" t="str">
        <f t="shared" si="5"/>
        <v>Szanowna Pani</v>
      </c>
      <c r="O119" s="19" t="s">
        <v>9776</v>
      </c>
      <c r="U119" t="str">
        <f t="shared" si="6"/>
        <v>tak</v>
      </c>
    </row>
    <row r="120" spans="1:21">
      <c r="A120">
        <v>164</v>
      </c>
      <c r="B120" t="s">
        <v>132</v>
      </c>
      <c r="C120" t="s">
        <v>327</v>
      </c>
      <c r="D120" t="s">
        <v>251</v>
      </c>
      <c r="E120" t="s">
        <v>328</v>
      </c>
      <c r="F120" t="s">
        <v>329</v>
      </c>
      <c r="G120" t="s">
        <v>482</v>
      </c>
      <c r="H120" t="s">
        <v>484</v>
      </c>
      <c r="I120" t="s">
        <v>797</v>
      </c>
      <c r="K120" t="s">
        <v>165</v>
      </c>
      <c r="N120" t="str">
        <f t="shared" si="5"/>
        <v>Szanowna Pani</v>
      </c>
      <c r="P120" s="19" t="s">
        <v>9776</v>
      </c>
      <c r="U120" t="str">
        <f t="shared" si="6"/>
        <v>tak</v>
      </c>
    </row>
    <row r="121" spans="1:21">
      <c r="A121">
        <v>165</v>
      </c>
      <c r="B121" t="s">
        <v>132</v>
      </c>
      <c r="C121" t="s">
        <v>330</v>
      </c>
      <c r="D121" t="s">
        <v>331</v>
      </c>
      <c r="E121" t="s">
        <v>332</v>
      </c>
      <c r="F121" t="s">
        <v>228</v>
      </c>
      <c r="G121" t="s">
        <v>485</v>
      </c>
      <c r="H121" t="s">
        <v>486</v>
      </c>
      <c r="I121" t="s">
        <v>798</v>
      </c>
      <c r="K121" t="s">
        <v>164</v>
      </c>
      <c r="N121" t="str">
        <f t="shared" si="5"/>
        <v>Szanowna Pani</v>
      </c>
      <c r="O121" s="19" t="s">
        <v>9776</v>
      </c>
      <c r="U121" t="str">
        <f t="shared" si="6"/>
        <v>tak</v>
      </c>
    </row>
    <row r="122" spans="1:21">
      <c r="A122">
        <v>166</v>
      </c>
      <c r="B122" t="s">
        <v>132</v>
      </c>
      <c r="C122" t="s">
        <v>333</v>
      </c>
      <c r="D122" t="s">
        <v>246</v>
      </c>
      <c r="E122" t="s">
        <v>334</v>
      </c>
      <c r="F122" t="s">
        <v>335</v>
      </c>
      <c r="G122" t="s">
        <v>487</v>
      </c>
      <c r="H122" t="s">
        <v>488</v>
      </c>
      <c r="I122" t="s">
        <v>799</v>
      </c>
      <c r="K122" t="s">
        <v>164</v>
      </c>
      <c r="N122" t="str">
        <f t="shared" si="5"/>
        <v>Szanowna Pani</v>
      </c>
      <c r="O122" s="19" t="s">
        <v>9776</v>
      </c>
      <c r="U122" t="str">
        <f t="shared" si="6"/>
        <v>tak</v>
      </c>
    </row>
    <row r="123" spans="1:21">
      <c r="A123">
        <v>167</v>
      </c>
      <c r="B123" t="s">
        <v>132</v>
      </c>
      <c r="C123" t="s">
        <v>333</v>
      </c>
      <c r="D123" t="s">
        <v>246</v>
      </c>
      <c r="E123" t="s">
        <v>334</v>
      </c>
      <c r="F123" t="s">
        <v>335</v>
      </c>
      <c r="G123" t="s">
        <v>487</v>
      </c>
      <c r="H123" t="s">
        <v>489</v>
      </c>
      <c r="I123" t="s">
        <v>799</v>
      </c>
      <c r="K123" t="s">
        <v>165</v>
      </c>
      <c r="N123" t="str">
        <f t="shared" si="5"/>
        <v>Szanowna Pani</v>
      </c>
      <c r="P123" s="19" t="s">
        <v>9776</v>
      </c>
      <c r="U123" t="str">
        <f t="shared" si="6"/>
        <v>tak</v>
      </c>
    </row>
    <row r="124" spans="1:21">
      <c r="A124">
        <v>168</v>
      </c>
      <c r="B124" t="s">
        <v>132</v>
      </c>
      <c r="C124" t="s">
        <v>336</v>
      </c>
      <c r="D124" t="s">
        <v>337</v>
      </c>
      <c r="E124" t="s">
        <v>338</v>
      </c>
      <c r="F124" t="s">
        <v>339</v>
      </c>
      <c r="G124" t="s">
        <v>490</v>
      </c>
      <c r="H124" t="s">
        <v>491</v>
      </c>
      <c r="I124" t="s">
        <v>800</v>
      </c>
      <c r="K124" t="s">
        <v>164</v>
      </c>
      <c r="N124" t="str">
        <f t="shared" si="5"/>
        <v>Szanowna Pani</v>
      </c>
      <c r="O124" s="19" t="s">
        <v>9776</v>
      </c>
      <c r="U124" t="str">
        <f t="shared" si="6"/>
        <v>tak</v>
      </c>
    </row>
    <row r="125" spans="1:21">
      <c r="A125">
        <v>169</v>
      </c>
      <c r="B125" t="s">
        <v>132</v>
      </c>
      <c r="C125" t="s">
        <v>340</v>
      </c>
      <c r="D125" t="s">
        <v>341</v>
      </c>
      <c r="E125" t="s">
        <v>342</v>
      </c>
      <c r="F125" t="s">
        <v>343</v>
      </c>
      <c r="G125" t="s">
        <v>492</v>
      </c>
      <c r="H125" t="s">
        <v>493</v>
      </c>
      <c r="I125" t="s">
        <v>801</v>
      </c>
      <c r="K125" t="s">
        <v>164</v>
      </c>
      <c r="N125" t="str">
        <f t="shared" si="5"/>
        <v>Szanowna Pani</v>
      </c>
      <c r="O125" s="19" t="s">
        <v>9776</v>
      </c>
      <c r="U125" t="str">
        <f t="shared" ref="U125:U160" si="7">+O125 &amp;P125&amp;Q125</f>
        <v>tak</v>
      </c>
    </row>
    <row r="126" spans="1:21">
      <c r="A126">
        <v>170</v>
      </c>
      <c r="B126" t="s">
        <v>132</v>
      </c>
      <c r="C126" t="s">
        <v>340</v>
      </c>
      <c r="D126" t="s">
        <v>341</v>
      </c>
      <c r="E126" t="s">
        <v>342</v>
      </c>
      <c r="F126" t="s">
        <v>343</v>
      </c>
      <c r="G126" t="s">
        <v>492</v>
      </c>
      <c r="H126" t="s">
        <v>494</v>
      </c>
      <c r="I126" t="s">
        <v>801</v>
      </c>
      <c r="K126" t="s">
        <v>165</v>
      </c>
      <c r="N126" t="str">
        <f t="shared" si="5"/>
        <v>Szanowna Pani</v>
      </c>
      <c r="P126" s="19" t="s">
        <v>9776</v>
      </c>
      <c r="U126" t="str">
        <f t="shared" si="7"/>
        <v>tak</v>
      </c>
    </row>
    <row r="127" spans="1:21">
      <c r="A127">
        <v>171</v>
      </c>
      <c r="B127" t="s">
        <v>132</v>
      </c>
      <c r="C127" t="s">
        <v>344</v>
      </c>
      <c r="D127" t="s">
        <v>345</v>
      </c>
      <c r="E127" t="s">
        <v>313</v>
      </c>
      <c r="F127" t="s">
        <v>346</v>
      </c>
      <c r="G127" t="s">
        <v>495</v>
      </c>
      <c r="H127" t="s">
        <v>496</v>
      </c>
      <c r="I127" t="s">
        <v>802</v>
      </c>
      <c r="K127" t="s">
        <v>164</v>
      </c>
      <c r="N127" t="str">
        <f t="shared" si="5"/>
        <v>Szanowna Pani</v>
      </c>
      <c r="O127" s="19" t="s">
        <v>9776</v>
      </c>
      <c r="U127" t="str">
        <f t="shared" si="7"/>
        <v>tak</v>
      </c>
    </row>
    <row r="128" spans="1:21">
      <c r="A128">
        <v>172</v>
      </c>
      <c r="B128" t="s">
        <v>1398</v>
      </c>
      <c r="C128" t="s">
        <v>923</v>
      </c>
      <c r="D128" t="s">
        <v>924</v>
      </c>
      <c r="E128" t="s">
        <v>925</v>
      </c>
      <c r="F128" t="s">
        <v>926</v>
      </c>
      <c r="G128" t="s">
        <v>1215</v>
      </c>
      <c r="H128" t="s">
        <v>1216</v>
      </c>
      <c r="I128" t="s">
        <v>8279</v>
      </c>
      <c r="K128" t="s">
        <v>224</v>
      </c>
      <c r="L128" t="s">
        <v>358</v>
      </c>
      <c r="N128" t="str">
        <f t="shared" si="5"/>
        <v>Szanowna Pani</v>
      </c>
      <c r="Q128" s="19" t="s">
        <v>9776</v>
      </c>
      <c r="U128" t="str">
        <f t="shared" si="7"/>
        <v>tak</v>
      </c>
    </row>
    <row r="129" spans="1:21">
      <c r="A129">
        <v>173</v>
      </c>
      <c r="B129" t="s">
        <v>1398</v>
      </c>
      <c r="C129" t="s">
        <v>927</v>
      </c>
      <c r="D129" t="s">
        <v>928</v>
      </c>
      <c r="E129" t="s">
        <v>929</v>
      </c>
      <c r="F129" t="s">
        <v>1029</v>
      </c>
      <c r="G129" t="s">
        <v>1217</v>
      </c>
      <c r="H129" t="s">
        <v>1218</v>
      </c>
      <c r="I129" t="s">
        <v>8280</v>
      </c>
      <c r="K129" t="s">
        <v>224</v>
      </c>
      <c r="L129" t="s">
        <v>358</v>
      </c>
      <c r="N129" t="str">
        <f t="shared" si="5"/>
        <v>Szanowna Pani</v>
      </c>
      <c r="Q129" s="19" t="s">
        <v>9776</v>
      </c>
      <c r="U129" t="str">
        <f t="shared" si="7"/>
        <v>tak</v>
      </c>
    </row>
    <row r="130" spans="1:21">
      <c r="A130">
        <v>174</v>
      </c>
      <c r="B130" t="s">
        <v>1398</v>
      </c>
      <c r="C130" t="s">
        <v>927</v>
      </c>
      <c r="D130" t="s">
        <v>928</v>
      </c>
      <c r="E130" t="s">
        <v>929</v>
      </c>
      <c r="F130" t="s">
        <v>1029</v>
      </c>
      <c r="G130" t="s">
        <v>1217</v>
      </c>
      <c r="H130" t="s">
        <v>1219</v>
      </c>
      <c r="I130" t="s">
        <v>8280</v>
      </c>
      <c r="K130" t="s">
        <v>224</v>
      </c>
      <c r="L130" t="s">
        <v>358</v>
      </c>
      <c r="N130" t="str">
        <f t="shared" si="5"/>
        <v>Szanowna Pani</v>
      </c>
      <c r="Q130" s="19" t="s">
        <v>9776</v>
      </c>
      <c r="U130" t="str">
        <f t="shared" si="7"/>
        <v>tak</v>
      </c>
    </row>
    <row r="131" spans="1:21">
      <c r="A131">
        <v>175</v>
      </c>
      <c r="B131" t="s">
        <v>1398</v>
      </c>
      <c r="C131" t="s">
        <v>930</v>
      </c>
      <c r="D131" t="s">
        <v>1031</v>
      </c>
      <c r="E131" t="s">
        <v>1032</v>
      </c>
      <c r="F131" t="s">
        <v>1033</v>
      </c>
      <c r="G131" t="s">
        <v>1220</v>
      </c>
      <c r="H131" t="s">
        <v>1221</v>
      </c>
      <c r="I131" t="s">
        <v>8281</v>
      </c>
      <c r="K131" t="s">
        <v>164</v>
      </c>
      <c r="L131" t="s">
        <v>358</v>
      </c>
      <c r="N131" t="str">
        <f t="shared" si="5"/>
        <v>Szanowna Pani</v>
      </c>
      <c r="O131" s="19" t="s">
        <v>9776</v>
      </c>
      <c r="U131" t="str">
        <f t="shared" si="7"/>
        <v>tak</v>
      </c>
    </row>
    <row r="132" spans="1:21">
      <c r="A132">
        <v>176</v>
      </c>
      <c r="B132" t="s">
        <v>1398</v>
      </c>
      <c r="C132" t="s">
        <v>931</v>
      </c>
      <c r="D132" t="s">
        <v>932</v>
      </c>
      <c r="E132" t="s">
        <v>933</v>
      </c>
      <c r="F132" t="s">
        <v>934</v>
      </c>
      <c r="G132" t="s">
        <v>1222</v>
      </c>
      <c r="H132" t="s">
        <v>1223</v>
      </c>
      <c r="I132" t="s">
        <v>8282</v>
      </c>
      <c r="K132" t="s">
        <v>164</v>
      </c>
      <c r="L132" t="s">
        <v>358</v>
      </c>
      <c r="N132" t="str">
        <f t="shared" si="5"/>
        <v>Szanowna Pani</v>
      </c>
      <c r="O132" s="19" t="s">
        <v>9776</v>
      </c>
      <c r="U132" t="str">
        <f t="shared" si="7"/>
        <v>tak</v>
      </c>
    </row>
    <row r="133" spans="1:21">
      <c r="A133">
        <v>177</v>
      </c>
      <c r="B133" t="s">
        <v>1398</v>
      </c>
      <c r="C133" t="s">
        <v>935</v>
      </c>
      <c r="D133" t="s">
        <v>1034</v>
      </c>
      <c r="E133" t="s">
        <v>1035</v>
      </c>
      <c r="F133" t="s">
        <v>1036</v>
      </c>
      <c r="G133" t="s">
        <v>1224</v>
      </c>
      <c r="H133" t="s">
        <v>1225</v>
      </c>
      <c r="I133" t="s">
        <v>8283</v>
      </c>
      <c r="K133" t="s">
        <v>164</v>
      </c>
      <c r="L133" t="s">
        <v>358</v>
      </c>
      <c r="N133" t="str">
        <f t="shared" si="5"/>
        <v>Szanowne Panie</v>
      </c>
      <c r="O133" s="19" t="s">
        <v>9776</v>
      </c>
      <c r="U133" t="str">
        <f t="shared" si="7"/>
        <v>tak</v>
      </c>
    </row>
    <row r="134" spans="1:21">
      <c r="A134">
        <v>178</v>
      </c>
      <c r="B134" t="s">
        <v>1398</v>
      </c>
      <c r="C134" t="s">
        <v>935</v>
      </c>
      <c r="D134" t="s">
        <v>1034</v>
      </c>
      <c r="E134" t="s">
        <v>1037</v>
      </c>
      <c r="F134" t="s">
        <v>1038</v>
      </c>
      <c r="G134" t="s">
        <v>1224</v>
      </c>
      <c r="H134" t="s">
        <v>1226</v>
      </c>
      <c r="I134" t="s">
        <v>8284</v>
      </c>
      <c r="K134" t="s">
        <v>224</v>
      </c>
      <c r="L134" t="s">
        <v>358</v>
      </c>
      <c r="N134" t="str">
        <f t="shared" si="5"/>
        <v>Szanowne Panie</v>
      </c>
      <c r="Q134" s="19" t="s">
        <v>9776</v>
      </c>
      <c r="U134" t="str">
        <f t="shared" si="7"/>
        <v>tak</v>
      </c>
    </row>
    <row r="135" spans="1:21">
      <c r="A135">
        <v>179</v>
      </c>
      <c r="B135" t="s">
        <v>1398</v>
      </c>
      <c r="C135" t="s">
        <v>936</v>
      </c>
      <c r="D135" t="s">
        <v>1039</v>
      </c>
      <c r="E135" t="s">
        <v>1040</v>
      </c>
      <c r="F135" t="s">
        <v>1041</v>
      </c>
      <c r="G135" t="s">
        <v>1227</v>
      </c>
      <c r="H135" t="s">
        <v>1228</v>
      </c>
      <c r="I135" t="s">
        <v>8285</v>
      </c>
      <c r="K135" t="s">
        <v>164</v>
      </c>
      <c r="L135" t="s">
        <v>358</v>
      </c>
      <c r="N135" t="str">
        <f t="shared" si="5"/>
        <v>Szanowne Panie</v>
      </c>
      <c r="O135" s="19" t="s">
        <v>9776</v>
      </c>
      <c r="U135" t="str">
        <f t="shared" si="7"/>
        <v>tak</v>
      </c>
    </row>
    <row r="136" spans="1:21">
      <c r="A136">
        <v>180</v>
      </c>
      <c r="B136" t="s">
        <v>1398</v>
      </c>
      <c r="C136" t="s">
        <v>937</v>
      </c>
      <c r="D136" t="s">
        <v>1042</v>
      </c>
      <c r="E136" t="s">
        <v>1043</v>
      </c>
      <c r="F136" t="s">
        <v>1044</v>
      </c>
      <c r="G136" t="s">
        <v>1229</v>
      </c>
      <c r="H136" t="s">
        <v>1230</v>
      </c>
      <c r="I136" t="s">
        <v>8286</v>
      </c>
      <c r="K136" t="s">
        <v>164</v>
      </c>
      <c r="L136" t="s">
        <v>358</v>
      </c>
      <c r="N136" t="str">
        <f t="shared" si="5"/>
        <v>Szanowna Pani</v>
      </c>
      <c r="O136" s="19" t="s">
        <v>9776</v>
      </c>
      <c r="U136" t="str">
        <f t="shared" si="7"/>
        <v>tak</v>
      </c>
    </row>
    <row r="137" spans="1:21">
      <c r="A137">
        <v>181</v>
      </c>
      <c r="B137" t="s">
        <v>1398</v>
      </c>
      <c r="C137" t="s">
        <v>937</v>
      </c>
      <c r="D137" t="s">
        <v>1042</v>
      </c>
      <c r="E137" t="s">
        <v>1043</v>
      </c>
      <c r="F137" t="s">
        <v>1044</v>
      </c>
      <c r="G137" t="s">
        <v>1229</v>
      </c>
      <c r="H137" t="s">
        <v>1231</v>
      </c>
      <c r="I137" t="s">
        <v>8286</v>
      </c>
      <c r="K137" t="s">
        <v>165</v>
      </c>
      <c r="L137" t="s">
        <v>358</v>
      </c>
      <c r="N137" t="str">
        <f t="shared" si="5"/>
        <v>Szanowna Pani</v>
      </c>
      <c r="P137" s="19" t="s">
        <v>9776</v>
      </c>
      <c r="U137" t="str">
        <f t="shared" si="7"/>
        <v>tak</v>
      </c>
    </row>
    <row r="138" spans="1:21">
      <c r="A138">
        <v>182</v>
      </c>
      <c r="B138" t="s">
        <v>1398</v>
      </c>
      <c r="C138" t="s">
        <v>938</v>
      </c>
      <c r="D138" t="s">
        <v>1045</v>
      </c>
      <c r="E138" t="s">
        <v>1046</v>
      </c>
      <c r="F138" t="s">
        <v>1047</v>
      </c>
      <c r="G138" t="s">
        <v>1232</v>
      </c>
      <c r="H138" t="s">
        <v>1233</v>
      </c>
      <c r="I138" t="s">
        <v>8287</v>
      </c>
      <c r="K138" t="s">
        <v>164</v>
      </c>
      <c r="L138" t="s">
        <v>358</v>
      </c>
      <c r="N138" t="str">
        <f t="shared" si="5"/>
        <v>Szanowna Pani</v>
      </c>
      <c r="O138" s="19" t="s">
        <v>9776</v>
      </c>
      <c r="U138" t="str">
        <f t="shared" si="7"/>
        <v>tak</v>
      </c>
    </row>
    <row r="139" spans="1:21">
      <c r="A139">
        <v>183</v>
      </c>
      <c r="B139" t="s">
        <v>1398</v>
      </c>
      <c r="C139" t="s">
        <v>938</v>
      </c>
      <c r="D139" t="s">
        <v>1048</v>
      </c>
      <c r="E139" t="s">
        <v>1049</v>
      </c>
      <c r="F139" t="s">
        <v>1050</v>
      </c>
      <c r="G139" t="s">
        <v>1234</v>
      </c>
      <c r="H139" t="s">
        <v>1235</v>
      </c>
      <c r="I139" t="s">
        <v>8288</v>
      </c>
      <c r="K139" t="s">
        <v>164</v>
      </c>
      <c r="L139" t="s">
        <v>358</v>
      </c>
      <c r="N139" t="str">
        <f t="shared" si="5"/>
        <v>Szanowne Panie</v>
      </c>
      <c r="O139" s="19" t="s">
        <v>9776</v>
      </c>
      <c r="U139" t="str">
        <f t="shared" si="7"/>
        <v>tak</v>
      </c>
    </row>
    <row r="140" spans="1:21">
      <c r="A140">
        <v>184</v>
      </c>
      <c r="B140" t="s">
        <v>1398</v>
      </c>
      <c r="C140" t="s">
        <v>938</v>
      </c>
      <c r="D140" t="s">
        <v>1051</v>
      </c>
      <c r="E140" t="s">
        <v>1052</v>
      </c>
      <c r="F140" t="s">
        <v>939</v>
      </c>
      <c r="G140" t="s">
        <v>1236</v>
      </c>
      <c r="H140" t="s">
        <v>1237</v>
      </c>
      <c r="I140" t="s">
        <v>8289</v>
      </c>
      <c r="K140" t="s">
        <v>224</v>
      </c>
      <c r="L140" t="s">
        <v>358</v>
      </c>
      <c r="N140" t="str">
        <f t="shared" si="5"/>
        <v>Szanowna Pani</v>
      </c>
      <c r="Q140" s="19" t="s">
        <v>9776</v>
      </c>
      <c r="U140" t="str">
        <f t="shared" si="7"/>
        <v>tak</v>
      </c>
    </row>
    <row r="141" spans="1:21">
      <c r="A141">
        <v>185</v>
      </c>
      <c r="B141" t="s">
        <v>1398</v>
      </c>
      <c r="C141" t="s">
        <v>938</v>
      </c>
      <c r="D141" t="s">
        <v>1051</v>
      </c>
      <c r="E141" t="s">
        <v>1052</v>
      </c>
      <c r="F141" t="s">
        <v>939</v>
      </c>
      <c r="G141" t="s">
        <v>1234</v>
      </c>
      <c r="H141" t="s">
        <v>1238</v>
      </c>
      <c r="I141" t="s">
        <v>8290</v>
      </c>
      <c r="K141" t="s">
        <v>165</v>
      </c>
      <c r="L141" t="s">
        <v>358</v>
      </c>
      <c r="N141" t="str">
        <f t="shared" si="5"/>
        <v>Szanowna Pani</v>
      </c>
      <c r="P141" s="19" t="s">
        <v>9776</v>
      </c>
      <c r="U141" t="str">
        <f t="shared" si="7"/>
        <v>tak</v>
      </c>
    </row>
    <row r="142" spans="1:21">
      <c r="A142">
        <v>186</v>
      </c>
      <c r="B142" t="s">
        <v>1398</v>
      </c>
      <c r="C142" t="s">
        <v>938</v>
      </c>
      <c r="D142" t="s">
        <v>1053</v>
      </c>
      <c r="E142" t="s">
        <v>940</v>
      </c>
      <c r="F142" t="s">
        <v>941</v>
      </c>
      <c r="G142" t="s">
        <v>1239</v>
      </c>
      <c r="H142" t="s">
        <v>1240</v>
      </c>
      <c r="I142" t="s">
        <v>8291</v>
      </c>
      <c r="K142" t="s">
        <v>165</v>
      </c>
      <c r="L142" t="s">
        <v>358</v>
      </c>
      <c r="N142" t="str">
        <f t="shared" si="5"/>
        <v>Szanowna Pani</v>
      </c>
      <c r="P142" s="19" t="s">
        <v>9776</v>
      </c>
      <c r="U142" t="str">
        <f t="shared" si="7"/>
        <v>tak</v>
      </c>
    </row>
    <row r="143" spans="1:21">
      <c r="A143">
        <v>187</v>
      </c>
      <c r="B143" t="s">
        <v>1398</v>
      </c>
      <c r="C143" t="s">
        <v>938</v>
      </c>
      <c r="D143" t="s">
        <v>942</v>
      </c>
      <c r="E143" t="s">
        <v>943</v>
      </c>
      <c r="F143" t="s">
        <v>1054</v>
      </c>
      <c r="G143" t="s">
        <v>1241</v>
      </c>
      <c r="H143" t="s">
        <v>1242</v>
      </c>
      <c r="I143" t="s">
        <v>8292</v>
      </c>
      <c r="K143" t="s">
        <v>164</v>
      </c>
      <c r="L143" t="s">
        <v>358</v>
      </c>
      <c r="N143" t="str">
        <f t="shared" si="5"/>
        <v>Szanowna Pani</v>
      </c>
      <c r="O143" s="19" t="s">
        <v>9776</v>
      </c>
      <c r="U143" t="str">
        <f t="shared" si="7"/>
        <v>tak</v>
      </c>
    </row>
    <row r="144" spans="1:21">
      <c r="A144">
        <v>188</v>
      </c>
      <c r="B144" t="s">
        <v>1398</v>
      </c>
      <c r="C144" t="s">
        <v>938</v>
      </c>
      <c r="D144" t="s">
        <v>1057</v>
      </c>
      <c r="E144" t="s">
        <v>1055</v>
      </c>
      <c r="F144" t="s">
        <v>1056</v>
      </c>
      <c r="G144" t="s">
        <v>1241</v>
      </c>
      <c r="H144" t="s">
        <v>1243</v>
      </c>
      <c r="I144" t="s">
        <v>8293</v>
      </c>
      <c r="K144" t="s">
        <v>224</v>
      </c>
      <c r="L144" t="s">
        <v>358</v>
      </c>
      <c r="N144" t="str">
        <f t="shared" si="5"/>
        <v>Szanowna Pani</v>
      </c>
      <c r="Q144" s="19" t="s">
        <v>9776</v>
      </c>
      <c r="U144" t="str">
        <f t="shared" si="7"/>
        <v>tak</v>
      </c>
    </row>
    <row r="145" spans="1:21">
      <c r="A145">
        <v>189</v>
      </c>
      <c r="B145" t="s">
        <v>1398</v>
      </c>
      <c r="C145" t="s">
        <v>938</v>
      </c>
      <c r="D145" t="s">
        <v>1058</v>
      </c>
      <c r="E145" t="s">
        <v>1059</v>
      </c>
      <c r="F145" t="s">
        <v>1060</v>
      </c>
      <c r="G145" t="s">
        <v>1244</v>
      </c>
      <c r="H145" t="s">
        <v>1245</v>
      </c>
      <c r="I145" s="15" t="s">
        <v>9716</v>
      </c>
      <c r="K145" t="s">
        <v>164</v>
      </c>
      <c r="L145" t="s">
        <v>358</v>
      </c>
      <c r="N145" t="str">
        <f t="shared" si="5"/>
        <v>Szanowna Pani</v>
      </c>
      <c r="O145" s="19" t="s">
        <v>9776</v>
      </c>
      <c r="U145" t="str">
        <f t="shared" si="7"/>
        <v>tak</v>
      </c>
    </row>
    <row r="146" spans="1:21">
      <c r="A146">
        <v>190</v>
      </c>
      <c r="B146" t="s">
        <v>1398</v>
      </c>
      <c r="C146" t="s">
        <v>938</v>
      </c>
      <c r="D146" t="s">
        <v>1061</v>
      </c>
      <c r="E146" t="s">
        <v>1062</v>
      </c>
      <c r="F146" t="s">
        <v>1063</v>
      </c>
      <c r="G146" t="s">
        <v>1246</v>
      </c>
      <c r="H146" t="s">
        <v>1247</v>
      </c>
      <c r="I146" t="s">
        <v>8294</v>
      </c>
      <c r="K146" t="s">
        <v>165</v>
      </c>
      <c r="L146" t="s">
        <v>358</v>
      </c>
      <c r="N146" t="str">
        <f t="shared" si="5"/>
        <v>Szanowna Pani</v>
      </c>
      <c r="P146" s="19" t="s">
        <v>9776</v>
      </c>
      <c r="U146" t="str">
        <f t="shared" si="7"/>
        <v>tak</v>
      </c>
    </row>
    <row r="147" spans="1:21">
      <c r="A147">
        <v>191</v>
      </c>
      <c r="B147" t="s">
        <v>1398</v>
      </c>
      <c r="C147" t="s">
        <v>938</v>
      </c>
      <c r="D147" t="s">
        <v>1064</v>
      </c>
      <c r="E147" t="s">
        <v>1065</v>
      </c>
      <c r="F147" t="s">
        <v>1066</v>
      </c>
      <c r="G147" t="s">
        <v>1248</v>
      </c>
      <c r="H147" t="s">
        <v>1249</v>
      </c>
      <c r="I147" t="s">
        <v>8295</v>
      </c>
      <c r="K147" t="s">
        <v>164</v>
      </c>
      <c r="L147" t="s">
        <v>358</v>
      </c>
      <c r="N147" t="str">
        <f t="shared" si="5"/>
        <v>Szanowne Panie</v>
      </c>
      <c r="O147" s="19" t="s">
        <v>9776</v>
      </c>
      <c r="U147" t="str">
        <f t="shared" si="7"/>
        <v>tak</v>
      </c>
    </row>
    <row r="148" spans="1:21">
      <c r="A148">
        <v>192</v>
      </c>
      <c r="B148" t="s">
        <v>1398</v>
      </c>
      <c r="C148" t="s">
        <v>938</v>
      </c>
      <c r="D148" t="s">
        <v>1067</v>
      </c>
      <c r="E148" t="s">
        <v>1068</v>
      </c>
      <c r="F148" t="s">
        <v>1069</v>
      </c>
      <c r="G148" t="s">
        <v>1250</v>
      </c>
      <c r="H148" t="s">
        <v>1251</v>
      </c>
      <c r="I148" s="15" t="s">
        <v>9734</v>
      </c>
      <c r="K148" t="s">
        <v>164</v>
      </c>
      <c r="L148" t="s">
        <v>358</v>
      </c>
      <c r="N148" t="str">
        <f t="shared" si="5"/>
        <v>Szanowna Pani</v>
      </c>
      <c r="O148" s="19" t="s">
        <v>9776</v>
      </c>
      <c r="U148" t="str">
        <f t="shared" si="7"/>
        <v>tak</v>
      </c>
    </row>
    <row r="149" spans="1:21">
      <c r="A149">
        <v>193</v>
      </c>
      <c r="B149" t="s">
        <v>1398</v>
      </c>
      <c r="C149" t="s">
        <v>938</v>
      </c>
      <c r="D149" t="s">
        <v>1067</v>
      </c>
      <c r="E149" t="s">
        <v>1068</v>
      </c>
      <c r="F149" t="s">
        <v>1070</v>
      </c>
      <c r="G149" t="s">
        <v>1252</v>
      </c>
      <c r="H149" t="s">
        <v>1253</v>
      </c>
      <c r="I149" t="s">
        <v>8296</v>
      </c>
      <c r="K149" t="s">
        <v>165</v>
      </c>
      <c r="L149" t="s">
        <v>358</v>
      </c>
      <c r="N149" t="str">
        <f t="shared" si="5"/>
        <v>Szanowna Pani</v>
      </c>
      <c r="P149" s="19" t="s">
        <v>9776</v>
      </c>
      <c r="U149" t="str">
        <f t="shared" si="7"/>
        <v>tak</v>
      </c>
    </row>
    <row r="150" spans="1:21">
      <c r="A150">
        <v>194</v>
      </c>
      <c r="B150" t="s">
        <v>1398</v>
      </c>
      <c r="C150" t="s">
        <v>938</v>
      </c>
      <c r="D150" t="s">
        <v>1071</v>
      </c>
      <c r="E150" t="s">
        <v>1072</v>
      </c>
      <c r="F150" t="s">
        <v>1073</v>
      </c>
      <c r="G150" t="s">
        <v>1254</v>
      </c>
      <c r="H150" t="s">
        <v>1255</v>
      </c>
      <c r="I150" s="15" t="s">
        <v>9735</v>
      </c>
      <c r="K150" t="s">
        <v>164</v>
      </c>
      <c r="L150" t="s">
        <v>358</v>
      </c>
      <c r="N150" t="str">
        <f t="shared" ref="N150:N213" si="8">IF(ISERROR(FIND(",",H150)),IF(MID(H150,FIND(" ",H150)-1,1)="a","Szanowna Pani","Szanowny Pan"), "Szanowne Panie")</f>
        <v>Szanowna Pani</v>
      </c>
      <c r="O150" s="19" t="s">
        <v>9776</v>
      </c>
      <c r="U150" t="str">
        <f t="shared" si="7"/>
        <v>tak</v>
      </c>
    </row>
    <row r="151" spans="1:21">
      <c r="A151">
        <v>195</v>
      </c>
      <c r="B151" t="s">
        <v>1398</v>
      </c>
      <c r="C151" t="s">
        <v>938</v>
      </c>
      <c r="D151" t="s">
        <v>944</v>
      </c>
      <c r="E151" t="s">
        <v>1074</v>
      </c>
      <c r="F151" t="s">
        <v>1075</v>
      </c>
      <c r="G151" t="s">
        <v>1256</v>
      </c>
      <c r="H151" t="s">
        <v>1257</v>
      </c>
      <c r="I151" t="s">
        <v>8297</v>
      </c>
      <c r="K151" t="s">
        <v>1076</v>
      </c>
      <c r="L151" t="s">
        <v>358</v>
      </c>
      <c r="N151" t="str">
        <f t="shared" si="8"/>
        <v>Szanowne Panie</v>
      </c>
      <c r="Q151" s="19" t="s">
        <v>9776</v>
      </c>
      <c r="U151" t="str">
        <f t="shared" si="7"/>
        <v>tak</v>
      </c>
    </row>
    <row r="152" spans="1:21">
      <c r="A152">
        <v>196</v>
      </c>
      <c r="B152" t="s">
        <v>1398</v>
      </c>
      <c r="C152" t="s">
        <v>938</v>
      </c>
      <c r="D152" t="s">
        <v>1077</v>
      </c>
      <c r="E152" t="s">
        <v>1074</v>
      </c>
      <c r="F152" t="s">
        <v>1075</v>
      </c>
      <c r="G152" t="s">
        <v>1256</v>
      </c>
      <c r="H152" t="s">
        <v>1258</v>
      </c>
      <c r="I152" t="s">
        <v>8298</v>
      </c>
      <c r="K152" t="s">
        <v>164</v>
      </c>
      <c r="L152" t="s">
        <v>358</v>
      </c>
      <c r="N152" t="str">
        <f t="shared" si="8"/>
        <v>Szanowne Panie</v>
      </c>
      <c r="O152" s="19" t="s">
        <v>9776</v>
      </c>
      <c r="U152" t="str">
        <f t="shared" si="7"/>
        <v>tak</v>
      </c>
    </row>
    <row r="153" spans="1:21">
      <c r="A153">
        <v>197</v>
      </c>
      <c r="B153" t="s">
        <v>1398</v>
      </c>
      <c r="C153" t="s">
        <v>938</v>
      </c>
      <c r="D153" t="s">
        <v>1078</v>
      </c>
      <c r="E153" t="s">
        <v>1079</v>
      </c>
      <c r="F153" t="s">
        <v>1080</v>
      </c>
      <c r="G153" t="s">
        <v>1259</v>
      </c>
      <c r="H153" t="s">
        <v>1260</v>
      </c>
      <c r="I153" t="s">
        <v>8299</v>
      </c>
      <c r="K153" t="s">
        <v>164</v>
      </c>
      <c r="L153" t="s">
        <v>358</v>
      </c>
      <c r="N153" t="str">
        <f t="shared" si="8"/>
        <v>Szanowna Pani</v>
      </c>
      <c r="O153" s="19" t="s">
        <v>9776</v>
      </c>
      <c r="U153" t="str">
        <f t="shared" si="7"/>
        <v>tak</v>
      </c>
    </row>
    <row r="154" spans="1:21">
      <c r="A154">
        <v>198</v>
      </c>
      <c r="B154" t="s">
        <v>1398</v>
      </c>
      <c r="C154" t="s">
        <v>938</v>
      </c>
      <c r="D154" t="s">
        <v>1081</v>
      </c>
      <c r="E154" t="s">
        <v>1082</v>
      </c>
      <c r="F154" t="s">
        <v>1083</v>
      </c>
      <c r="G154" t="s">
        <v>1261</v>
      </c>
      <c r="H154" t="s">
        <v>1262</v>
      </c>
      <c r="I154" s="15" t="s">
        <v>9736</v>
      </c>
      <c r="K154" t="s">
        <v>164</v>
      </c>
      <c r="L154" t="s">
        <v>358</v>
      </c>
      <c r="N154" t="str">
        <f t="shared" si="8"/>
        <v>Szanowna Pani</v>
      </c>
      <c r="O154" s="19" t="s">
        <v>9776</v>
      </c>
      <c r="U154" t="str">
        <f t="shared" si="7"/>
        <v>tak</v>
      </c>
    </row>
    <row r="155" spans="1:21">
      <c r="A155">
        <v>199</v>
      </c>
      <c r="B155" t="s">
        <v>1398</v>
      </c>
      <c r="C155" t="s">
        <v>938</v>
      </c>
      <c r="D155" t="s">
        <v>945</v>
      </c>
      <c r="E155" t="s">
        <v>1092</v>
      </c>
      <c r="F155" t="s">
        <v>1093</v>
      </c>
      <c r="G155" t="s">
        <v>1263</v>
      </c>
      <c r="H155" t="s">
        <v>1264</v>
      </c>
      <c r="I155" s="15" t="s">
        <v>9737</v>
      </c>
      <c r="K155" t="s">
        <v>164</v>
      </c>
      <c r="L155" t="s">
        <v>358</v>
      </c>
      <c r="N155" t="str">
        <f t="shared" si="8"/>
        <v>Szanowna Pani</v>
      </c>
      <c r="O155" s="19" t="s">
        <v>9776</v>
      </c>
      <c r="U155" t="str">
        <f t="shared" si="7"/>
        <v>tak</v>
      </c>
    </row>
    <row r="156" spans="1:21">
      <c r="A156">
        <v>200</v>
      </c>
      <c r="B156" t="s">
        <v>1398</v>
      </c>
      <c r="C156" t="s">
        <v>938</v>
      </c>
      <c r="D156" t="s">
        <v>1094</v>
      </c>
      <c r="E156" t="s">
        <v>1095</v>
      </c>
      <c r="F156" t="s">
        <v>1096</v>
      </c>
      <c r="G156" t="s">
        <v>1265</v>
      </c>
      <c r="H156" t="s">
        <v>1266</v>
      </c>
      <c r="I156" s="15" t="s">
        <v>9738</v>
      </c>
      <c r="K156" t="s">
        <v>164</v>
      </c>
      <c r="L156" t="s">
        <v>358</v>
      </c>
      <c r="N156" t="str">
        <f t="shared" si="8"/>
        <v>Szanowna Pani</v>
      </c>
      <c r="O156" s="19" t="s">
        <v>9776</v>
      </c>
      <c r="U156" t="str">
        <f t="shared" si="7"/>
        <v>tak</v>
      </c>
    </row>
    <row r="157" spans="1:21">
      <c r="A157">
        <v>201</v>
      </c>
      <c r="B157" t="s">
        <v>1398</v>
      </c>
      <c r="C157" t="s">
        <v>938</v>
      </c>
      <c r="D157" t="s">
        <v>1084</v>
      </c>
      <c r="E157" t="s">
        <v>1085</v>
      </c>
      <c r="F157" t="s">
        <v>1086</v>
      </c>
      <c r="G157" t="s">
        <v>1267</v>
      </c>
      <c r="H157" t="s">
        <v>1268</v>
      </c>
      <c r="I157" t="s">
        <v>8300</v>
      </c>
      <c r="K157" t="s">
        <v>164</v>
      </c>
      <c r="L157" t="s">
        <v>358</v>
      </c>
      <c r="N157" t="s">
        <v>2208</v>
      </c>
      <c r="O157" s="19" t="s">
        <v>9776</v>
      </c>
      <c r="U157" t="str">
        <f t="shared" si="7"/>
        <v>tak</v>
      </c>
    </row>
    <row r="158" spans="1:21">
      <c r="A158">
        <v>202</v>
      </c>
      <c r="B158" t="s">
        <v>1398</v>
      </c>
      <c r="C158" t="s">
        <v>946</v>
      </c>
      <c r="D158" t="s">
        <v>1087</v>
      </c>
      <c r="E158" t="s">
        <v>1088</v>
      </c>
      <c r="F158" t="s">
        <v>1089</v>
      </c>
      <c r="G158" t="s">
        <v>1269</v>
      </c>
      <c r="H158" t="s">
        <v>1270</v>
      </c>
      <c r="I158" t="s">
        <v>8301</v>
      </c>
      <c r="K158" t="s">
        <v>224</v>
      </c>
      <c r="L158" t="s">
        <v>358</v>
      </c>
      <c r="N158" t="str">
        <f t="shared" si="8"/>
        <v>Szanowna Pani</v>
      </c>
      <c r="Q158" s="19" t="s">
        <v>9776</v>
      </c>
      <c r="U158" t="str">
        <f t="shared" si="7"/>
        <v>tak</v>
      </c>
    </row>
    <row r="159" spans="1:21">
      <c r="A159">
        <v>203</v>
      </c>
      <c r="B159" t="s">
        <v>1398</v>
      </c>
      <c r="C159" t="s">
        <v>946</v>
      </c>
      <c r="D159" t="s">
        <v>1087</v>
      </c>
      <c r="E159" t="s">
        <v>1088</v>
      </c>
      <c r="F159" t="s">
        <v>1090</v>
      </c>
      <c r="G159" t="s">
        <v>1271</v>
      </c>
      <c r="H159" t="s">
        <v>1272</v>
      </c>
      <c r="I159" t="s">
        <v>8301</v>
      </c>
      <c r="K159" t="s">
        <v>164</v>
      </c>
      <c r="L159" t="s">
        <v>358</v>
      </c>
      <c r="N159" t="str">
        <f t="shared" si="8"/>
        <v>Szanowna Pani</v>
      </c>
      <c r="O159" s="19" t="s">
        <v>9776</v>
      </c>
      <c r="U159" t="str">
        <f t="shared" si="7"/>
        <v>tak</v>
      </c>
    </row>
    <row r="160" spans="1:21">
      <c r="A160">
        <v>204</v>
      </c>
      <c r="B160" t="s">
        <v>1398</v>
      </c>
      <c r="C160" t="s">
        <v>946</v>
      </c>
      <c r="D160" t="s">
        <v>1091</v>
      </c>
      <c r="E160" t="s">
        <v>947</v>
      </c>
      <c r="F160" t="s">
        <v>948</v>
      </c>
      <c r="G160" t="s">
        <v>1273</v>
      </c>
      <c r="H160" t="s">
        <v>1274</v>
      </c>
      <c r="I160" t="s">
        <v>8302</v>
      </c>
      <c r="K160" t="s">
        <v>164</v>
      </c>
      <c r="L160" t="s">
        <v>358</v>
      </c>
      <c r="N160" t="str">
        <f t="shared" si="8"/>
        <v>Szanowna Pani</v>
      </c>
      <c r="O160" s="19" t="s">
        <v>9776</v>
      </c>
      <c r="U160" t="str">
        <f t="shared" si="7"/>
        <v>tak</v>
      </c>
    </row>
    <row r="161" spans="1:21">
      <c r="A161">
        <v>205</v>
      </c>
      <c r="B161" t="s">
        <v>1398</v>
      </c>
      <c r="C161" t="s">
        <v>946</v>
      </c>
      <c r="D161" t="s">
        <v>1097</v>
      </c>
      <c r="E161" t="s">
        <v>1098</v>
      </c>
      <c r="F161" t="s">
        <v>1099</v>
      </c>
      <c r="G161" t="s">
        <v>1275</v>
      </c>
      <c r="H161" t="s">
        <v>1276</v>
      </c>
      <c r="I161" t="s">
        <v>8303</v>
      </c>
      <c r="K161" t="s">
        <v>164</v>
      </c>
      <c r="L161" t="s">
        <v>358</v>
      </c>
      <c r="N161" t="str">
        <f t="shared" si="8"/>
        <v>Szanowna Pani</v>
      </c>
      <c r="O161" s="19" t="s">
        <v>9776</v>
      </c>
      <c r="U161" t="str">
        <f t="shared" ref="U161:U196" si="9">+O161 &amp;P161&amp;Q161</f>
        <v>tak</v>
      </c>
    </row>
    <row r="162" spans="1:21">
      <c r="A162">
        <v>206</v>
      </c>
      <c r="B162" t="s">
        <v>1398</v>
      </c>
      <c r="C162" t="s">
        <v>946</v>
      </c>
      <c r="D162" t="s">
        <v>1100</v>
      </c>
      <c r="E162" t="s">
        <v>1101</v>
      </c>
      <c r="F162" t="s">
        <v>1102</v>
      </c>
      <c r="G162" t="s">
        <v>1277</v>
      </c>
      <c r="H162" t="s">
        <v>1278</v>
      </c>
      <c r="I162" t="s">
        <v>8304</v>
      </c>
      <c r="K162" t="s">
        <v>164</v>
      </c>
      <c r="L162" t="s">
        <v>358</v>
      </c>
      <c r="N162" t="str">
        <f t="shared" si="8"/>
        <v>Szanowna Pani</v>
      </c>
      <c r="O162" s="19" t="s">
        <v>9776</v>
      </c>
      <c r="U162" t="str">
        <f t="shared" si="9"/>
        <v>tak</v>
      </c>
    </row>
    <row r="163" spans="1:21">
      <c r="A163">
        <v>207</v>
      </c>
      <c r="B163" t="s">
        <v>1398</v>
      </c>
      <c r="C163" t="s">
        <v>946</v>
      </c>
      <c r="D163" t="s">
        <v>1103</v>
      </c>
      <c r="E163" t="s">
        <v>1104</v>
      </c>
      <c r="F163" t="s">
        <v>1105</v>
      </c>
      <c r="G163" t="s">
        <v>1279</v>
      </c>
      <c r="H163" t="s">
        <v>1280</v>
      </c>
      <c r="I163" t="s">
        <v>8305</v>
      </c>
      <c r="K163" t="s">
        <v>164</v>
      </c>
      <c r="L163" t="s">
        <v>358</v>
      </c>
      <c r="N163" t="str">
        <f t="shared" si="8"/>
        <v>Szanowna Pani</v>
      </c>
      <c r="O163" s="19" t="s">
        <v>9776</v>
      </c>
      <c r="U163" t="str">
        <f t="shared" si="9"/>
        <v>tak</v>
      </c>
    </row>
    <row r="164" spans="1:21">
      <c r="A164">
        <v>208</v>
      </c>
      <c r="B164" t="s">
        <v>1398</v>
      </c>
      <c r="C164" t="s">
        <v>946</v>
      </c>
      <c r="D164" t="s">
        <v>1103</v>
      </c>
      <c r="E164" t="s">
        <v>1104</v>
      </c>
      <c r="F164" t="s">
        <v>1105</v>
      </c>
      <c r="G164" t="s">
        <v>1279</v>
      </c>
      <c r="H164" t="s">
        <v>1281</v>
      </c>
      <c r="I164" t="s">
        <v>8305</v>
      </c>
      <c r="K164" t="s">
        <v>165</v>
      </c>
      <c r="L164" t="s">
        <v>358</v>
      </c>
      <c r="N164" t="str">
        <f t="shared" si="8"/>
        <v>Szanowna Pani</v>
      </c>
      <c r="P164" s="19" t="s">
        <v>9776</v>
      </c>
      <c r="U164" t="str">
        <f t="shared" si="9"/>
        <v>tak</v>
      </c>
    </row>
    <row r="165" spans="1:21">
      <c r="A165">
        <v>209</v>
      </c>
      <c r="B165" t="s">
        <v>1398</v>
      </c>
      <c r="C165" t="s">
        <v>946</v>
      </c>
      <c r="D165" t="s">
        <v>1106</v>
      </c>
      <c r="E165" t="s">
        <v>1107</v>
      </c>
      <c r="F165" t="s">
        <v>1108</v>
      </c>
      <c r="G165" t="s">
        <v>1282</v>
      </c>
      <c r="H165" t="s">
        <v>1283</v>
      </c>
      <c r="I165" t="s">
        <v>8306</v>
      </c>
      <c r="K165" t="s">
        <v>164</v>
      </c>
      <c r="L165" t="s">
        <v>358</v>
      </c>
      <c r="N165" t="str">
        <f t="shared" si="8"/>
        <v>Szanowna Pani</v>
      </c>
      <c r="O165" s="19" t="s">
        <v>9776</v>
      </c>
      <c r="U165" t="str">
        <f t="shared" si="9"/>
        <v>tak</v>
      </c>
    </row>
    <row r="166" spans="1:21">
      <c r="A166">
        <v>210</v>
      </c>
      <c r="B166" t="s">
        <v>1398</v>
      </c>
      <c r="C166" t="s">
        <v>949</v>
      </c>
      <c r="D166" t="s">
        <v>950</v>
      </c>
      <c r="E166" t="s">
        <v>951</v>
      </c>
      <c r="F166" t="s">
        <v>952</v>
      </c>
      <c r="G166" t="s">
        <v>1284</v>
      </c>
      <c r="H166" t="s">
        <v>1285</v>
      </c>
      <c r="I166" t="s">
        <v>8307</v>
      </c>
      <c r="K166" t="s">
        <v>224</v>
      </c>
      <c r="L166" t="s">
        <v>358</v>
      </c>
      <c r="N166" t="str">
        <f t="shared" si="8"/>
        <v>Szanowna Pani</v>
      </c>
      <c r="Q166" s="19" t="s">
        <v>9776</v>
      </c>
      <c r="U166" t="str">
        <f t="shared" si="9"/>
        <v>tak</v>
      </c>
    </row>
    <row r="167" spans="1:21">
      <c r="A167">
        <v>211</v>
      </c>
      <c r="B167" t="s">
        <v>1398</v>
      </c>
      <c r="C167" t="s">
        <v>953</v>
      </c>
      <c r="D167" t="s">
        <v>1109</v>
      </c>
      <c r="E167" t="s">
        <v>1110</v>
      </c>
      <c r="F167" t="s">
        <v>1111</v>
      </c>
      <c r="G167" t="s">
        <v>1286</v>
      </c>
      <c r="H167" t="s">
        <v>1287</v>
      </c>
      <c r="I167" t="s">
        <v>8308</v>
      </c>
      <c r="K167" t="s">
        <v>164</v>
      </c>
      <c r="L167" t="s">
        <v>358</v>
      </c>
      <c r="N167" t="str">
        <f t="shared" si="8"/>
        <v>Szanowna Pani</v>
      </c>
      <c r="O167" s="19" t="s">
        <v>9776</v>
      </c>
      <c r="U167" t="str">
        <f t="shared" si="9"/>
        <v>tak</v>
      </c>
    </row>
    <row r="168" spans="1:21">
      <c r="A168">
        <v>212</v>
      </c>
      <c r="B168" t="s">
        <v>1398</v>
      </c>
      <c r="C168" t="s">
        <v>954</v>
      </c>
      <c r="D168" t="s">
        <v>955</v>
      </c>
      <c r="E168" t="s">
        <v>956</v>
      </c>
      <c r="F168" t="s">
        <v>1112</v>
      </c>
      <c r="G168" t="s">
        <v>1288</v>
      </c>
      <c r="H168" t="s">
        <v>1219</v>
      </c>
      <c r="I168" t="s">
        <v>8309</v>
      </c>
      <c r="K168" t="s">
        <v>165</v>
      </c>
      <c r="L168" t="s">
        <v>358</v>
      </c>
      <c r="N168" t="str">
        <f t="shared" si="8"/>
        <v>Szanowna Pani</v>
      </c>
      <c r="P168" s="19" t="s">
        <v>9776</v>
      </c>
      <c r="U168" t="str">
        <f t="shared" si="9"/>
        <v>tak</v>
      </c>
    </row>
    <row r="169" spans="1:21">
      <c r="A169">
        <v>213</v>
      </c>
      <c r="B169" t="s">
        <v>1398</v>
      </c>
      <c r="C169" t="s">
        <v>957</v>
      </c>
      <c r="D169" t="s">
        <v>1028</v>
      </c>
      <c r="E169" t="s">
        <v>958</v>
      </c>
      <c r="F169" t="s">
        <v>959</v>
      </c>
      <c r="G169" t="s">
        <v>1289</v>
      </c>
      <c r="H169" t="s">
        <v>1290</v>
      </c>
      <c r="I169" t="s">
        <v>8310</v>
      </c>
      <c r="K169" t="s">
        <v>164</v>
      </c>
      <c r="L169" t="s">
        <v>358</v>
      </c>
      <c r="N169" t="str">
        <f t="shared" si="8"/>
        <v>Szanowna Pani</v>
      </c>
      <c r="O169" s="19" t="s">
        <v>9776</v>
      </c>
      <c r="U169" t="str">
        <f t="shared" si="9"/>
        <v>tak</v>
      </c>
    </row>
    <row r="170" spans="1:21">
      <c r="A170">
        <v>214</v>
      </c>
      <c r="B170" t="s">
        <v>1398</v>
      </c>
      <c r="C170" t="s">
        <v>957</v>
      </c>
      <c r="D170" t="s">
        <v>1028</v>
      </c>
      <c r="E170" t="s">
        <v>958</v>
      </c>
      <c r="F170" t="s">
        <v>959</v>
      </c>
      <c r="G170" t="s">
        <v>1289</v>
      </c>
      <c r="H170" t="s">
        <v>1290</v>
      </c>
      <c r="I170" t="s">
        <v>8310</v>
      </c>
      <c r="K170" t="s">
        <v>165</v>
      </c>
      <c r="L170" t="s">
        <v>358</v>
      </c>
      <c r="N170" t="str">
        <f t="shared" si="8"/>
        <v>Szanowna Pani</v>
      </c>
      <c r="P170" s="19" t="s">
        <v>9776</v>
      </c>
      <c r="U170" t="str">
        <f t="shared" si="9"/>
        <v>tak</v>
      </c>
    </row>
    <row r="171" spans="1:21">
      <c r="A171">
        <v>215</v>
      </c>
      <c r="B171" t="s">
        <v>1398</v>
      </c>
      <c r="C171" t="s">
        <v>960</v>
      </c>
      <c r="D171" t="s">
        <v>1113</v>
      </c>
      <c r="E171" t="s">
        <v>1114</v>
      </c>
      <c r="F171" t="s">
        <v>1115</v>
      </c>
      <c r="G171" t="s">
        <v>1291</v>
      </c>
      <c r="H171" t="s">
        <v>1292</v>
      </c>
      <c r="I171" t="s">
        <v>8311</v>
      </c>
      <c r="K171" t="s">
        <v>164</v>
      </c>
      <c r="L171" t="s">
        <v>358</v>
      </c>
      <c r="N171" t="str">
        <f t="shared" si="8"/>
        <v>Szanowna Pani</v>
      </c>
      <c r="O171" s="19" t="s">
        <v>9776</v>
      </c>
      <c r="U171" t="str">
        <f t="shared" si="9"/>
        <v>tak</v>
      </c>
    </row>
    <row r="172" spans="1:21">
      <c r="A172">
        <v>216</v>
      </c>
      <c r="B172" t="s">
        <v>1398</v>
      </c>
      <c r="C172" t="s">
        <v>961</v>
      </c>
      <c r="D172" t="s">
        <v>962</v>
      </c>
      <c r="E172" t="s">
        <v>963</v>
      </c>
      <c r="F172" t="s">
        <v>964</v>
      </c>
      <c r="G172" t="s">
        <v>1293</v>
      </c>
      <c r="H172" t="s">
        <v>1294</v>
      </c>
      <c r="I172" t="s">
        <v>8312</v>
      </c>
      <c r="K172" t="s">
        <v>164</v>
      </c>
      <c r="L172" t="s">
        <v>358</v>
      </c>
      <c r="N172" t="str">
        <f t="shared" si="8"/>
        <v>Szanowna Pani</v>
      </c>
      <c r="O172" s="19" t="s">
        <v>9776</v>
      </c>
      <c r="U172" t="str">
        <f t="shared" si="9"/>
        <v>tak</v>
      </c>
    </row>
    <row r="173" spans="1:21">
      <c r="A173">
        <v>217</v>
      </c>
      <c r="B173" t="s">
        <v>1398</v>
      </c>
      <c r="C173" t="s">
        <v>965</v>
      </c>
      <c r="D173" t="s">
        <v>1116</v>
      </c>
      <c r="E173" t="s">
        <v>1117</v>
      </c>
      <c r="F173" t="s">
        <v>1118</v>
      </c>
      <c r="G173" t="s">
        <v>1295</v>
      </c>
      <c r="H173" t="s">
        <v>1296</v>
      </c>
      <c r="I173" t="s">
        <v>8313</v>
      </c>
      <c r="K173" t="s">
        <v>164</v>
      </c>
      <c r="L173" t="s">
        <v>358</v>
      </c>
      <c r="N173" t="str">
        <f t="shared" si="8"/>
        <v>Szanowna Pani</v>
      </c>
      <c r="O173" s="19" t="s">
        <v>9776</v>
      </c>
      <c r="U173" t="str">
        <f t="shared" si="9"/>
        <v>tak</v>
      </c>
    </row>
    <row r="174" spans="1:21">
      <c r="A174">
        <v>218</v>
      </c>
      <c r="B174" t="s">
        <v>1398</v>
      </c>
      <c r="C174" t="s">
        <v>966</v>
      </c>
      <c r="D174" t="s">
        <v>1119</v>
      </c>
      <c r="E174" t="s">
        <v>1120</v>
      </c>
      <c r="F174" t="s">
        <v>1121</v>
      </c>
      <c r="G174" t="s">
        <v>1297</v>
      </c>
      <c r="H174" t="s">
        <v>1298</v>
      </c>
      <c r="I174" t="s">
        <v>8314</v>
      </c>
      <c r="K174" t="s">
        <v>164</v>
      </c>
      <c r="L174" t="s">
        <v>358</v>
      </c>
      <c r="N174" t="str">
        <f t="shared" si="8"/>
        <v>Szanowne Panie</v>
      </c>
      <c r="O174" s="19" t="s">
        <v>9776</v>
      </c>
      <c r="U174" t="str">
        <f t="shared" si="9"/>
        <v>tak</v>
      </c>
    </row>
    <row r="175" spans="1:21">
      <c r="A175">
        <v>219</v>
      </c>
      <c r="B175" t="s">
        <v>1398</v>
      </c>
      <c r="C175" t="s">
        <v>967</v>
      </c>
      <c r="D175" t="s">
        <v>1045</v>
      </c>
      <c r="E175" t="s">
        <v>1122</v>
      </c>
      <c r="F175" t="s">
        <v>1123</v>
      </c>
      <c r="G175" t="s">
        <v>1299</v>
      </c>
      <c r="H175" t="s">
        <v>1300</v>
      </c>
      <c r="I175" t="s">
        <v>8315</v>
      </c>
      <c r="K175" t="s">
        <v>164</v>
      </c>
      <c r="L175" t="s">
        <v>358</v>
      </c>
      <c r="N175" t="str">
        <f t="shared" si="8"/>
        <v>Szanowna Pani</v>
      </c>
      <c r="O175" s="19" t="s">
        <v>9776</v>
      </c>
      <c r="U175" t="str">
        <f t="shared" si="9"/>
        <v>tak</v>
      </c>
    </row>
    <row r="176" spans="1:21">
      <c r="A176">
        <v>220</v>
      </c>
      <c r="B176" t="s">
        <v>1398</v>
      </c>
      <c r="C176" t="s">
        <v>968</v>
      </c>
      <c r="D176" t="s">
        <v>1124</v>
      </c>
      <c r="E176" t="s">
        <v>1125</v>
      </c>
      <c r="F176" t="s">
        <v>1126</v>
      </c>
      <c r="G176" t="s">
        <v>1301</v>
      </c>
      <c r="H176" t="s">
        <v>1302</v>
      </c>
      <c r="I176" t="s">
        <v>8316</v>
      </c>
      <c r="K176" t="s">
        <v>164</v>
      </c>
      <c r="L176" t="s">
        <v>358</v>
      </c>
      <c r="N176" t="str">
        <f t="shared" si="8"/>
        <v>Szanowna Pani</v>
      </c>
      <c r="O176" s="19" t="s">
        <v>9776</v>
      </c>
      <c r="U176" t="str">
        <f t="shared" si="9"/>
        <v>tak</v>
      </c>
    </row>
    <row r="177" spans="1:21">
      <c r="A177">
        <v>221</v>
      </c>
      <c r="B177" t="s">
        <v>1398</v>
      </c>
      <c r="C177" t="s">
        <v>969</v>
      </c>
      <c r="D177" t="s">
        <v>1127</v>
      </c>
      <c r="E177" t="s">
        <v>1128</v>
      </c>
      <c r="F177" t="s">
        <v>1129</v>
      </c>
      <c r="G177" t="s">
        <v>1303</v>
      </c>
      <c r="H177" t="s">
        <v>1304</v>
      </c>
      <c r="I177" t="s">
        <v>8317</v>
      </c>
      <c r="K177" t="s">
        <v>1131</v>
      </c>
      <c r="L177" t="s">
        <v>358</v>
      </c>
      <c r="N177" t="str">
        <f t="shared" si="8"/>
        <v>Szanowna Pani</v>
      </c>
      <c r="O177" s="19" t="s">
        <v>9776</v>
      </c>
      <c r="U177" t="str">
        <f t="shared" si="9"/>
        <v>tak</v>
      </c>
    </row>
    <row r="178" spans="1:21">
      <c r="A178">
        <v>222</v>
      </c>
      <c r="B178" t="s">
        <v>1398</v>
      </c>
      <c r="C178" t="s">
        <v>969</v>
      </c>
      <c r="D178" t="s">
        <v>1132</v>
      </c>
      <c r="E178" t="s">
        <v>1130</v>
      </c>
      <c r="F178" t="s">
        <v>1129</v>
      </c>
      <c r="G178" t="s">
        <v>1305</v>
      </c>
      <c r="H178" t="s">
        <v>1306</v>
      </c>
      <c r="I178" t="s">
        <v>8318</v>
      </c>
      <c r="K178" t="s">
        <v>164</v>
      </c>
      <c r="L178" t="s">
        <v>358</v>
      </c>
      <c r="N178" t="str">
        <f t="shared" si="8"/>
        <v>Szanowna Pani</v>
      </c>
      <c r="O178" s="19" t="s">
        <v>9776</v>
      </c>
      <c r="U178" t="str">
        <f t="shared" si="9"/>
        <v>tak</v>
      </c>
    </row>
    <row r="179" spans="1:21">
      <c r="A179">
        <v>223</v>
      </c>
      <c r="B179" t="s">
        <v>1398</v>
      </c>
      <c r="C179" t="s">
        <v>970</v>
      </c>
      <c r="D179" t="s">
        <v>1045</v>
      </c>
      <c r="E179" t="s">
        <v>1133</v>
      </c>
      <c r="F179" t="s">
        <v>1134</v>
      </c>
      <c r="G179" t="s">
        <v>1307</v>
      </c>
      <c r="H179" t="s">
        <v>1308</v>
      </c>
      <c r="I179" t="s">
        <v>8319</v>
      </c>
      <c r="K179" t="s">
        <v>164</v>
      </c>
      <c r="L179" t="s">
        <v>358</v>
      </c>
      <c r="N179" t="str">
        <f t="shared" si="8"/>
        <v>Szanowna Pani</v>
      </c>
      <c r="O179" s="19" t="s">
        <v>9776</v>
      </c>
      <c r="U179" t="str">
        <f t="shared" si="9"/>
        <v>tak</v>
      </c>
    </row>
    <row r="180" spans="1:21">
      <c r="A180">
        <v>224</v>
      </c>
      <c r="B180" t="s">
        <v>1398</v>
      </c>
      <c r="C180" t="s">
        <v>970</v>
      </c>
      <c r="D180" t="s">
        <v>1045</v>
      </c>
      <c r="E180" t="s">
        <v>1133</v>
      </c>
      <c r="F180" t="s">
        <v>1134</v>
      </c>
      <c r="G180" t="s">
        <v>1307</v>
      </c>
      <c r="H180" t="s">
        <v>1308</v>
      </c>
      <c r="I180" t="s">
        <v>8319</v>
      </c>
      <c r="K180" t="s">
        <v>224</v>
      </c>
      <c r="L180" t="s">
        <v>358</v>
      </c>
      <c r="N180" t="str">
        <f t="shared" si="8"/>
        <v>Szanowna Pani</v>
      </c>
      <c r="Q180" s="19" t="s">
        <v>9776</v>
      </c>
      <c r="U180" t="str">
        <f t="shared" si="9"/>
        <v>tak</v>
      </c>
    </row>
    <row r="181" spans="1:21">
      <c r="A181">
        <v>225</v>
      </c>
      <c r="B181" t="s">
        <v>1398</v>
      </c>
      <c r="C181" t="s">
        <v>970</v>
      </c>
      <c r="D181" t="s">
        <v>1045</v>
      </c>
      <c r="E181" t="s">
        <v>1402</v>
      </c>
      <c r="F181" t="s">
        <v>1403</v>
      </c>
      <c r="G181" t="s">
        <v>1404</v>
      </c>
      <c r="H181" t="s">
        <v>1405</v>
      </c>
      <c r="I181" t="s">
        <v>8320</v>
      </c>
      <c r="K181" t="s">
        <v>165</v>
      </c>
      <c r="L181" t="s">
        <v>358</v>
      </c>
      <c r="N181" t="str">
        <f t="shared" si="8"/>
        <v>Szanowna Pani</v>
      </c>
      <c r="P181" s="19" t="s">
        <v>9776</v>
      </c>
      <c r="U181" t="str">
        <f t="shared" si="9"/>
        <v>tak</v>
      </c>
    </row>
    <row r="182" spans="1:21">
      <c r="A182">
        <v>226</v>
      </c>
      <c r="B182" t="s">
        <v>1398</v>
      </c>
      <c r="C182" t="s">
        <v>971</v>
      </c>
      <c r="D182" t="s">
        <v>1135</v>
      </c>
      <c r="E182" t="s">
        <v>1136</v>
      </c>
      <c r="F182" t="s">
        <v>1137</v>
      </c>
      <c r="G182" t="s">
        <v>1309</v>
      </c>
      <c r="H182" t="s">
        <v>1310</v>
      </c>
      <c r="I182" t="s">
        <v>8321</v>
      </c>
      <c r="K182" t="s">
        <v>164</v>
      </c>
      <c r="L182" t="s">
        <v>358</v>
      </c>
      <c r="N182" t="str">
        <f t="shared" si="8"/>
        <v>Szanowna Pani</v>
      </c>
      <c r="O182" s="19" t="s">
        <v>9776</v>
      </c>
      <c r="U182" t="str">
        <f t="shared" si="9"/>
        <v>tak</v>
      </c>
    </row>
    <row r="183" spans="1:21">
      <c r="A183">
        <v>227</v>
      </c>
      <c r="B183" t="s">
        <v>1398</v>
      </c>
      <c r="C183" t="s">
        <v>971</v>
      </c>
      <c r="D183" t="s">
        <v>1138</v>
      </c>
      <c r="E183" t="s">
        <v>1139</v>
      </c>
      <c r="F183" t="s">
        <v>1137</v>
      </c>
      <c r="G183" t="s">
        <v>1309</v>
      </c>
      <c r="H183" t="s">
        <v>1311</v>
      </c>
      <c r="I183" t="s">
        <v>8321</v>
      </c>
      <c r="K183" t="s">
        <v>165</v>
      </c>
      <c r="L183" t="s">
        <v>358</v>
      </c>
      <c r="N183" t="str">
        <f t="shared" si="8"/>
        <v>Szanowna Pani</v>
      </c>
      <c r="P183" s="19" t="s">
        <v>9776</v>
      </c>
      <c r="U183" t="str">
        <f t="shared" si="9"/>
        <v>tak</v>
      </c>
    </row>
    <row r="184" spans="1:21">
      <c r="A184">
        <v>228</v>
      </c>
      <c r="B184" t="s">
        <v>1398</v>
      </c>
      <c r="C184" t="s">
        <v>972</v>
      </c>
      <c r="D184" t="s">
        <v>1140</v>
      </c>
      <c r="E184" t="s">
        <v>1141</v>
      </c>
      <c r="F184" t="s">
        <v>1142</v>
      </c>
      <c r="G184" t="s">
        <v>1312</v>
      </c>
      <c r="H184" t="s">
        <v>1313</v>
      </c>
      <c r="I184" t="s">
        <v>8322</v>
      </c>
      <c r="K184" t="s">
        <v>164</v>
      </c>
      <c r="L184" t="s">
        <v>358</v>
      </c>
      <c r="N184" t="str">
        <f t="shared" si="8"/>
        <v>Szanowna Pani</v>
      </c>
      <c r="O184" s="19" t="s">
        <v>9776</v>
      </c>
      <c r="U184" t="str">
        <f t="shared" si="9"/>
        <v>tak</v>
      </c>
    </row>
    <row r="185" spans="1:21">
      <c r="A185">
        <v>229</v>
      </c>
      <c r="B185" t="s">
        <v>1398</v>
      </c>
      <c r="C185" t="s">
        <v>973</v>
      </c>
      <c r="D185" t="s">
        <v>974</v>
      </c>
      <c r="E185" t="s">
        <v>1143</v>
      </c>
      <c r="F185" t="s">
        <v>1144</v>
      </c>
      <c r="G185" t="s">
        <v>1314</v>
      </c>
      <c r="H185" t="s">
        <v>1315</v>
      </c>
      <c r="I185" t="s">
        <v>8323</v>
      </c>
      <c r="K185" t="s">
        <v>164</v>
      </c>
      <c r="L185" t="s">
        <v>358</v>
      </c>
      <c r="N185" t="str">
        <f t="shared" si="8"/>
        <v>Szanowna Pani</v>
      </c>
      <c r="O185" s="19" t="s">
        <v>9776</v>
      </c>
      <c r="U185" t="str">
        <f t="shared" si="9"/>
        <v>tak</v>
      </c>
    </row>
    <row r="186" spans="1:21">
      <c r="A186">
        <v>230</v>
      </c>
      <c r="B186" t="s">
        <v>1398</v>
      </c>
      <c r="C186" t="s">
        <v>975</v>
      </c>
      <c r="D186" t="s">
        <v>976</v>
      </c>
      <c r="E186" t="s">
        <v>977</v>
      </c>
      <c r="F186" t="s">
        <v>978</v>
      </c>
      <c r="G186" t="s">
        <v>1316</v>
      </c>
      <c r="H186" t="s">
        <v>1317</v>
      </c>
      <c r="I186" t="s">
        <v>8324</v>
      </c>
      <c r="K186" t="s">
        <v>164</v>
      </c>
      <c r="L186" t="s">
        <v>358</v>
      </c>
      <c r="N186" t="str">
        <f t="shared" si="8"/>
        <v>Szanowna Pani</v>
      </c>
      <c r="O186" s="19" t="s">
        <v>9776</v>
      </c>
      <c r="U186" t="str">
        <f t="shared" si="9"/>
        <v>tak</v>
      </c>
    </row>
    <row r="187" spans="1:21">
      <c r="A187">
        <v>231</v>
      </c>
      <c r="B187" t="s">
        <v>1398</v>
      </c>
      <c r="C187" t="s">
        <v>975</v>
      </c>
      <c r="D187" t="s">
        <v>976</v>
      </c>
      <c r="E187" t="s">
        <v>977</v>
      </c>
      <c r="F187" t="s">
        <v>978</v>
      </c>
      <c r="G187" t="s">
        <v>1316</v>
      </c>
      <c r="H187" t="s">
        <v>1318</v>
      </c>
      <c r="I187" t="s">
        <v>8324</v>
      </c>
      <c r="K187" t="s">
        <v>165</v>
      </c>
      <c r="L187" t="s">
        <v>358</v>
      </c>
      <c r="N187" t="str">
        <f t="shared" si="8"/>
        <v>Szanowne Panie</v>
      </c>
      <c r="P187" s="19" t="s">
        <v>9776</v>
      </c>
      <c r="U187" t="str">
        <f t="shared" si="9"/>
        <v>tak</v>
      </c>
    </row>
    <row r="188" spans="1:21">
      <c r="A188">
        <v>232</v>
      </c>
      <c r="B188" t="s">
        <v>1398</v>
      </c>
      <c r="C188" t="s">
        <v>979</v>
      </c>
      <c r="D188" t="s">
        <v>1145</v>
      </c>
      <c r="E188" t="s">
        <v>1146</v>
      </c>
      <c r="F188" t="s">
        <v>1147</v>
      </c>
      <c r="G188" t="s">
        <v>1319</v>
      </c>
      <c r="H188" t="s">
        <v>1320</v>
      </c>
      <c r="I188" t="s">
        <v>8325</v>
      </c>
      <c r="K188" t="s">
        <v>165</v>
      </c>
      <c r="L188" t="s">
        <v>358</v>
      </c>
      <c r="N188" t="str">
        <f t="shared" si="8"/>
        <v>Szanowna Pani</v>
      </c>
      <c r="P188" s="19" t="s">
        <v>9776</v>
      </c>
      <c r="U188" t="str">
        <f t="shared" si="9"/>
        <v>tak</v>
      </c>
    </row>
    <row r="189" spans="1:21">
      <c r="A189">
        <v>233</v>
      </c>
      <c r="B189" t="s">
        <v>1398</v>
      </c>
      <c r="C189" t="s">
        <v>1145</v>
      </c>
      <c r="D189" t="s">
        <v>1145</v>
      </c>
      <c r="E189" t="s">
        <v>1146</v>
      </c>
      <c r="F189" t="s">
        <v>1147</v>
      </c>
      <c r="G189" t="s">
        <v>1319</v>
      </c>
      <c r="H189" t="s">
        <v>1321</v>
      </c>
      <c r="I189" s="15" t="s">
        <v>9718</v>
      </c>
      <c r="K189" t="s">
        <v>164</v>
      </c>
      <c r="L189" t="s">
        <v>358</v>
      </c>
      <c r="N189" t="str">
        <f t="shared" si="8"/>
        <v>Szanowna Pani</v>
      </c>
      <c r="O189" s="19" t="s">
        <v>9776</v>
      </c>
      <c r="U189" t="str">
        <f t="shared" si="9"/>
        <v>tak</v>
      </c>
    </row>
    <row r="190" spans="1:21">
      <c r="A190">
        <v>234</v>
      </c>
      <c r="B190" t="s">
        <v>1398</v>
      </c>
      <c r="C190" t="s">
        <v>980</v>
      </c>
      <c r="D190" t="s">
        <v>981</v>
      </c>
      <c r="E190" t="s">
        <v>982</v>
      </c>
      <c r="F190" t="s">
        <v>952</v>
      </c>
      <c r="G190" t="s">
        <v>1322</v>
      </c>
      <c r="H190" t="s">
        <v>1323</v>
      </c>
      <c r="I190" t="s">
        <v>8326</v>
      </c>
      <c r="K190" t="s">
        <v>164</v>
      </c>
      <c r="L190" t="s">
        <v>358</v>
      </c>
      <c r="N190" t="str">
        <f t="shared" si="8"/>
        <v>Szanowna Pani</v>
      </c>
      <c r="O190" s="19" t="s">
        <v>9776</v>
      </c>
      <c r="U190" t="str">
        <f t="shared" si="9"/>
        <v>tak</v>
      </c>
    </row>
    <row r="191" spans="1:21">
      <c r="A191">
        <v>235</v>
      </c>
      <c r="B191" t="s">
        <v>1398</v>
      </c>
      <c r="C191" t="s">
        <v>983</v>
      </c>
      <c r="D191" t="s">
        <v>1148</v>
      </c>
      <c r="E191" t="s">
        <v>1149</v>
      </c>
      <c r="F191" t="s">
        <v>1150</v>
      </c>
      <c r="G191" t="s">
        <v>1324</v>
      </c>
      <c r="H191" t="s">
        <v>1325</v>
      </c>
      <c r="I191" t="s">
        <v>8327</v>
      </c>
      <c r="K191" t="s">
        <v>164</v>
      </c>
      <c r="L191" t="s">
        <v>358</v>
      </c>
      <c r="N191" t="str">
        <f t="shared" si="8"/>
        <v>Szanowna Pani</v>
      </c>
      <c r="O191" s="19" t="s">
        <v>9776</v>
      </c>
      <c r="U191" t="str">
        <f t="shared" si="9"/>
        <v>tak</v>
      </c>
    </row>
    <row r="192" spans="1:21">
      <c r="A192">
        <v>236</v>
      </c>
      <c r="B192" t="s">
        <v>1398</v>
      </c>
      <c r="C192" t="s">
        <v>983</v>
      </c>
      <c r="D192" t="s">
        <v>1148</v>
      </c>
      <c r="E192" t="s">
        <v>1149</v>
      </c>
      <c r="F192" t="s">
        <v>1150</v>
      </c>
      <c r="G192" t="s">
        <v>1324</v>
      </c>
      <c r="H192" t="s">
        <v>1326</v>
      </c>
      <c r="I192" t="s">
        <v>8328</v>
      </c>
      <c r="K192" t="s">
        <v>165</v>
      </c>
      <c r="L192" t="s">
        <v>358</v>
      </c>
      <c r="N192" t="str">
        <f t="shared" si="8"/>
        <v>Szanowne Panie</v>
      </c>
      <c r="P192" s="19" t="s">
        <v>9776</v>
      </c>
      <c r="U192" t="str">
        <f t="shared" si="9"/>
        <v>tak</v>
      </c>
    </row>
    <row r="193" spans="1:21">
      <c r="A193">
        <v>237</v>
      </c>
      <c r="B193" t="s">
        <v>1398</v>
      </c>
      <c r="C193" t="s">
        <v>983</v>
      </c>
      <c r="D193" t="s">
        <v>1148</v>
      </c>
      <c r="E193" t="s">
        <v>1149</v>
      </c>
      <c r="F193" t="s">
        <v>1151</v>
      </c>
      <c r="G193" t="s">
        <v>1324</v>
      </c>
      <c r="H193" t="s">
        <v>1327</v>
      </c>
      <c r="I193" t="s">
        <v>8329</v>
      </c>
      <c r="K193" t="s">
        <v>224</v>
      </c>
      <c r="L193" t="s">
        <v>358</v>
      </c>
      <c r="N193" t="str">
        <f t="shared" si="8"/>
        <v>Szanowna Pani</v>
      </c>
      <c r="Q193" s="19" t="s">
        <v>9776</v>
      </c>
      <c r="U193" t="str">
        <f t="shared" si="9"/>
        <v>tak</v>
      </c>
    </row>
    <row r="194" spans="1:21">
      <c r="A194">
        <v>238</v>
      </c>
      <c r="B194" t="s">
        <v>1398</v>
      </c>
      <c r="C194" t="s">
        <v>984</v>
      </c>
      <c r="D194" t="s">
        <v>1152</v>
      </c>
      <c r="E194" t="s">
        <v>1153</v>
      </c>
      <c r="F194" t="s">
        <v>1154</v>
      </c>
      <c r="G194" t="s">
        <v>1328</v>
      </c>
      <c r="H194" t="s">
        <v>1329</v>
      </c>
      <c r="I194" t="s">
        <v>8330</v>
      </c>
      <c r="K194" t="s">
        <v>164</v>
      </c>
      <c r="L194" t="s">
        <v>358</v>
      </c>
      <c r="N194" t="str">
        <f t="shared" si="8"/>
        <v>Szanowna Pani</v>
      </c>
      <c r="O194" s="19" t="s">
        <v>9776</v>
      </c>
      <c r="U194" t="str">
        <f t="shared" si="9"/>
        <v>tak</v>
      </c>
    </row>
    <row r="195" spans="1:21">
      <c r="A195">
        <v>239</v>
      </c>
      <c r="B195" t="s">
        <v>1398</v>
      </c>
      <c r="C195" t="s">
        <v>985</v>
      </c>
      <c r="D195" t="s">
        <v>1155</v>
      </c>
      <c r="E195" t="s">
        <v>1156</v>
      </c>
      <c r="F195" t="s">
        <v>1157</v>
      </c>
      <c r="G195" t="s">
        <v>1330</v>
      </c>
      <c r="H195" t="s">
        <v>1331</v>
      </c>
      <c r="I195" t="s">
        <v>8331</v>
      </c>
      <c r="K195" t="s">
        <v>164</v>
      </c>
      <c r="L195" t="s">
        <v>358</v>
      </c>
      <c r="N195" t="str">
        <f t="shared" si="8"/>
        <v>Szanowne Panie</v>
      </c>
      <c r="O195" s="19" t="s">
        <v>9776</v>
      </c>
      <c r="U195" t="str">
        <f t="shared" si="9"/>
        <v>tak</v>
      </c>
    </row>
    <row r="196" spans="1:21">
      <c r="A196">
        <v>240</v>
      </c>
      <c r="B196" t="s">
        <v>1398</v>
      </c>
      <c r="C196" t="s">
        <v>985</v>
      </c>
      <c r="D196" t="s">
        <v>1155</v>
      </c>
      <c r="E196" t="s">
        <v>1156</v>
      </c>
      <c r="F196" t="s">
        <v>1157</v>
      </c>
      <c r="G196" t="s">
        <v>1332</v>
      </c>
      <c r="H196" t="s">
        <v>1331</v>
      </c>
      <c r="I196" t="s">
        <v>8332</v>
      </c>
      <c r="K196" t="s">
        <v>165</v>
      </c>
      <c r="L196" t="s">
        <v>358</v>
      </c>
      <c r="N196" t="str">
        <f t="shared" si="8"/>
        <v>Szanowne Panie</v>
      </c>
      <c r="P196" s="19" t="s">
        <v>9776</v>
      </c>
      <c r="U196" t="str">
        <f t="shared" si="9"/>
        <v>tak</v>
      </c>
    </row>
    <row r="197" spans="1:21">
      <c r="A197">
        <v>241</v>
      </c>
      <c r="B197" t="s">
        <v>1398</v>
      </c>
      <c r="C197" t="s">
        <v>986</v>
      </c>
      <c r="D197" t="s">
        <v>1045</v>
      </c>
      <c r="E197" t="s">
        <v>1158</v>
      </c>
      <c r="F197" t="s">
        <v>1159</v>
      </c>
      <c r="G197" t="s">
        <v>1333</v>
      </c>
      <c r="H197" t="s">
        <v>1334</v>
      </c>
      <c r="I197" t="s">
        <v>8333</v>
      </c>
      <c r="K197" t="s">
        <v>164</v>
      </c>
      <c r="L197" t="s">
        <v>358</v>
      </c>
      <c r="N197" t="str">
        <f t="shared" si="8"/>
        <v>Szanowna Pani</v>
      </c>
      <c r="O197" s="19" t="s">
        <v>9776</v>
      </c>
      <c r="U197" t="str">
        <f t="shared" ref="U197:U228" si="10">+O197 &amp;P197&amp;Q197</f>
        <v>tak</v>
      </c>
    </row>
    <row r="198" spans="1:21">
      <c r="A198">
        <v>242</v>
      </c>
      <c r="B198" t="s">
        <v>1398</v>
      </c>
      <c r="C198" t="s">
        <v>987</v>
      </c>
      <c r="D198" t="s">
        <v>1045</v>
      </c>
      <c r="E198" t="s">
        <v>1160</v>
      </c>
      <c r="F198" t="s">
        <v>1161</v>
      </c>
      <c r="G198" t="s">
        <v>1400</v>
      </c>
      <c r="H198" t="s">
        <v>1335</v>
      </c>
      <c r="I198" t="s">
        <v>8334</v>
      </c>
      <c r="K198" t="s">
        <v>164</v>
      </c>
      <c r="L198" t="s">
        <v>358</v>
      </c>
      <c r="N198" t="str">
        <f t="shared" si="8"/>
        <v>Szanowny Pan</v>
      </c>
      <c r="O198" s="19" t="s">
        <v>9776</v>
      </c>
      <c r="U198" t="str">
        <f t="shared" si="10"/>
        <v>tak</v>
      </c>
    </row>
    <row r="199" spans="1:21">
      <c r="A199">
        <v>243</v>
      </c>
      <c r="B199" t="s">
        <v>1398</v>
      </c>
      <c r="C199" t="s">
        <v>988</v>
      </c>
      <c r="D199" t="s">
        <v>1162</v>
      </c>
      <c r="E199" t="s">
        <v>1163</v>
      </c>
      <c r="F199" t="s">
        <v>1164</v>
      </c>
      <c r="G199" t="s">
        <v>1336</v>
      </c>
      <c r="H199" t="s">
        <v>1337</v>
      </c>
      <c r="I199" t="s">
        <v>8335</v>
      </c>
      <c r="K199" t="s">
        <v>164</v>
      </c>
      <c r="L199" t="s">
        <v>358</v>
      </c>
      <c r="N199" t="str">
        <f t="shared" si="8"/>
        <v>Szanowna Pani</v>
      </c>
      <c r="O199" s="19" t="s">
        <v>9776</v>
      </c>
      <c r="U199" t="str">
        <f t="shared" si="10"/>
        <v>tak</v>
      </c>
    </row>
    <row r="200" spans="1:21">
      <c r="A200">
        <v>244</v>
      </c>
      <c r="B200" t="s">
        <v>1398</v>
      </c>
      <c r="C200" t="s">
        <v>988</v>
      </c>
      <c r="D200" t="s">
        <v>1165</v>
      </c>
      <c r="E200" t="s">
        <v>1163</v>
      </c>
      <c r="F200" t="s">
        <v>1164</v>
      </c>
      <c r="G200" t="s">
        <v>1336</v>
      </c>
      <c r="H200" t="s">
        <v>1337</v>
      </c>
      <c r="I200" t="s">
        <v>8335</v>
      </c>
      <c r="K200" t="s">
        <v>165</v>
      </c>
      <c r="L200" t="s">
        <v>358</v>
      </c>
      <c r="N200" t="str">
        <f t="shared" si="8"/>
        <v>Szanowna Pani</v>
      </c>
      <c r="P200" s="19" t="s">
        <v>9776</v>
      </c>
      <c r="U200" t="str">
        <f t="shared" si="10"/>
        <v>tak</v>
      </c>
    </row>
    <row r="201" spans="1:21">
      <c r="A201">
        <v>245</v>
      </c>
      <c r="B201" t="s">
        <v>1398</v>
      </c>
      <c r="C201" t="s">
        <v>989</v>
      </c>
      <c r="D201" t="s">
        <v>1166</v>
      </c>
      <c r="E201" t="s">
        <v>1167</v>
      </c>
      <c r="F201" t="s">
        <v>1168</v>
      </c>
      <c r="G201" t="s">
        <v>1338</v>
      </c>
      <c r="H201" t="s">
        <v>1339</v>
      </c>
      <c r="I201" t="s">
        <v>8336</v>
      </c>
      <c r="K201" t="s">
        <v>164</v>
      </c>
      <c r="L201" t="s">
        <v>358</v>
      </c>
      <c r="N201" t="str">
        <f t="shared" si="8"/>
        <v>Szanowna Pani</v>
      </c>
      <c r="O201" s="19" t="s">
        <v>9776</v>
      </c>
      <c r="U201" t="str">
        <f t="shared" si="10"/>
        <v>tak</v>
      </c>
    </row>
    <row r="202" spans="1:21">
      <c r="A202">
        <v>246</v>
      </c>
      <c r="B202" t="s">
        <v>1398</v>
      </c>
      <c r="C202" t="s">
        <v>990</v>
      </c>
      <c r="D202" t="s">
        <v>1169</v>
      </c>
      <c r="E202" t="s">
        <v>1170</v>
      </c>
      <c r="F202" t="s">
        <v>1171</v>
      </c>
      <c r="G202" t="s">
        <v>1340</v>
      </c>
      <c r="H202" t="s">
        <v>1341</v>
      </c>
      <c r="I202" t="s">
        <v>8337</v>
      </c>
      <c r="K202" t="s">
        <v>164</v>
      </c>
      <c r="L202" t="s">
        <v>358</v>
      </c>
      <c r="N202" t="str">
        <f t="shared" si="8"/>
        <v>Szanowna Pani</v>
      </c>
      <c r="O202" s="19" t="s">
        <v>9776</v>
      </c>
      <c r="U202" t="str">
        <f t="shared" si="10"/>
        <v>tak</v>
      </c>
    </row>
    <row r="203" spans="1:21">
      <c r="A203">
        <v>247</v>
      </c>
      <c r="B203" t="s">
        <v>1398</v>
      </c>
      <c r="C203" t="s">
        <v>990</v>
      </c>
      <c r="D203" t="s">
        <v>1172</v>
      </c>
      <c r="E203" t="s">
        <v>1173</v>
      </c>
      <c r="F203" t="s">
        <v>1171</v>
      </c>
      <c r="G203" t="s">
        <v>1342</v>
      </c>
      <c r="H203" t="s">
        <v>1343</v>
      </c>
      <c r="I203" t="s">
        <v>8338</v>
      </c>
      <c r="K203" t="s">
        <v>164</v>
      </c>
      <c r="L203" t="s">
        <v>358</v>
      </c>
      <c r="N203" t="str">
        <f t="shared" si="8"/>
        <v>Szanowna Pani</v>
      </c>
      <c r="O203" s="19" t="s">
        <v>9776</v>
      </c>
      <c r="U203" t="str">
        <f t="shared" si="10"/>
        <v>tak</v>
      </c>
    </row>
    <row r="204" spans="1:21">
      <c r="A204">
        <v>248</v>
      </c>
      <c r="B204" t="s">
        <v>1398</v>
      </c>
      <c r="C204" t="s">
        <v>990</v>
      </c>
      <c r="D204" t="s">
        <v>1172</v>
      </c>
      <c r="E204" t="s">
        <v>1173</v>
      </c>
      <c r="F204" t="s">
        <v>1171</v>
      </c>
      <c r="G204" t="s">
        <v>1342</v>
      </c>
      <c r="H204" t="s">
        <v>1344</v>
      </c>
      <c r="I204" t="s">
        <v>8338</v>
      </c>
      <c r="K204" t="s">
        <v>165</v>
      </c>
      <c r="L204" t="s">
        <v>358</v>
      </c>
      <c r="N204" t="str">
        <f t="shared" si="8"/>
        <v>Szanowna Pani</v>
      </c>
      <c r="P204" s="19" t="s">
        <v>9776</v>
      </c>
      <c r="U204" t="str">
        <f t="shared" si="10"/>
        <v>tak</v>
      </c>
    </row>
    <row r="205" spans="1:21">
      <c r="A205">
        <v>249</v>
      </c>
      <c r="B205" t="s">
        <v>1398</v>
      </c>
      <c r="C205" t="s">
        <v>990</v>
      </c>
      <c r="D205" t="s">
        <v>991</v>
      </c>
      <c r="E205" t="s">
        <v>992</v>
      </c>
      <c r="F205" t="s">
        <v>993</v>
      </c>
      <c r="G205" t="s">
        <v>1345</v>
      </c>
      <c r="H205" t="s">
        <v>1346</v>
      </c>
      <c r="I205" t="s">
        <v>8339</v>
      </c>
      <c r="K205" t="s">
        <v>164</v>
      </c>
      <c r="L205" t="s">
        <v>358</v>
      </c>
      <c r="N205" t="str">
        <f t="shared" si="8"/>
        <v>Szanowny Pan</v>
      </c>
      <c r="O205" s="19" t="s">
        <v>9776</v>
      </c>
      <c r="U205" t="str">
        <f t="shared" si="10"/>
        <v>tak</v>
      </c>
    </row>
    <row r="206" spans="1:21">
      <c r="A206">
        <v>250</v>
      </c>
      <c r="B206" t="s">
        <v>1398</v>
      </c>
      <c r="C206" t="s">
        <v>990</v>
      </c>
      <c r="D206" t="s">
        <v>1174</v>
      </c>
      <c r="E206" t="s">
        <v>1175</v>
      </c>
      <c r="F206" t="s">
        <v>1171</v>
      </c>
      <c r="G206" t="s">
        <v>1347</v>
      </c>
      <c r="H206" t="s">
        <v>1348</v>
      </c>
      <c r="I206" t="s">
        <v>8340</v>
      </c>
      <c r="K206" t="s">
        <v>164</v>
      </c>
      <c r="L206" t="s">
        <v>358</v>
      </c>
      <c r="N206" t="str">
        <f t="shared" si="8"/>
        <v>Szanowna Pani</v>
      </c>
      <c r="O206" s="19" t="s">
        <v>9776</v>
      </c>
      <c r="U206" t="str">
        <f t="shared" si="10"/>
        <v>tak</v>
      </c>
    </row>
    <row r="207" spans="1:21">
      <c r="A207">
        <v>251</v>
      </c>
      <c r="B207" t="s">
        <v>1398</v>
      </c>
      <c r="C207" t="s">
        <v>990</v>
      </c>
      <c r="D207" t="s">
        <v>1174</v>
      </c>
      <c r="E207" t="s">
        <v>1175</v>
      </c>
      <c r="F207" t="s">
        <v>1171</v>
      </c>
      <c r="G207" t="s">
        <v>1347</v>
      </c>
      <c r="H207" t="s">
        <v>1348</v>
      </c>
      <c r="I207" t="s">
        <v>8340</v>
      </c>
      <c r="K207" t="s">
        <v>165</v>
      </c>
      <c r="L207" t="s">
        <v>358</v>
      </c>
      <c r="N207" t="str">
        <f t="shared" si="8"/>
        <v>Szanowna Pani</v>
      </c>
      <c r="P207" s="19" t="s">
        <v>9776</v>
      </c>
      <c r="U207" t="str">
        <f t="shared" si="10"/>
        <v>tak</v>
      </c>
    </row>
    <row r="208" spans="1:21">
      <c r="A208">
        <v>252</v>
      </c>
      <c r="B208" t="s">
        <v>1398</v>
      </c>
      <c r="C208" t="s">
        <v>994</v>
      </c>
      <c r="D208" t="s">
        <v>1176</v>
      </c>
      <c r="E208" t="s">
        <v>1177</v>
      </c>
      <c r="F208" t="s">
        <v>1178</v>
      </c>
      <c r="G208" t="s">
        <v>1349</v>
      </c>
      <c r="H208" t="s">
        <v>1350</v>
      </c>
      <c r="I208" t="s">
        <v>8341</v>
      </c>
      <c r="K208" t="s">
        <v>164</v>
      </c>
      <c r="L208" t="s">
        <v>358</v>
      </c>
      <c r="N208" t="str">
        <f t="shared" si="8"/>
        <v>Szanowna Pani</v>
      </c>
      <c r="O208" s="19" t="s">
        <v>9776</v>
      </c>
      <c r="U208" t="str">
        <f t="shared" si="10"/>
        <v>tak</v>
      </c>
    </row>
    <row r="209" spans="1:21">
      <c r="A209">
        <v>253</v>
      </c>
      <c r="B209" t="s">
        <v>1398</v>
      </c>
      <c r="C209" t="s">
        <v>994</v>
      </c>
      <c r="D209" t="s">
        <v>1176</v>
      </c>
      <c r="E209" t="s">
        <v>1177</v>
      </c>
      <c r="F209" t="s">
        <v>1178</v>
      </c>
      <c r="G209" t="s">
        <v>1351</v>
      </c>
      <c r="H209" t="s">
        <v>1352</v>
      </c>
      <c r="I209" t="s">
        <v>8342</v>
      </c>
      <c r="K209" t="s">
        <v>165</v>
      </c>
      <c r="L209" t="s">
        <v>358</v>
      </c>
      <c r="N209" t="str">
        <f t="shared" si="8"/>
        <v>Szanowna Pani</v>
      </c>
      <c r="P209" s="19" t="s">
        <v>9776</v>
      </c>
      <c r="U209" t="str">
        <f t="shared" si="10"/>
        <v>tak</v>
      </c>
    </row>
    <row r="210" spans="1:21">
      <c r="A210">
        <v>254</v>
      </c>
      <c r="B210" t="s">
        <v>1398</v>
      </c>
      <c r="C210" t="s">
        <v>995</v>
      </c>
      <c r="D210" t="s">
        <v>1179</v>
      </c>
      <c r="E210" t="s">
        <v>1180</v>
      </c>
      <c r="F210" t="s">
        <v>1181</v>
      </c>
      <c r="G210" t="s">
        <v>1353</v>
      </c>
      <c r="H210" t="s">
        <v>1354</v>
      </c>
      <c r="I210" t="s">
        <v>8343</v>
      </c>
      <c r="K210" t="s">
        <v>164</v>
      </c>
      <c r="L210" t="s">
        <v>358</v>
      </c>
      <c r="N210" t="str">
        <f t="shared" si="8"/>
        <v>Szanowna Pani</v>
      </c>
      <c r="O210" s="19" t="s">
        <v>9776</v>
      </c>
      <c r="U210" t="str">
        <f t="shared" si="10"/>
        <v>tak</v>
      </c>
    </row>
    <row r="211" spans="1:21">
      <c r="A211">
        <v>255</v>
      </c>
      <c r="B211" t="s">
        <v>1398</v>
      </c>
      <c r="C211" t="s">
        <v>996</v>
      </c>
      <c r="D211" t="s">
        <v>1045</v>
      </c>
      <c r="E211" t="s">
        <v>1182</v>
      </c>
      <c r="F211" t="s">
        <v>1183</v>
      </c>
      <c r="G211" t="s">
        <v>1355</v>
      </c>
      <c r="H211" t="s">
        <v>1356</v>
      </c>
      <c r="I211" t="s">
        <v>8344</v>
      </c>
      <c r="K211" t="s">
        <v>224</v>
      </c>
      <c r="L211" t="s">
        <v>358</v>
      </c>
      <c r="N211" t="str">
        <f t="shared" si="8"/>
        <v>Szanowne Panie</v>
      </c>
      <c r="Q211" s="19" t="s">
        <v>9776</v>
      </c>
      <c r="U211" t="str">
        <f t="shared" si="10"/>
        <v>tak</v>
      </c>
    </row>
    <row r="212" spans="1:21">
      <c r="A212">
        <v>256</v>
      </c>
      <c r="B212" t="s">
        <v>1398</v>
      </c>
      <c r="C212" t="s">
        <v>996</v>
      </c>
      <c r="D212" t="s">
        <v>1045</v>
      </c>
      <c r="E212" t="s">
        <v>1182</v>
      </c>
      <c r="F212" t="s">
        <v>1183</v>
      </c>
      <c r="G212" t="s">
        <v>1355</v>
      </c>
      <c r="H212" t="s">
        <v>1356</v>
      </c>
      <c r="I212" t="s">
        <v>8345</v>
      </c>
      <c r="K212" t="s">
        <v>165</v>
      </c>
      <c r="L212" t="s">
        <v>358</v>
      </c>
      <c r="N212" t="str">
        <f t="shared" si="8"/>
        <v>Szanowne Panie</v>
      </c>
      <c r="P212" s="19" t="s">
        <v>9776</v>
      </c>
      <c r="U212" t="str">
        <f t="shared" si="10"/>
        <v>tak</v>
      </c>
    </row>
    <row r="213" spans="1:21">
      <c r="A213">
        <v>257</v>
      </c>
      <c r="B213" t="s">
        <v>1398</v>
      </c>
      <c r="C213" t="s">
        <v>996</v>
      </c>
      <c r="D213" t="s">
        <v>1184</v>
      </c>
      <c r="E213" t="s">
        <v>1185</v>
      </c>
      <c r="F213" t="s">
        <v>1183</v>
      </c>
      <c r="G213" t="s">
        <v>1357</v>
      </c>
      <c r="H213" t="s">
        <v>1358</v>
      </c>
      <c r="I213" t="s">
        <v>8346</v>
      </c>
      <c r="K213" t="s">
        <v>164</v>
      </c>
      <c r="L213" t="s">
        <v>358</v>
      </c>
      <c r="N213" t="str">
        <f t="shared" si="8"/>
        <v>Szanowna Pani</v>
      </c>
      <c r="O213" s="19" t="s">
        <v>9776</v>
      </c>
      <c r="U213" t="str">
        <f t="shared" si="10"/>
        <v>tak</v>
      </c>
    </row>
    <row r="214" spans="1:21">
      <c r="A214">
        <v>258</v>
      </c>
      <c r="B214" t="s">
        <v>1398</v>
      </c>
      <c r="C214" t="s">
        <v>997</v>
      </c>
      <c r="D214" t="s">
        <v>1186</v>
      </c>
      <c r="E214" t="s">
        <v>1187</v>
      </c>
      <c r="F214" t="s">
        <v>1188</v>
      </c>
      <c r="G214" t="s">
        <v>1359</v>
      </c>
      <c r="H214" t="s">
        <v>1360</v>
      </c>
      <c r="I214" t="s">
        <v>8347</v>
      </c>
      <c r="K214" t="s">
        <v>164</v>
      </c>
      <c r="L214" t="s">
        <v>358</v>
      </c>
      <c r="N214" t="str">
        <f t="shared" ref="N214:N277" si="11">IF(ISERROR(FIND(",",H214)),IF(MID(H214,FIND(" ",H214)-1,1)="a","Szanowna Pani","Szanowny Pan"), "Szanowne Panie")</f>
        <v>Szanowna Pani</v>
      </c>
      <c r="O214" s="19" t="s">
        <v>9776</v>
      </c>
      <c r="U214" t="str">
        <f t="shared" si="10"/>
        <v>tak</v>
      </c>
    </row>
    <row r="215" spans="1:21">
      <c r="A215">
        <v>259</v>
      </c>
      <c r="B215" t="s">
        <v>1398</v>
      </c>
      <c r="C215" t="s">
        <v>997</v>
      </c>
      <c r="D215" t="s">
        <v>1186</v>
      </c>
      <c r="E215" t="s">
        <v>1187</v>
      </c>
      <c r="F215" t="s">
        <v>1188</v>
      </c>
      <c r="G215" t="s">
        <v>1359</v>
      </c>
      <c r="H215" t="s">
        <v>1361</v>
      </c>
      <c r="I215" t="s">
        <v>8348</v>
      </c>
      <c r="K215" t="s">
        <v>165</v>
      </c>
      <c r="L215" t="s">
        <v>358</v>
      </c>
      <c r="N215" t="str">
        <f t="shared" si="11"/>
        <v>Szanowna Pani</v>
      </c>
      <c r="P215" s="19" t="s">
        <v>9776</v>
      </c>
      <c r="U215" t="str">
        <f t="shared" si="10"/>
        <v>tak</v>
      </c>
    </row>
    <row r="216" spans="1:21">
      <c r="A216">
        <v>260</v>
      </c>
      <c r="B216" t="s">
        <v>1398</v>
      </c>
      <c r="C216" t="s">
        <v>998</v>
      </c>
      <c r="D216" t="s">
        <v>999</v>
      </c>
      <c r="E216" t="s">
        <v>1000</v>
      </c>
      <c r="F216" t="s">
        <v>1001</v>
      </c>
      <c r="G216" t="s">
        <v>1362</v>
      </c>
      <c r="H216" t="s">
        <v>1363</v>
      </c>
      <c r="I216" t="s">
        <v>8349</v>
      </c>
      <c r="K216" t="s">
        <v>165</v>
      </c>
      <c r="L216" t="s">
        <v>358</v>
      </c>
      <c r="N216" t="str">
        <f t="shared" si="11"/>
        <v>Szanowna Pani</v>
      </c>
      <c r="P216" s="19" t="s">
        <v>9776</v>
      </c>
      <c r="U216" t="str">
        <f t="shared" si="10"/>
        <v>tak</v>
      </c>
    </row>
    <row r="217" spans="1:21">
      <c r="A217">
        <v>261</v>
      </c>
      <c r="B217" t="s">
        <v>1398</v>
      </c>
      <c r="C217" t="s">
        <v>998</v>
      </c>
      <c r="D217" t="s">
        <v>999</v>
      </c>
      <c r="E217" t="s">
        <v>1000</v>
      </c>
      <c r="F217" t="s">
        <v>1001</v>
      </c>
      <c r="G217" t="s">
        <v>1362</v>
      </c>
      <c r="H217" t="s">
        <v>1364</v>
      </c>
      <c r="I217" t="s">
        <v>8349</v>
      </c>
      <c r="K217" t="s">
        <v>164</v>
      </c>
      <c r="L217" t="s">
        <v>358</v>
      </c>
      <c r="N217" t="str">
        <f t="shared" si="11"/>
        <v>Szanowne Panie</v>
      </c>
      <c r="O217" s="19" t="s">
        <v>9776</v>
      </c>
      <c r="U217" t="str">
        <f t="shared" si="10"/>
        <v>tak</v>
      </c>
    </row>
    <row r="218" spans="1:21">
      <c r="A218">
        <v>262</v>
      </c>
      <c r="B218" t="s">
        <v>1398</v>
      </c>
      <c r="C218" t="s">
        <v>1002</v>
      </c>
      <c r="D218" t="s">
        <v>1003</v>
      </c>
      <c r="E218" t="s">
        <v>1004</v>
      </c>
      <c r="F218" t="s">
        <v>1005</v>
      </c>
      <c r="G218" t="s">
        <v>1365</v>
      </c>
      <c r="H218" t="s">
        <v>1366</v>
      </c>
      <c r="I218" t="s">
        <v>8350</v>
      </c>
      <c r="K218" t="s">
        <v>224</v>
      </c>
      <c r="L218" t="s">
        <v>358</v>
      </c>
      <c r="N218" t="str">
        <f t="shared" si="11"/>
        <v>Szanowna Pani</v>
      </c>
      <c r="Q218" s="19" t="s">
        <v>9776</v>
      </c>
      <c r="U218" t="str">
        <f t="shared" si="10"/>
        <v>tak</v>
      </c>
    </row>
    <row r="219" spans="1:21">
      <c r="A219">
        <v>263</v>
      </c>
      <c r="B219" t="s">
        <v>1398</v>
      </c>
      <c r="C219" t="s">
        <v>1006</v>
      </c>
      <c r="D219" t="s">
        <v>1189</v>
      </c>
      <c r="E219" t="s">
        <v>1190</v>
      </c>
      <c r="F219" t="s">
        <v>1401</v>
      </c>
      <c r="G219" t="s">
        <v>1406</v>
      </c>
      <c r="H219" t="s">
        <v>1367</v>
      </c>
      <c r="I219" t="s">
        <v>8351</v>
      </c>
      <c r="K219" t="s">
        <v>164</v>
      </c>
      <c r="L219" t="s">
        <v>358</v>
      </c>
      <c r="N219" t="str">
        <f t="shared" si="11"/>
        <v>Szanowna Pani</v>
      </c>
      <c r="O219" s="19" t="s">
        <v>9776</v>
      </c>
      <c r="U219" t="str">
        <f t="shared" si="10"/>
        <v>tak</v>
      </c>
    </row>
    <row r="220" spans="1:21">
      <c r="A220">
        <v>264</v>
      </c>
      <c r="B220" t="s">
        <v>1398</v>
      </c>
      <c r="C220" t="s">
        <v>1007</v>
      </c>
      <c r="D220" t="s">
        <v>1191</v>
      </c>
      <c r="E220" t="s">
        <v>1192</v>
      </c>
      <c r="F220" t="s">
        <v>1195</v>
      </c>
      <c r="G220" t="s">
        <v>1369</v>
      </c>
      <c r="H220" t="s">
        <v>1368</v>
      </c>
      <c r="I220" s="15" t="s">
        <v>8353</v>
      </c>
      <c r="K220" t="s">
        <v>164</v>
      </c>
      <c r="L220" t="s">
        <v>358</v>
      </c>
      <c r="N220" t="str">
        <f t="shared" si="11"/>
        <v>Szanowne Panie</v>
      </c>
      <c r="O220" s="19" t="s">
        <v>9776</v>
      </c>
      <c r="U220" t="str">
        <f t="shared" si="10"/>
        <v>tak</v>
      </c>
    </row>
    <row r="221" spans="1:21">
      <c r="A221">
        <v>265</v>
      </c>
      <c r="B221" t="s">
        <v>1398</v>
      </c>
      <c r="C221" t="s">
        <v>1007</v>
      </c>
      <c r="D221" t="s">
        <v>1191</v>
      </c>
      <c r="E221" t="s">
        <v>1193</v>
      </c>
      <c r="F221" t="s">
        <v>1194</v>
      </c>
      <c r="G221" t="s">
        <v>1369</v>
      </c>
      <c r="H221" t="s">
        <v>1368</v>
      </c>
      <c r="I221" t="s">
        <v>8352</v>
      </c>
      <c r="K221" t="s">
        <v>224</v>
      </c>
      <c r="L221" t="s">
        <v>358</v>
      </c>
      <c r="N221" t="str">
        <f t="shared" si="11"/>
        <v>Szanowne Panie</v>
      </c>
      <c r="Q221" s="19" t="s">
        <v>9776</v>
      </c>
      <c r="U221" t="str">
        <f t="shared" si="10"/>
        <v>tak</v>
      </c>
    </row>
    <row r="222" spans="1:21">
      <c r="A222">
        <v>266</v>
      </c>
      <c r="B222" t="s">
        <v>1398</v>
      </c>
      <c r="C222" t="s">
        <v>1007</v>
      </c>
      <c r="D222" t="s">
        <v>1191</v>
      </c>
      <c r="E222" t="s">
        <v>1193</v>
      </c>
      <c r="F222" t="s">
        <v>1194</v>
      </c>
      <c r="G222" t="s">
        <v>1369</v>
      </c>
      <c r="H222" t="s">
        <v>1370</v>
      </c>
      <c r="I222" t="s">
        <v>8353</v>
      </c>
      <c r="K222" t="s">
        <v>165</v>
      </c>
      <c r="L222" t="s">
        <v>358</v>
      </c>
      <c r="N222" t="str">
        <f t="shared" si="11"/>
        <v>Szanowne Panie</v>
      </c>
      <c r="P222" s="19" t="s">
        <v>9776</v>
      </c>
      <c r="U222" t="str">
        <f t="shared" si="10"/>
        <v>tak</v>
      </c>
    </row>
    <row r="223" spans="1:21">
      <c r="A223">
        <v>267</v>
      </c>
      <c r="B223" t="s">
        <v>1398</v>
      </c>
      <c r="C223" t="s">
        <v>1008</v>
      </c>
      <c r="D223" t="s">
        <v>1009</v>
      </c>
      <c r="E223" t="s">
        <v>1010</v>
      </c>
      <c r="F223" t="s">
        <v>1196</v>
      </c>
      <c r="G223" t="s">
        <v>1371</v>
      </c>
      <c r="H223" t="s">
        <v>1372</v>
      </c>
      <c r="I223" t="s">
        <v>8354</v>
      </c>
      <c r="K223" t="s">
        <v>224</v>
      </c>
      <c r="L223" t="s">
        <v>358</v>
      </c>
      <c r="N223" t="str">
        <f t="shared" si="11"/>
        <v>Szanowna Pani</v>
      </c>
      <c r="Q223" s="19" t="s">
        <v>9776</v>
      </c>
      <c r="U223" t="str">
        <f t="shared" si="10"/>
        <v>tak</v>
      </c>
    </row>
    <row r="224" spans="1:21">
      <c r="A224">
        <v>268</v>
      </c>
      <c r="B224" t="s">
        <v>1398</v>
      </c>
      <c r="C224" t="s">
        <v>1011</v>
      </c>
      <c r="D224" t="s">
        <v>1197</v>
      </c>
      <c r="E224" t="s">
        <v>1198</v>
      </c>
      <c r="F224" t="s">
        <v>1199</v>
      </c>
      <c r="G224" t="s">
        <v>1373</v>
      </c>
      <c r="H224" t="s">
        <v>1374</v>
      </c>
      <c r="I224" t="s">
        <v>8355</v>
      </c>
      <c r="K224" t="s">
        <v>165</v>
      </c>
      <c r="L224" t="s">
        <v>358</v>
      </c>
      <c r="N224" t="str">
        <f t="shared" si="11"/>
        <v>Szanowna Pani</v>
      </c>
      <c r="P224" s="19" t="s">
        <v>9776</v>
      </c>
      <c r="U224" t="str">
        <f t="shared" si="10"/>
        <v>tak</v>
      </c>
    </row>
    <row r="225" spans="1:21">
      <c r="A225">
        <v>269</v>
      </c>
      <c r="B225" t="s">
        <v>1398</v>
      </c>
      <c r="C225" t="s">
        <v>1011</v>
      </c>
      <c r="D225" t="s">
        <v>1012</v>
      </c>
      <c r="E225" t="s">
        <v>1013</v>
      </c>
      <c r="F225" t="s">
        <v>1014</v>
      </c>
      <c r="G225" t="s">
        <v>1375</v>
      </c>
      <c r="H225" t="s">
        <v>1376</v>
      </c>
      <c r="I225" t="s">
        <v>8356</v>
      </c>
      <c r="K225" t="s">
        <v>164</v>
      </c>
      <c r="L225" t="s">
        <v>358</v>
      </c>
      <c r="N225" t="str">
        <f t="shared" si="11"/>
        <v>Szanowna Pani</v>
      </c>
      <c r="O225" s="19" t="s">
        <v>9776</v>
      </c>
      <c r="U225" t="str">
        <f t="shared" si="10"/>
        <v>tak</v>
      </c>
    </row>
    <row r="226" spans="1:21">
      <c r="A226">
        <v>270</v>
      </c>
      <c r="B226" t="s">
        <v>1398</v>
      </c>
      <c r="C226" t="s">
        <v>1015</v>
      </c>
      <c r="D226" t="s">
        <v>1200</v>
      </c>
      <c r="E226" t="s">
        <v>1201</v>
      </c>
      <c r="F226" t="s">
        <v>1202</v>
      </c>
      <c r="G226" t="s">
        <v>1377</v>
      </c>
      <c r="H226" t="s">
        <v>1378</v>
      </c>
      <c r="I226" t="s">
        <v>8357</v>
      </c>
      <c r="K226" t="s">
        <v>1203</v>
      </c>
      <c r="L226" t="s">
        <v>358</v>
      </c>
      <c r="N226" t="str">
        <f t="shared" si="11"/>
        <v>Szanowna Pani</v>
      </c>
      <c r="P226" s="19" t="s">
        <v>9776</v>
      </c>
      <c r="U226" t="str">
        <f t="shared" si="10"/>
        <v>tak</v>
      </c>
    </row>
    <row r="227" spans="1:21">
      <c r="A227">
        <v>271</v>
      </c>
      <c r="B227" t="s">
        <v>1398</v>
      </c>
      <c r="C227" t="s">
        <v>1015</v>
      </c>
      <c r="D227" t="s">
        <v>1200</v>
      </c>
      <c r="E227" t="s">
        <v>1204</v>
      </c>
      <c r="F227" t="s">
        <v>1205</v>
      </c>
      <c r="G227" t="s">
        <v>1377</v>
      </c>
      <c r="H227" t="s">
        <v>1379</v>
      </c>
      <c r="I227" t="s">
        <v>8358</v>
      </c>
      <c r="K227" t="s">
        <v>1016</v>
      </c>
      <c r="L227" t="s">
        <v>358</v>
      </c>
      <c r="N227" t="str">
        <f t="shared" si="11"/>
        <v>Szanowna Pani</v>
      </c>
      <c r="Q227" s="19" t="s">
        <v>9776</v>
      </c>
      <c r="U227" t="str">
        <f t="shared" si="10"/>
        <v>tak</v>
      </c>
    </row>
    <row r="228" spans="1:21">
      <c r="A228">
        <v>272</v>
      </c>
      <c r="B228" t="s">
        <v>1398</v>
      </c>
      <c r="C228" t="s">
        <v>1015</v>
      </c>
      <c r="D228" t="s">
        <v>1200</v>
      </c>
      <c r="E228" t="s">
        <v>1201</v>
      </c>
      <c r="F228" t="s">
        <v>1202</v>
      </c>
      <c r="G228" t="s">
        <v>1380</v>
      </c>
      <c r="H228" t="s">
        <v>1381</v>
      </c>
      <c r="I228" t="s">
        <v>8359</v>
      </c>
      <c r="K228" t="s">
        <v>164</v>
      </c>
      <c r="L228" t="s">
        <v>358</v>
      </c>
      <c r="N228" t="str">
        <f t="shared" si="11"/>
        <v>Szanowny Pan</v>
      </c>
      <c r="O228" s="19" t="s">
        <v>9776</v>
      </c>
      <c r="U228" t="str">
        <f t="shared" si="10"/>
        <v>tak</v>
      </c>
    </row>
    <row r="229" spans="1:21">
      <c r="A229">
        <v>273</v>
      </c>
      <c r="B229" t="s">
        <v>1398</v>
      </c>
      <c r="C229" t="s">
        <v>1017</v>
      </c>
      <c r="D229" t="s">
        <v>1018</v>
      </c>
      <c r="E229" t="s">
        <v>1019</v>
      </c>
      <c r="F229" t="s">
        <v>1020</v>
      </c>
      <c r="G229" t="s">
        <v>1382</v>
      </c>
      <c r="H229" t="s">
        <v>1383</v>
      </c>
      <c r="I229" t="s">
        <v>8360</v>
      </c>
      <c r="K229" t="s">
        <v>164</v>
      </c>
      <c r="L229" t="s">
        <v>358</v>
      </c>
      <c r="N229" t="str">
        <f t="shared" si="11"/>
        <v>Szanowna Pani</v>
      </c>
      <c r="O229" s="19" t="s">
        <v>9776</v>
      </c>
      <c r="U229" t="str">
        <f t="shared" ref="U229:U264" si="12">+O229 &amp;P229&amp;Q229</f>
        <v>tak</v>
      </c>
    </row>
    <row r="230" spans="1:21">
      <c r="A230">
        <v>274</v>
      </c>
      <c r="B230" t="s">
        <v>1398</v>
      </c>
      <c r="C230" t="s">
        <v>1021</v>
      </c>
      <c r="D230" t="s">
        <v>1206</v>
      </c>
      <c r="E230" t="s">
        <v>1207</v>
      </c>
      <c r="F230" t="s">
        <v>1208</v>
      </c>
      <c r="G230" t="s">
        <v>1384</v>
      </c>
      <c r="H230" t="s">
        <v>1385</v>
      </c>
      <c r="I230" t="s">
        <v>8361</v>
      </c>
      <c r="K230" t="s">
        <v>164</v>
      </c>
      <c r="L230" t="s">
        <v>358</v>
      </c>
      <c r="N230" t="str">
        <f t="shared" si="11"/>
        <v>Szanowne Panie</v>
      </c>
      <c r="O230" s="19" t="s">
        <v>9776</v>
      </c>
      <c r="U230" t="str">
        <f t="shared" si="12"/>
        <v>tak</v>
      </c>
    </row>
    <row r="231" spans="1:21">
      <c r="A231">
        <v>275</v>
      </c>
      <c r="B231" t="s">
        <v>1398</v>
      </c>
      <c r="C231" t="s">
        <v>1021</v>
      </c>
      <c r="D231" t="s">
        <v>1206</v>
      </c>
      <c r="E231" t="s">
        <v>1207</v>
      </c>
      <c r="F231" t="s">
        <v>1208</v>
      </c>
      <c r="G231" t="s">
        <v>1386</v>
      </c>
      <c r="H231" t="s">
        <v>1387</v>
      </c>
      <c r="I231" t="s">
        <v>8362</v>
      </c>
      <c r="K231" t="s">
        <v>165</v>
      </c>
      <c r="L231" t="s">
        <v>358</v>
      </c>
      <c r="N231" t="str">
        <f t="shared" si="11"/>
        <v>Szanowne Panie</v>
      </c>
      <c r="P231" s="19" t="s">
        <v>9776</v>
      </c>
      <c r="U231" t="str">
        <f t="shared" si="12"/>
        <v>tak</v>
      </c>
    </row>
    <row r="232" spans="1:21">
      <c r="A232">
        <v>276</v>
      </c>
      <c r="B232" t="s">
        <v>1398</v>
      </c>
      <c r="C232" t="s">
        <v>1022</v>
      </c>
      <c r="D232" t="s">
        <v>1209</v>
      </c>
      <c r="E232" t="s">
        <v>1210</v>
      </c>
      <c r="F232" t="s">
        <v>1211</v>
      </c>
      <c r="G232" t="s">
        <v>1388</v>
      </c>
      <c r="H232" t="s">
        <v>1389</v>
      </c>
      <c r="I232" t="s">
        <v>8363</v>
      </c>
      <c r="K232" t="s">
        <v>164</v>
      </c>
      <c r="L232" t="s">
        <v>358</v>
      </c>
      <c r="N232" t="str">
        <f t="shared" si="11"/>
        <v>Szanowna Pani</v>
      </c>
      <c r="O232" s="19" t="s">
        <v>9776</v>
      </c>
      <c r="U232" t="str">
        <f t="shared" si="12"/>
        <v>tak</v>
      </c>
    </row>
    <row r="233" spans="1:21">
      <c r="A233">
        <v>277</v>
      </c>
      <c r="B233" t="s">
        <v>1398</v>
      </c>
      <c r="C233" t="s">
        <v>1022</v>
      </c>
      <c r="D233" t="s">
        <v>1209</v>
      </c>
      <c r="E233" t="s">
        <v>1210</v>
      </c>
      <c r="F233" t="s">
        <v>1211</v>
      </c>
      <c r="G233" t="s">
        <v>1390</v>
      </c>
      <c r="H233" t="s">
        <v>1391</v>
      </c>
      <c r="I233" t="s">
        <v>8364</v>
      </c>
      <c r="K233" t="s">
        <v>224</v>
      </c>
      <c r="L233" t="s">
        <v>358</v>
      </c>
      <c r="N233" t="str">
        <f t="shared" si="11"/>
        <v>Szanowna Pani</v>
      </c>
      <c r="Q233" s="19" t="s">
        <v>9776</v>
      </c>
      <c r="U233" t="str">
        <f t="shared" si="12"/>
        <v>tak</v>
      </c>
    </row>
    <row r="234" spans="1:21">
      <c r="A234">
        <v>278</v>
      </c>
      <c r="B234" t="s">
        <v>1398</v>
      </c>
      <c r="C234" t="s">
        <v>1022</v>
      </c>
      <c r="D234" t="s">
        <v>1023</v>
      </c>
      <c r="E234" t="s">
        <v>1212</v>
      </c>
      <c r="F234" t="s">
        <v>1211</v>
      </c>
      <c r="G234" t="s">
        <v>1392</v>
      </c>
      <c r="H234" t="s">
        <v>1393</v>
      </c>
      <c r="I234" s="15" t="s">
        <v>9719</v>
      </c>
      <c r="K234" t="s">
        <v>164</v>
      </c>
      <c r="L234" t="s">
        <v>358</v>
      </c>
      <c r="N234" t="str">
        <f t="shared" si="11"/>
        <v>Szanowna Pani</v>
      </c>
      <c r="O234" s="19" t="s">
        <v>9776</v>
      </c>
      <c r="U234" t="str">
        <f t="shared" si="12"/>
        <v>tak</v>
      </c>
    </row>
    <row r="235" spans="1:21">
      <c r="A235">
        <v>279</v>
      </c>
      <c r="B235" t="s">
        <v>1398</v>
      </c>
      <c r="C235" t="s">
        <v>1024</v>
      </c>
      <c r="D235" t="s">
        <v>1045</v>
      </c>
      <c r="E235" t="s">
        <v>1213</v>
      </c>
      <c r="F235" t="s">
        <v>1214</v>
      </c>
      <c r="G235" t="s">
        <v>1394</v>
      </c>
      <c r="H235" t="s">
        <v>1395</v>
      </c>
      <c r="I235" t="s">
        <v>8365</v>
      </c>
      <c r="K235" t="s">
        <v>164</v>
      </c>
      <c r="L235" t="s">
        <v>358</v>
      </c>
      <c r="N235" t="str">
        <f t="shared" si="11"/>
        <v>Szanowna Pani</v>
      </c>
      <c r="O235" s="19" t="s">
        <v>9776</v>
      </c>
      <c r="U235" t="str">
        <f t="shared" si="12"/>
        <v>tak</v>
      </c>
    </row>
    <row r="236" spans="1:21">
      <c r="A236">
        <v>280</v>
      </c>
      <c r="B236" t="s">
        <v>1398</v>
      </c>
      <c r="C236" t="s">
        <v>1024</v>
      </c>
      <c r="D236" t="s">
        <v>1025</v>
      </c>
      <c r="E236" t="s">
        <v>1026</v>
      </c>
      <c r="F236" t="s">
        <v>1027</v>
      </c>
      <c r="G236" t="s">
        <v>1396</v>
      </c>
      <c r="H236" t="s">
        <v>1397</v>
      </c>
      <c r="I236" t="s">
        <v>8366</v>
      </c>
      <c r="K236" t="s">
        <v>165</v>
      </c>
      <c r="L236" t="s">
        <v>358</v>
      </c>
      <c r="N236" t="str">
        <f t="shared" si="11"/>
        <v>Szanowna Pani</v>
      </c>
      <c r="P236" s="19" t="s">
        <v>9776</v>
      </c>
      <c r="U236" t="str">
        <f t="shared" si="12"/>
        <v>tak</v>
      </c>
    </row>
    <row r="237" spans="1:21">
      <c r="A237">
        <v>281</v>
      </c>
      <c r="B237" t="s">
        <v>1480</v>
      </c>
      <c r="C237" t="s">
        <v>1407</v>
      </c>
      <c r="D237" t="s">
        <v>1408</v>
      </c>
      <c r="E237" t="s">
        <v>1409</v>
      </c>
      <c r="F237" t="s">
        <v>1657</v>
      </c>
      <c r="G237" t="s">
        <v>1827</v>
      </c>
      <c r="H237" t="s">
        <v>1828</v>
      </c>
      <c r="I237" t="s">
        <v>8367</v>
      </c>
      <c r="K237" t="s">
        <v>164</v>
      </c>
      <c r="L237" t="s">
        <v>358</v>
      </c>
      <c r="N237" t="str">
        <f t="shared" si="11"/>
        <v>Szanowna Pani</v>
      </c>
      <c r="O237" s="19" t="s">
        <v>9776</v>
      </c>
      <c r="U237" t="str">
        <f t="shared" si="12"/>
        <v>tak</v>
      </c>
    </row>
    <row r="238" spans="1:21">
      <c r="A238">
        <v>282</v>
      </c>
      <c r="B238" t="s">
        <v>1480</v>
      </c>
      <c r="C238" t="s">
        <v>1407</v>
      </c>
      <c r="D238" t="s">
        <v>1408</v>
      </c>
      <c r="E238" t="s">
        <v>1409</v>
      </c>
      <c r="F238" t="s">
        <v>1657</v>
      </c>
      <c r="G238" t="s">
        <v>1829</v>
      </c>
      <c r="H238" t="s">
        <v>1830</v>
      </c>
      <c r="I238" t="s">
        <v>8367</v>
      </c>
      <c r="K238" t="s">
        <v>1658</v>
      </c>
      <c r="L238" t="s">
        <v>358</v>
      </c>
      <c r="N238" t="str">
        <f t="shared" si="11"/>
        <v>Szanowna Pani</v>
      </c>
      <c r="P238" s="19" t="s">
        <v>9776</v>
      </c>
      <c r="U238" t="str">
        <f t="shared" si="12"/>
        <v>tak</v>
      </c>
    </row>
    <row r="239" spans="1:21">
      <c r="A239">
        <v>283</v>
      </c>
      <c r="B239" t="s">
        <v>1480</v>
      </c>
      <c r="C239" t="s">
        <v>1410</v>
      </c>
      <c r="D239" t="s">
        <v>1411</v>
      </c>
      <c r="E239" t="s">
        <v>1660</v>
      </c>
      <c r="F239" t="s">
        <v>1661</v>
      </c>
      <c r="G239" t="s">
        <v>1831</v>
      </c>
      <c r="H239" t="s">
        <v>1832</v>
      </c>
      <c r="I239" t="s">
        <v>8368</v>
      </c>
      <c r="K239" t="s">
        <v>164</v>
      </c>
      <c r="L239" t="s">
        <v>358</v>
      </c>
      <c r="N239" t="str">
        <f t="shared" si="11"/>
        <v>Szanowna Pani</v>
      </c>
      <c r="O239" s="19" t="s">
        <v>9776</v>
      </c>
      <c r="U239" t="str">
        <f t="shared" si="12"/>
        <v>tak</v>
      </c>
    </row>
    <row r="240" spans="1:21">
      <c r="A240">
        <v>284</v>
      </c>
      <c r="B240" t="s">
        <v>1480</v>
      </c>
      <c r="C240" t="s">
        <v>1410</v>
      </c>
      <c r="D240" t="s">
        <v>1411</v>
      </c>
      <c r="E240" t="s">
        <v>1660</v>
      </c>
      <c r="F240" t="s">
        <v>1661</v>
      </c>
      <c r="G240" t="s">
        <v>1831</v>
      </c>
      <c r="H240" t="s">
        <v>1833</v>
      </c>
      <c r="I240" t="s">
        <v>8368</v>
      </c>
      <c r="K240" t="s">
        <v>1662</v>
      </c>
      <c r="L240" t="s">
        <v>358</v>
      </c>
      <c r="N240" t="str">
        <f t="shared" si="11"/>
        <v>Szanowna Pani</v>
      </c>
      <c r="P240" s="19" t="s">
        <v>9776</v>
      </c>
      <c r="U240" t="str">
        <f t="shared" si="12"/>
        <v>tak</v>
      </c>
    </row>
    <row r="241" spans="1:21">
      <c r="A241">
        <v>285</v>
      </c>
      <c r="B241" t="s">
        <v>1480</v>
      </c>
      <c r="C241" t="s">
        <v>1410</v>
      </c>
      <c r="D241" t="s">
        <v>1663</v>
      </c>
      <c r="E241" t="s">
        <v>1664</v>
      </c>
      <c r="F241" t="s">
        <v>1661</v>
      </c>
      <c r="G241" t="s">
        <v>1834</v>
      </c>
      <c r="H241" t="s">
        <v>1835</v>
      </c>
      <c r="I241" t="s">
        <v>8369</v>
      </c>
      <c r="K241" t="s">
        <v>224</v>
      </c>
      <c r="L241" t="s">
        <v>358</v>
      </c>
      <c r="N241" t="str">
        <f t="shared" si="11"/>
        <v>Szanowna Pani</v>
      </c>
      <c r="Q241" s="19" t="s">
        <v>9776</v>
      </c>
      <c r="U241" t="str">
        <f t="shared" si="12"/>
        <v>tak</v>
      </c>
    </row>
    <row r="242" spans="1:21">
      <c r="A242">
        <v>286</v>
      </c>
      <c r="B242" t="s">
        <v>1480</v>
      </c>
      <c r="C242" t="s">
        <v>1412</v>
      </c>
      <c r="D242" t="s">
        <v>1413</v>
      </c>
      <c r="E242" t="s">
        <v>1414</v>
      </c>
      <c r="F242" t="s">
        <v>1415</v>
      </c>
      <c r="G242" t="s">
        <v>1836</v>
      </c>
      <c r="H242" t="s">
        <v>1837</v>
      </c>
      <c r="I242" t="s">
        <v>8370</v>
      </c>
      <c r="K242" t="s">
        <v>1658</v>
      </c>
      <c r="L242" t="s">
        <v>358</v>
      </c>
      <c r="N242" t="str">
        <f t="shared" si="11"/>
        <v>Szanowna Pani</v>
      </c>
      <c r="P242" s="19" t="s">
        <v>9776</v>
      </c>
      <c r="U242" t="str">
        <f t="shared" si="12"/>
        <v>tak</v>
      </c>
    </row>
    <row r="243" spans="1:21">
      <c r="A243">
        <v>287</v>
      </c>
      <c r="B243" t="s">
        <v>1480</v>
      </c>
      <c r="C243" t="s">
        <v>1416</v>
      </c>
      <c r="D243" t="s">
        <v>1417</v>
      </c>
      <c r="E243" t="s">
        <v>274</v>
      </c>
      <c r="F243" t="s">
        <v>1418</v>
      </c>
      <c r="G243" t="s">
        <v>1838</v>
      </c>
      <c r="H243" t="s">
        <v>1839</v>
      </c>
      <c r="I243" t="s">
        <v>8371</v>
      </c>
      <c r="K243" t="s">
        <v>164</v>
      </c>
      <c r="L243" t="s">
        <v>358</v>
      </c>
      <c r="N243" t="str">
        <f t="shared" si="11"/>
        <v>Szanowna Pani</v>
      </c>
      <c r="O243" s="19" t="s">
        <v>9776</v>
      </c>
      <c r="U243" t="str">
        <f t="shared" si="12"/>
        <v>tak</v>
      </c>
    </row>
    <row r="244" spans="1:21">
      <c r="A244">
        <v>288</v>
      </c>
      <c r="B244" t="s">
        <v>1480</v>
      </c>
      <c r="C244" t="s">
        <v>1419</v>
      </c>
      <c r="D244" t="s">
        <v>1665</v>
      </c>
      <c r="E244" t="s">
        <v>1666</v>
      </c>
      <c r="F244" t="s">
        <v>1667</v>
      </c>
      <c r="G244" t="s">
        <v>1840</v>
      </c>
      <c r="H244" t="s">
        <v>1841</v>
      </c>
      <c r="I244" t="s">
        <v>8372</v>
      </c>
      <c r="K244" t="s">
        <v>1668</v>
      </c>
      <c r="L244" t="s">
        <v>358</v>
      </c>
      <c r="N244" t="str">
        <f t="shared" si="11"/>
        <v>Szanowna Pani</v>
      </c>
      <c r="O244" s="19" t="s">
        <v>9776</v>
      </c>
      <c r="U244" t="str">
        <f t="shared" si="12"/>
        <v>tak</v>
      </c>
    </row>
    <row r="245" spans="1:21">
      <c r="A245">
        <v>289</v>
      </c>
      <c r="B245" t="s">
        <v>1480</v>
      </c>
      <c r="C245" t="s">
        <v>1419</v>
      </c>
      <c r="D245" t="s">
        <v>1420</v>
      </c>
      <c r="E245" t="s">
        <v>1421</v>
      </c>
      <c r="F245" t="s">
        <v>1422</v>
      </c>
      <c r="G245" t="s">
        <v>1842</v>
      </c>
      <c r="H245" t="s">
        <v>1843</v>
      </c>
      <c r="I245" s="15" t="s">
        <v>8373</v>
      </c>
      <c r="K245" t="s">
        <v>1131</v>
      </c>
      <c r="L245" t="s">
        <v>224</v>
      </c>
      <c r="N245" t="str">
        <f t="shared" si="11"/>
        <v>Szanowna Pani</v>
      </c>
      <c r="O245" s="19" t="s">
        <v>9776</v>
      </c>
      <c r="U245" t="str">
        <f t="shared" si="12"/>
        <v>tak</v>
      </c>
    </row>
    <row r="246" spans="1:21">
      <c r="A246">
        <v>290</v>
      </c>
      <c r="B246" t="s">
        <v>1480</v>
      </c>
      <c r="C246" t="s">
        <v>1423</v>
      </c>
      <c r="D246" t="s">
        <v>1424</v>
      </c>
      <c r="E246" t="s">
        <v>1425</v>
      </c>
      <c r="F246" t="s">
        <v>1426</v>
      </c>
      <c r="G246" t="s">
        <v>1844</v>
      </c>
      <c r="H246" t="s">
        <v>1845</v>
      </c>
      <c r="I246" t="s">
        <v>8374</v>
      </c>
      <c r="K246" t="s">
        <v>1659</v>
      </c>
      <c r="L246" t="s">
        <v>358</v>
      </c>
      <c r="N246" t="str">
        <f t="shared" si="11"/>
        <v>Szanowna Pani</v>
      </c>
      <c r="O246" s="19" t="s">
        <v>9776</v>
      </c>
      <c r="P246" s="19" t="s">
        <v>9776</v>
      </c>
      <c r="U246" t="str">
        <f t="shared" si="12"/>
        <v>taktak</v>
      </c>
    </row>
    <row r="247" spans="1:21">
      <c r="A247">
        <v>291</v>
      </c>
      <c r="B247" t="s">
        <v>1480</v>
      </c>
      <c r="C247" t="s">
        <v>1427</v>
      </c>
      <c r="D247" t="s">
        <v>1428</v>
      </c>
      <c r="E247" t="s">
        <v>1429</v>
      </c>
      <c r="F247" t="s">
        <v>1430</v>
      </c>
      <c r="G247" t="s">
        <v>1846</v>
      </c>
      <c r="H247" t="s">
        <v>1847</v>
      </c>
      <c r="I247" t="s">
        <v>8375</v>
      </c>
      <c r="K247" t="s">
        <v>165</v>
      </c>
      <c r="L247" t="s">
        <v>358</v>
      </c>
      <c r="N247" t="str">
        <f t="shared" si="11"/>
        <v>Szanowna Pani</v>
      </c>
      <c r="P247" s="19" t="s">
        <v>9776</v>
      </c>
      <c r="U247" t="str">
        <f t="shared" si="12"/>
        <v>tak</v>
      </c>
    </row>
    <row r="248" spans="1:21">
      <c r="A248">
        <v>292</v>
      </c>
      <c r="B248" t="s">
        <v>1480</v>
      </c>
      <c r="C248" t="s">
        <v>1431</v>
      </c>
      <c r="D248" t="s">
        <v>1432</v>
      </c>
      <c r="E248" t="s">
        <v>1433</v>
      </c>
      <c r="F248" t="s">
        <v>1434</v>
      </c>
      <c r="G248" t="s">
        <v>1848</v>
      </c>
      <c r="H248" t="s">
        <v>1849</v>
      </c>
      <c r="I248" t="s">
        <v>8376</v>
      </c>
      <c r="K248" t="s">
        <v>1659</v>
      </c>
      <c r="L248" t="s">
        <v>358</v>
      </c>
      <c r="N248" t="str">
        <f t="shared" si="11"/>
        <v>Szanowna Pani</v>
      </c>
      <c r="O248" s="19" t="s">
        <v>9776</v>
      </c>
      <c r="P248" s="19" t="s">
        <v>9776</v>
      </c>
      <c r="U248" t="str">
        <f t="shared" si="12"/>
        <v>taktak</v>
      </c>
    </row>
    <row r="249" spans="1:21">
      <c r="A249">
        <v>293</v>
      </c>
      <c r="B249" t="s">
        <v>1480</v>
      </c>
      <c r="C249" t="s">
        <v>1435</v>
      </c>
      <c r="D249" t="s">
        <v>1669</v>
      </c>
      <c r="E249" t="s">
        <v>1670</v>
      </c>
      <c r="F249" t="s">
        <v>1671</v>
      </c>
      <c r="G249" t="s">
        <v>1850</v>
      </c>
      <c r="H249" t="s">
        <v>1851</v>
      </c>
      <c r="I249" t="s">
        <v>8377</v>
      </c>
      <c r="K249" t="s">
        <v>224</v>
      </c>
      <c r="L249" t="s">
        <v>358</v>
      </c>
      <c r="N249" t="str">
        <f t="shared" si="11"/>
        <v>Szanowna Pani</v>
      </c>
      <c r="Q249" s="19" t="s">
        <v>9776</v>
      </c>
      <c r="U249" t="str">
        <f t="shared" si="12"/>
        <v>tak</v>
      </c>
    </row>
    <row r="250" spans="1:21">
      <c r="A250">
        <v>294</v>
      </c>
      <c r="B250" t="s">
        <v>1480</v>
      </c>
      <c r="C250" t="s">
        <v>1435</v>
      </c>
      <c r="D250" t="s">
        <v>1672</v>
      </c>
      <c r="E250" t="s">
        <v>1673</v>
      </c>
      <c r="F250" t="s">
        <v>1671</v>
      </c>
      <c r="G250" t="s">
        <v>1850</v>
      </c>
      <c r="H250" t="s">
        <v>1852</v>
      </c>
      <c r="I250" t="s">
        <v>8378</v>
      </c>
      <c r="K250" t="s">
        <v>164</v>
      </c>
      <c r="L250" t="s">
        <v>358</v>
      </c>
      <c r="N250" t="str">
        <f t="shared" si="11"/>
        <v>Szanowne Panie</v>
      </c>
      <c r="O250" s="19" t="s">
        <v>9776</v>
      </c>
      <c r="U250" t="str">
        <f t="shared" si="12"/>
        <v>tak</v>
      </c>
    </row>
    <row r="251" spans="1:21">
      <c r="A251">
        <v>295</v>
      </c>
      <c r="B251" t="s">
        <v>1480</v>
      </c>
      <c r="C251" t="s">
        <v>1436</v>
      </c>
      <c r="D251" t="s">
        <v>1437</v>
      </c>
      <c r="E251" t="s">
        <v>1674</v>
      </c>
      <c r="F251" t="s">
        <v>1675</v>
      </c>
      <c r="G251" t="s">
        <v>1853</v>
      </c>
      <c r="H251" t="s">
        <v>1854</v>
      </c>
      <c r="I251" t="s">
        <v>8379</v>
      </c>
      <c r="K251" t="s">
        <v>164</v>
      </c>
      <c r="L251" t="s">
        <v>358</v>
      </c>
      <c r="N251" t="str">
        <f t="shared" si="11"/>
        <v>Szanowne Panie</v>
      </c>
      <c r="O251" s="19" t="s">
        <v>9776</v>
      </c>
      <c r="U251" t="str">
        <f t="shared" si="12"/>
        <v>tak</v>
      </c>
    </row>
    <row r="252" spans="1:21">
      <c r="A252">
        <v>296</v>
      </c>
      <c r="B252" t="s">
        <v>1480</v>
      </c>
      <c r="C252" t="s">
        <v>1438</v>
      </c>
      <c r="D252" t="s">
        <v>1439</v>
      </c>
      <c r="E252" t="s">
        <v>1440</v>
      </c>
      <c r="F252" t="s">
        <v>1676</v>
      </c>
      <c r="G252" t="s">
        <v>1855</v>
      </c>
      <c r="H252" t="s">
        <v>1856</v>
      </c>
      <c r="I252" t="s">
        <v>8380</v>
      </c>
      <c r="K252" t="s">
        <v>164</v>
      </c>
      <c r="L252" t="s">
        <v>358</v>
      </c>
      <c r="N252" t="str">
        <f t="shared" si="11"/>
        <v>Szanowna Pani</v>
      </c>
      <c r="O252" s="19" t="s">
        <v>9776</v>
      </c>
      <c r="U252" t="str">
        <f t="shared" si="12"/>
        <v>tak</v>
      </c>
    </row>
    <row r="253" spans="1:21">
      <c r="A253">
        <v>297</v>
      </c>
      <c r="B253" t="s">
        <v>1480</v>
      </c>
      <c r="C253" t="s">
        <v>1441</v>
      </c>
      <c r="D253" t="s">
        <v>1442</v>
      </c>
      <c r="E253" t="s">
        <v>1443</v>
      </c>
      <c r="F253" t="s">
        <v>1444</v>
      </c>
      <c r="G253" t="s">
        <v>1857</v>
      </c>
      <c r="H253" t="s">
        <v>1858</v>
      </c>
      <c r="I253" t="s">
        <v>8381</v>
      </c>
      <c r="K253" t="s">
        <v>224</v>
      </c>
      <c r="L253" t="s">
        <v>358</v>
      </c>
      <c r="N253" t="str">
        <f t="shared" si="11"/>
        <v>Szanowna Pani</v>
      </c>
      <c r="Q253" s="19" t="s">
        <v>9776</v>
      </c>
      <c r="U253" t="str">
        <f t="shared" si="12"/>
        <v>tak</v>
      </c>
    </row>
    <row r="254" spans="1:21">
      <c r="A254">
        <v>298</v>
      </c>
      <c r="B254" t="s">
        <v>1480</v>
      </c>
      <c r="C254" t="s">
        <v>1445</v>
      </c>
      <c r="D254" t="s">
        <v>1446</v>
      </c>
      <c r="E254" t="s">
        <v>1447</v>
      </c>
      <c r="F254" t="s">
        <v>1448</v>
      </c>
      <c r="G254" t="s">
        <v>1859</v>
      </c>
      <c r="H254" t="s">
        <v>1860</v>
      </c>
      <c r="I254" t="s">
        <v>8382</v>
      </c>
      <c r="K254" t="s">
        <v>165</v>
      </c>
      <c r="L254" t="s">
        <v>358</v>
      </c>
      <c r="N254" t="str">
        <f t="shared" si="11"/>
        <v>Szanowna Pani</v>
      </c>
      <c r="P254" s="19" t="s">
        <v>9776</v>
      </c>
      <c r="U254" t="str">
        <f t="shared" si="12"/>
        <v>tak</v>
      </c>
    </row>
    <row r="255" spans="1:21">
      <c r="A255">
        <v>299</v>
      </c>
      <c r="B255" t="s">
        <v>1480</v>
      </c>
      <c r="C255" t="s">
        <v>1449</v>
      </c>
      <c r="D255" t="s">
        <v>1450</v>
      </c>
      <c r="E255" t="s">
        <v>1451</v>
      </c>
      <c r="F255" t="s">
        <v>1452</v>
      </c>
      <c r="G255" t="s">
        <v>1861</v>
      </c>
      <c r="H255" t="s">
        <v>1862</v>
      </c>
      <c r="I255" t="s">
        <v>8383</v>
      </c>
      <c r="K255" t="s">
        <v>164</v>
      </c>
      <c r="L255" t="s">
        <v>358</v>
      </c>
      <c r="N255" t="str">
        <f t="shared" si="11"/>
        <v>Szanowna Pani</v>
      </c>
      <c r="O255" s="19" t="s">
        <v>9776</v>
      </c>
      <c r="U255" t="str">
        <f t="shared" si="12"/>
        <v>tak</v>
      </c>
    </row>
    <row r="256" spans="1:21">
      <c r="A256">
        <v>300</v>
      </c>
      <c r="B256" t="s">
        <v>1480</v>
      </c>
      <c r="C256" t="s">
        <v>1449</v>
      </c>
      <c r="D256" t="s">
        <v>1450</v>
      </c>
      <c r="E256" t="s">
        <v>1451</v>
      </c>
      <c r="F256" t="s">
        <v>1452</v>
      </c>
      <c r="G256" t="s">
        <v>1861</v>
      </c>
      <c r="H256" t="s">
        <v>1863</v>
      </c>
      <c r="I256" t="s">
        <v>8383</v>
      </c>
      <c r="K256" t="s">
        <v>165</v>
      </c>
      <c r="L256" t="s">
        <v>358</v>
      </c>
      <c r="N256" t="str">
        <f t="shared" si="11"/>
        <v>Szanowna Pani</v>
      </c>
      <c r="P256" s="19" t="s">
        <v>9776</v>
      </c>
      <c r="U256" t="str">
        <f t="shared" si="12"/>
        <v>tak</v>
      </c>
    </row>
    <row r="257" spans="1:21">
      <c r="A257">
        <v>301</v>
      </c>
      <c r="B257" t="s">
        <v>1480</v>
      </c>
      <c r="C257" t="s">
        <v>1453</v>
      </c>
      <c r="D257" t="s">
        <v>44</v>
      </c>
      <c r="E257" t="s">
        <v>1677</v>
      </c>
      <c r="F257" t="s">
        <v>1678</v>
      </c>
      <c r="G257" t="s">
        <v>1864</v>
      </c>
      <c r="H257" t="s">
        <v>1865</v>
      </c>
      <c r="I257" t="s">
        <v>8384</v>
      </c>
      <c r="K257" t="s">
        <v>1131</v>
      </c>
      <c r="L257" t="s">
        <v>224</v>
      </c>
      <c r="N257" t="str">
        <f t="shared" si="11"/>
        <v>Szanowne Panie</v>
      </c>
      <c r="O257" s="19" t="s">
        <v>9776</v>
      </c>
      <c r="U257" t="str">
        <f t="shared" si="12"/>
        <v>tak</v>
      </c>
    </row>
    <row r="258" spans="1:21">
      <c r="A258">
        <v>302</v>
      </c>
      <c r="B258" t="s">
        <v>1480</v>
      </c>
      <c r="C258" t="s">
        <v>1453</v>
      </c>
      <c r="D258" t="s">
        <v>1679</v>
      </c>
      <c r="E258" t="s">
        <v>1680</v>
      </c>
      <c r="F258" t="s">
        <v>1678</v>
      </c>
      <c r="G258" t="s">
        <v>1866</v>
      </c>
      <c r="H258" t="s">
        <v>1867</v>
      </c>
      <c r="I258" t="s">
        <v>8385</v>
      </c>
      <c r="K258" t="s">
        <v>224</v>
      </c>
      <c r="L258" t="s">
        <v>358</v>
      </c>
      <c r="N258" t="str">
        <f t="shared" si="11"/>
        <v>Szanowna Pani</v>
      </c>
      <c r="Q258" s="19" t="s">
        <v>9776</v>
      </c>
      <c r="U258" t="str">
        <f t="shared" si="12"/>
        <v>tak</v>
      </c>
    </row>
    <row r="259" spans="1:21">
      <c r="A259">
        <v>303</v>
      </c>
      <c r="B259" t="s">
        <v>1480</v>
      </c>
      <c r="C259" t="s">
        <v>1454</v>
      </c>
      <c r="D259" t="s">
        <v>1455</v>
      </c>
      <c r="E259" t="s">
        <v>1681</v>
      </c>
      <c r="F259" t="s">
        <v>1682</v>
      </c>
      <c r="G259" t="s">
        <v>1868</v>
      </c>
      <c r="H259" t="s">
        <v>1869</v>
      </c>
      <c r="I259" t="s">
        <v>8386</v>
      </c>
      <c r="K259" t="s">
        <v>164</v>
      </c>
      <c r="L259" t="s">
        <v>358</v>
      </c>
      <c r="N259" t="str">
        <f t="shared" si="11"/>
        <v>Szanowna Pani</v>
      </c>
      <c r="O259" s="19" t="s">
        <v>9776</v>
      </c>
      <c r="U259" t="str">
        <f t="shared" si="12"/>
        <v>tak</v>
      </c>
    </row>
    <row r="260" spans="1:21">
      <c r="A260">
        <v>304</v>
      </c>
      <c r="B260" t="s">
        <v>1480</v>
      </c>
      <c r="C260" t="s">
        <v>1456</v>
      </c>
      <c r="D260" t="s">
        <v>1457</v>
      </c>
      <c r="E260" t="s">
        <v>1683</v>
      </c>
      <c r="F260" t="s">
        <v>1684</v>
      </c>
      <c r="G260" t="s">
        <v>1870</v>
      </c>
      <c r="H260" t="s">
        <v>1871</v>
      </c>
      <c r="I260" t="s">
        <v>8387</v>
      </c>
      <c r="K260" t="s">
        <v>1662</v>
      </c>
      <c r="L260" t="s">
        <v>165</v>
      </c>
      <c r="N260" t="str">
        <f t="shared" si="11"/>
        <v>Szanowna Pani</v>
      </c>
      <c r="P260" s="19" t="s">
        <v>9776</v>
      </c>
      <c r="U260" t="str">
        <f t="shared" si="12"/>
        <v>tak</v>
      </c>
    </row>
    <row r="261" spans="1:21">
      <c r="A261">
        <v>305</v>
      </c>
      <c r="B261" t="s">
        <v>1480</v>
      </c>
      <c r="C261" t="s">
        <v>1456</v>
      </c>
      <c r="D261" t="s">
        <v>1457</v>
      </c>
      <c r="E261" t="s">
        <v>1683</v>
      </c>
      <c r="F261" t="s">
        <v>1684</v>
      </c>
      <c r="G261" t="s">
        <v>1870</v>
      </c>
      <c r="H261" t="s">
        <v>1871</v>
      </c>
      <c r="I261" t="s">
        <v>8387</v>
      </c>
      <c r="K261" t="s">
        <v>224</v>
      </c>
      <c r="L261" t="s">
        <v>358</v>
      </c>
      <c r="N261" t="str">
        <f t="shared" si="11"/>
        <v>Szanowna Pani</v>
      </c>
      <c r="Q261" s="19" t="s">
        <v>9776</v>
      </c>
      <c r="U261" t="str">
        <f t="shared" si="12"/>
        <v>tak</v>
      </c>
    </row>
    <row r="262" spans="1:21">
      <c r="A262">
        <v>306</v>
      </c>
      <c r="B262" t="s">
        <v>1480</v>
      </c>
      <c r="C262" t="s">
        <v>1458</v>
      </c>
      <c r="D262" t="s">
        <v>1459</v>
      </c>
      <c r="E262" t="s">
        <v>1685</v>
      </c>
      <c r="F262" t="s">
        <v>1686</v>
      </c>
      <c r="G262" t="s">
        <v>1872</v>
      </c>
      <c r="H262" t="s">
        <v>1873</v>
      </c>
      <c r="I262" t="s">
        <v>8388</v>
      </c>
      <c r="K262" t="s">
        <v>1131</v>
      </c>
      <c r="L262" t="s">
        <v>358</v>
      </c>
      <c r="N262" t="str">
        <f t="shared" si="11"/>
        <v>Szanowna Pani</v>
      </c>
      <c r="O262" s="19" t="s">
        <v>9776</v>
      </c>
      <c r="U262" t="str">
        <f t="shared" si="12"/>
        <v>tak</v>
      </c>
    </row>
    <row r="263" spans="1:21">
      <c r="A263">
        <v>307</v>
      </c>
      <c r="B263" t="s">
        <v>1480</v>
      </c>
      <c r="C263" t="s">
        <v>1458</v>
      </c>
      <c r="D263" t="s">
        <v>1459</v>
      </c>
      <c r="E263" t="s">
        <v>1685</v>
      </c>
      <c r="F263" t="s">
        <v>1686</v>
      </c>
      <c r="G263" t="s">
        <v>1872</v>
      </c>
      <c r="H263" t="s">
        <v>1874</v>
      </c>
      <c r="I263" t="s">
        <v>8389</v>
      </c>
      <c r="K263" t="s">
        <v>165</v>
      </c>
      <c r="L263" t="s">
        <v>358</v>
      </c>
      <c r="N263" t="str">
        <f t="shared" si="11"/>
        <v>Szanowna Pani</v>
      </c>
      <c r="P263" s="19" t="s">
        <v>9776</v>
      </c>
      <c r="U263" t="str">
        <f t="shared" si="12"/>
        <v>tak</v>
      </c>
    </row>
    <row r="264" spans="1:21">
      <c r="A264">
        <v>308</v>
      </c>
      <c r="B264" t="s">
        <v>1480</v>
      </c>
      <c r="C264" t="s">
        <v>1460</v>
      </c>
      <c r="D264" t="s">
        <v>1461</v>
      </c>
      <c r="E264" t="s">
        <v>1688</v>
      </c>
      <c r="F264" t="s">
        <v>1687</v>
      </c>
      <c r="G264" t="s">
        <v>1875</v>
      </c>
      <c r="H264" t="s">
        <v>1876</v>
      </c>
      <c r="I264" t="s">
        <v>8390</v>
      </c>
      <c r="K264" t="s">
        <v>1131</v>
      </c>
      <c r="L264" t="s">
        <v>165</v>
      </c>
      <c r="N264" t="str">
        <f t="shared" si="11"/>
        <v>Szanowna Pani</v>
      </c>
      <c r="O264" s="19" t="s">
        <v>9776</v>
      </c>
      <c r="U264" t="str">
        <f t="shared" si="12"/>
        <v>tak</v>
      </c>
    </row>
    <row r="265" spans="1:21">
      <c r="A265">
        <v>309</v>
      </c>
      <c r="B265" t="s">
        <v>1480</v>
      </c>
      <c r="C265" t="s">
        <v>1460</v>
      </c>
      <c r="D265" t="s">
        <v>1462</v>
      </c>
      <c r="E265" t="s">
        <v>1689</v>
      </c>
      <c r="F265" t="s">
        <v>1690</v>
      </c>
      <c r="G265" t="s">
        <v>1877</v>
      </c>
      <c r="H265" t="s">
        <v>1878</v>
      </c>
      <c r="I265" t="s">
        <v>8391</v>
      </c>
      <c r="K265" t="s">
        <v>164</v>
      </c>
      <c r="L265" t="s">
        <v>358</v>
      </c>
      <c r="N265" t="str">
        <f t="shared" si="11"/>
        <v>Szanowna Pani</v>
      </c>
      <c r="O265" s="19" t="s">
        <v>9776</v>
      </c>
      <c r="U265" t="str">
        <f t="shared" ref="U265:U300" si="13">+O265 &amp;P265&amp;Q265</f>
        <v>tak</v>
      </c>
    </row>
    <row r="266" spans="1:21">
      <c r="A266">
        <v>310</v>
      </c>
      <c r="B266" t="s">
        <v>1480</v>
      </c>
      <c r="C266" t="s">
        <v>1460</v>
      </c>
      <c r="D266" t="s">
        <v>1462</v>
      </c>
      <c r="E266" t="s">
        <v>1689</v>
      </c>
      <c r="F266" t="s">
        <v>1690</v>
      </c>
      <c r="G266" t="s">
        <v>1877</v>
      </c>
      <c r="H266" t="s">
        <v>1879</v>
      </c>
      <c r="I266" t="s">
        <v>8392</v>
      </c>
      <c r="K266" t="s">
        <v>224</v>
      </c>
      <c r="L266" t="s">
        <v>358</v>
      </c>
      <c r="N266" t="str">
        <f t="shared" si="11"/>
        <v>Szanowna Pani</v>
      </c>
      <c r="Q266" s="19" t="s">
        <v>9776</v>
      </c>
      <c r="U266" t="str">
        <f t="shared" si="13"/>
        <v>tak</v>
      </c>
    </row>
    <row r="267" spans="1:21">
      <c r="A267">
        <v>311</v>
      </c>
      <c r="B267" t="s">
        <v>1480</v>
      </c>
      <c r="C267" t="s">
        <v>1463</v>
      </c>
      <c r="D267" t="s">
        <v>1464</v>
      </c>
      <c r="E267" t="s">
        <v>1691</v>
      </c>
      <c r="F267" t="s">
        <v>1692</v>
      </c>
      <c r="G267" t="s">
        <v>1880</v>
      </c>
      <c r="H267" t="s">
        <v>1881</v>
      </c>
      <c r="I267" t="s">
        <v>8393</v>
      </c>
      <c r="K267" t="s">
        <v>164</v>
      </c>
      <c r="L267" t="s">
        <v>358</v>
      </c>
      <c r="N267" t="str">
        <f t="shared" si="11"/>
        <v>Szanowna Pani</v>
      </c>
      <c r="O267" s="19" t="s">
        <v>9776</v>
      </c>
      <c r="U267" t="str">
        <f t="shared" si="13"/>
        <v>tak</v>
      </c>
    </row>
    <row r="268" spans="1:21">
      <c r="A268">
        <v>312</v>
      </c>
      <c r="B268" t="s">
        <v>1480</v>
      </c>
      <c r="C268" t="s">
        <v>1465</v>
      </c>
      <c r="D268" t="s">
        <v>1466</v>
      </c>
      <c r="E268" t="s">
        <v>1467</v>
      </c>
      <c r="F268" t="s">
        <v>1468</v>
      </c>
      <c r="G268" t="s">
        <v>1882</v>
      </c>
      <c r="H268" t="s">
        <v>1883</v>
      </c>
      <c r="I268" t="s">
        <v>8394</v>
      </c>
      <c r="K268" t="s">
        <v>164</v>
      </c>
      <c r="L268" t="s">
        <v>358</v>
      </c>
      <c r="N268" t="str">
        <f t="shared" si="11"/>
        <v>Szanowna Pani</v>
      </c>
      <c r="O268" s="19" t="s">
        <v>9776</v>
      </c>
      <c r="U268" t="str">
        <f t="shared" si="13"/>
        <v>tak</v>
      </c>
    </row>
    <row r="269" spans="1:21">
      <c r="A269">
        <v>313</v>
      </c>
      <c r="B269" t="s">
        <v>1480</v>
      </c>
      <c r="C269" t="s">
        <v>1469</v>
      </c>
      <c r="D269" t="s">
        <v>1470</v>
      </c>
      <c r="E269" t="s">
        <v>1471</v>
      </c>
      <c r="F269" t="s">
        <v>1472</v>
      </c>
      <c r="G269" t="s">
        <v>1884</v>
      </c>
      <c r="H269" t="s">
        <v>1885</v>
      </c>
      <c r="I269" t="s">
        <v>8395</v>
      </c>
      <c r="K269" t="s">
        <v>164</v>
      </c>
      <c r="L269" t="s">
        <v>358</v>
      </c>
      <c r="N269" t="str">
        <f t="shared" si="11"/>
        <v>Szanowna Pani</v>
      </c>
      <c r="O269" s="19" t="s">
        <v>9776</v>
      </c>
      <c r="U269" t="str">
        <f t="shared" si="13"/>
        <v>tak</v>
      </c>
    </row>
    <row r="270" spans="1:21">
      <c r="A270">
        <v>314</v>
      </c>
      <c r="B270" t="s">
        <v>1480</v>
      </c>
      <c r="C270" t="s">
        <v>1473</v>
      </c>
      <c r="D270" t="s">
        <v>1474</v>
      </c>
      <c r="E270" t="s">
        <v>1693</v>
      </c>
      <c r="F270" t="s">
        <v>1694</v>
      </c>
      <c r="G270" t="s">
        <v>1886</v>
      </c>
      <c r="H270" t="s">
        <v>1887</v>
      </c>
      <c r="I270" t="s">
        <v>8396</v>
      </c>
      <c r="K270" t="s">
        <v>164</v>
      </c>
      <c r="L270" t="s">
        <v>358</v>
      </c>
      <c r="N270" t="str">
        <f t="shared" si="11"/>
        <v>Szanowna Pani</v>
      </c>
      <c r="O270" s="19" t="s">
        <v>9776</v>
      </c>
      <c r="U270" t="str">
        <f t="shared" si="13"/>
        <v>tak</v>
      </c>
    </row>
    <row r="271" spans="1:21">
      <c r="A271">
        <v>315</v>
      </c>
      <c r="B271" t="s">
        <v>1480</v>
      </c>
      <c r="C271" t="s">
        <v>1473</v>
      </c>
      <c r="D271" t="s">
        <v>1474</v>
      </c>
      <c r="E271" t="s">
        <v>1693</v>
      </c>
      <c r="F271" t="s">
        <v>1694</v>
      </c>
      <c r="G271" t="s">
        <v>1886</v>
      </c>
      <c r="H271" t="s">
        <v>1888</v>
      </c>
      <c r="I271" t="s">
        <v>8396</v>
      </c>
      <c r="K271" t="s">
        <v>165</v>
      </c>
      <c r="L271" t="s">
        <v>358</v>
      </c>
      <c r="N271" t="str">
        <f t="shared" si="11"/>
        <v>Szanowna Pani</v>
      </c>
      <c r="P271" s="19" t="s">
        <v>9776</v>
      </c>
      <c r="U271" t="str">
        <f t="shared" si="13"/>
        <v>tak</v>
      </c>
    </row>
    <row r="272" spans="1:21">
      <c r="A272">
        <v>316</v>
      </c>
      <c r="B272" t="s">
        <v>1480</v>
      </c>
      <c r="C272" t="s">
        <v>1475</v>
      </c>
      <c r="D272" t="s">
        <v>1476</v>
      </c>
      <c r="E272" t="s">
        <v>1477</v>
      </c>
      <c r="F272" t="s">
        <v>1478</v>
      </c>
      <c r="G272" t="s">
        <v>1889</v>
      </c>
      <c r="H272" t="s">
        <v>1890</v>
      </c>
      <c r="I272" t="s">
        <v>8397</v>
      </c>
      <c r="K272" t="s">
        <v>164</v>
      </c>
      <c r="L272" t="s">
        <v>358</v>
      </c>
      <c r="N272" t="str">
        <f t="shared" si="11"/>
        <v>Szanowna Pani</v>
      </c>
      <c r="O272" s="19" t="s">
        <v>9776</v>
      </c>
      <c r="U272" t="str">
        <f t="shared" si="13"/>
        <v>tak</v>
      </c>
    </row>
    <row r="273" spans="1:21">
      <c r="A273">
        <v>317</v>
      </c>
      <c r="B273" t="s">
        <v>1480</v>
      </c>
      <c r="C273" t="s">
        <v>1475</v>
      </c>
      <c r="D273" t="s">
        <v>1476</v>
      </c>
      <c r="E273" t="s">
        <v>1477</v>
      </c>
      <c r="F273" t="s">
        <v>1478</v>
      </c>
      <c r="G273" t="s">
        <v>1889</v>
      </c>
      <c r="H273" t="s">
        <v>1891</v>
      </c>
      <c r="I273" t="s">
        <v>8398</v>
      </c>
      <c r="K273" t="s">
        <v>165</v>
      </c>
      <c r="L273" t="s">
        <v>358</v>
      </c>
      <c r="N273" t="str">
        <f t="shared" si="11"/>
        <v>Szanowna Pani</v>
      </c>
      <c r="P273" s="19" t="s">
        <v>9776</v>
      </c>
      <c r="U273" t="str">
        <f t="shared" si="13"/>
        <v>tak</v>
      </c>
    </row>
    <row r="274" spans="1:21">
      <c r="A274">
        <v>318</v>
      </c>
      <c r="B274" t="s">
        <v>1480</v>
      </c>
      <c r="C274" t="s">
        <v>1479</v>
      </c>
      <c r="D274" t="s">
        <v>63</v>
      </c>
      <c r="E274" t="s">
        <v>1697</v>
      </c>
      <c r="F274" t="s">
        <v>1698</v>
      </c>
      <c r="G274" t="s">
        <v>1892</v>
      </c>
      <c r="H274" t="s">
        <v>1893</v>
      </c>
      <c r="I274" t="s">
        <v>8399</v>
      </c>
      <c r="K274" t="s">
        <v>164</v>
      </c>
      <c r="L274" t="s">
        <v>358</v>
      </c>
      <c r="N274" t="str">
        <f t="shared" si="11"/>
        <v>Szanowne Panie</v>
      </c>
      <c r="O274" s="19" t="s">
        <v>9776</v>
      </c>
      <c r="U274" t="str">
        <f t="shared" si="13"/>
        <v>tak</v>
      </c>
    </row>
    <row r="275" spans="1:21">
      <c r="A275">
        <v>319</v>
      </c>
      <c r="B275" t="s">
        <v>1480</v>
      </c>
      <c r="C275" t="s">
        <v>1695</v>
      </c>
      <c r="D275" t="s">
        <v>1696</v>
      </c>
      <c r="E275" t="s">
        <v>1699</v>
      </c>
      <c r="F275" t="s">
        <v>1700</v>
      </c>
      <c r="G275" t="s">
        <v>1894</v>
      </c>
      <c r="H275" t="s">
        <v>1895</v>
      </c>
      <c r="I275" t="s">
        <v>8400</v>
      </c>
      <c r="K275" t="s">
        <v>164</v>
      </c>
      <c r="L275" t="s">
        <v>358</v>
      </c>
      <c r="N275" t="str">
        <f t="shared" si="11"/>
        <v>Szanowna Pani</v>
      </c>
      <c r="O275" s="19" t="s">
        <v>9776</v>
      </c>
      <c r="U275" t="str">
        <f t="shared" si="13"/>
        <v>tak</v>
      </c>
    </row>
    <row r="276" spans="1:21">
      <c r="A276">
        <v>320</v>
      </c>
      <c r="B276" t="s">
        <v>1480</v>
      </c>
      <c r="C276" t="s">
        <v>1480</v>
      </c>
      <c r="D276" t="s">
        <v>662</v>
      </c>
      <c r="E276" t="s">
        <v>1701</v>
      </c>
      <c r="F276" t="s">
        <v>1702</v>
      </c>
      <c r="G276" t="s">
        <v>1896</v>
      </c>
      <c r="H276" t="s">
        <v>1897</v>
      </c>
      <c r="I276" t="s">
        <v>8401</v>
      </c>
      <c r="K276" t="s">
        <v>164</v>
      </c>
      <c r="L276" t="s">
        <v>358</v>
      </c>
      <c r="N276" t="str">
        <f t="shared" si="11"/>
        <v>Szanowna Pani</v>
      </c>
      <c r="O276" s="19" t="s">
        <v>9776</v>
      </c>
      <c r="U276" t="str">
        <f t="shared" si="13"/>
        <v>tak</v>
      </c>
    </row>
    <row r="277" spans="1:21">
      <c r="A277">
        <v>321</v>
      </c>
      <c r="B277" t="s">
        <v>1480</v>
      </c>
      <c r="C277" t="s">
        <v>1480</v>
      </c>
      <c r="D277" t="s">
        <v>1481</v>
      </c>
      <c r="E277" t="s">
        <v>1703</v>
      </c>
      <c r="F277" t="s">
        <v>1704</v>
      </c>
      <c r="G277" t="s">
        <v>1898</v>
      </c>
      <c r="H277" t="s">
        <v>1899</v>
      </c>
      <c r="I277" t="s">
        <v>8402</v>
      </c>
      <c r="K277" t="s">
        <v>164</v>
      </c>
      <c r="L277" t="s">
        <v>358</v>
      </c>
      <c r="N277" t="str">
        <f t="shared" si="11"/>
        <v>Szanowna Pani</v>
      </c>
      <c r="O277" s="19" t="s">
        <v>9776</v>
      </c>
      <c r="U277" t="str">
        <f t="shared" si="13"/>
        <v>tak</v>
      </c>
    </row>
    <row r="278" spans="1:21">
      <c r="A278">
        <v>322</v>
      </c>
      <c r="B278" t="s">
        <v>1480</v>
      </c>
      <c r="C278" t="s">
        <v>1480</v>
      </c>
      <c r="D278" t="s">
        <v>1481</v>
      </c>
      <c r="E278" t="s">
        <v>1703</v>
      </c>
      <c r="F278" t="s">
        <v>1704</v>
      </c>
      <c r="G278" t="s">
        <v>1898</v>
      </c>
      <c r="H278" t="s">
        <v>1900</v>
      </c>
      <c r="I278" t="s">
        <v>8403</v>
      </c>
      <c r="K278" t="s">
        <v>165</v>
      </c>
      <c r="L278" t="s">
        <v>358</v>
      </c>
      <c r="N278" t="str">
        <f t="shared" ref="N278:N341" si="14">IF(ISERROR(FIND(",",H278)),IF(MID(H278,FIND(" ",H278)-1,1)="a","Szanowna Pani","Szanowny Pan"), "Szanowne Panie")</f>
        <v>Szanowna Pani</v>
      </c>
      <c r="P278" s="19" t="s">
        <v>9776</v>
      </c>
      <c r="U278" t="str">
        <f t="shared" si="13"/>
        <v>tak</v>
      </c>
    </row>
    <row r="279" spans="1:21">
      <c r="A279">
        <v>323</v>
      </c>
      <c r="B279" t="s">
        <v>1480</v>
      </c>
      <c r="C279" t="s">
        <v>1480</v>
      </c>
      <c r="D279" t="s">
        <v>1482</v>
      </c>
      <c r="E279" t="s">
        <v>1483</v>
      </c>
      <c r="F279" t="s">
        <v>1484</v>
      </c>
      <c r="G279" t="s">
        <v>1901</v>
      </c>
      <c r="H279" t="s">
        <v>1902</v>
      </c>
      <c r="I279" t="s">
        <v>8404</v>
      </c>
      <c r="K279" t="s">
        <v>164</v>
      </c>
      <c r="L279" t="s">
        <v>165</v>
      </c>
      <c r="N279" t="str">
        <f t="shared" si="14"/>
        <v>Szanowne Panie</v>
      </c>
      <c r="O279" s="19" t="s">
        <v>9776</v>
      </c>
      <c r="U279" t="str">
        <f t="shared" si="13"/>
        <v>tak</v>
      </c>
    </row>
    <row r="280" spans="1:21">
      <c r="A280">
        <v>324</v>
      </c>
      <c r="B280" t="s">
        <v>1480</v>
      </c>
      <c r="C280" t="s">
        <v>1480</v>
      </c>
      <c r="D280" t="s">
        <v>1485</v>
      </c>
      <c r="E280" t="s">
        <v>1705</v>
      </c>
      <c r="F280" t="s">
        <v>1706</v>
      </c>
      <c r="G280" t="s">
        <v>1903</v>
      </c>
      <c r="H280" t="s">
        <v>1904</v>
      </c>
      <c r="I280" t="s">
        <v>8405</v>
      </c>
      <c r="K280" t="s">
        <v>164</v>
      </c>
      <c r="L280" t="s">
        <v>358</v>
      </c>
      <c r="N280" t="str">
        <f t="shared" si="14"/>
        <v>Szanowna Pani</v>
      </c>
      <c r="O280" s="19" t="s">
        <v>9776</v>
      </c>
      <c r="U280" t="str">
        <f t="shared" si="13"/>
        <v>tak</v>
      </c>
    </row>
    <row r="281" spans="1:21">
      <c r="A281">
        <v>325</v>
      </c>
      <c r="B281" t="s">
        <v>1480</v>
      </c>
      <c r="C281" t="s">
        <v>1480</v>
      </c>
      <c r="D281" t="s">
        <v>1486</v>
      </c>
      <c r="E281" t="s">
        <v>1707</v>
      </c>
      <c r="F281" t="s">
        <v>1708</v>
      </c>
      <c r="G281" t="s">
        <v>1905</v>
      </c>
      <c r="H281" t="s">
        <v>1906</v>
      </c>
      <c r="I281" t="s">
        <v>8406</v>
      </c>
      <c r="K281" t="s">
        <v>165</v>
      </c>
      <c r="L281" t="s">
        <v>358</v>
      </c>
      <c r="N281" t="str">
        <f t="shared" si="14"/>
        <v>Szanowna Pani</v>
      </c>
      <c r="P281" s="19" t="s">
        <v>9776</v>
      </c>
      <c r="U281" t="str">
        <f t="shared" si="13"/>
        <v>tak</v>
      </c>
    </row>
    <row r="282" spans="1:21">
      <c r="A282">
        <v>326</v>
      </c>
      <c r="B282" t="s">
        <v>1480</v>
      </c>
      <c r="C282" t="s">
        <v>1480</v>
      </c>
      <c r="D282" t="s">
        <v>1487</v>
      </c>
      <c r="E282" t="s">
        <v>1709</v>
      </c>
      <c r="F282" t="s">
        <v>1710</v>
      </c>
      <c r="G282" t="s">
        <v>1907</v>
      </c>
      <c r="H282" t="s">
        <v>1908</v>
      </c>
      <c r="I282" t="s">
        <v>8407</v>
      </c>
      <c r="K282" t="s">
        <v>164</v>
      </c>
      <c r="L282" t="s">
        <v>358</v>
      </c>
      <c r="N282" t="str">
        <f t="shared" si="14"/>
        <v>Szanowna Pani</v>
      </c>
      <c r="O282" s="19" t="s">
        <v>9776</v>
      </c>
      <c r="U282" t="str">
        <f t="shared" si="13"/>
        <v>tak</v>
      </c>
    </row>
    <row r="283" spans="1:21">
      <c r="A283">
        <v>327</v>
      </c>
      <c r="B283" t="s">
        <v>1480</v>
      </c>
      <c r="C283" t="s">
        <v>1480</v>
      </c>
      <c r="D283" t="s">
        <v>1487</v>
      </c>
      <c r="E283" t="s">
        <v>1709</v>
      </c>
      <c r="F283" t="s">
        <v>1710</v>
      </c>
      <c r="G283" t="s">
        <v>1907</v>
      </c>
      <c r="H283" t="s">
        <v>1909</v>
      </c>
      <c r="I283" t="s">
        <v>8407</v>
      </c>
      <c r="K283" t="s">
        <v>165</v>
      </c>
      <c r="L283" t="s">
        <v>358</v>
      </c>
      <c r="N283" t="str">
        <f t="shared" si="14"/>
        <v>Szanowna Pani</v>
      </c>
      <c r="P283" s="19" t="s">
        <v>9776</v>
      </c>
      <c r="U283" t="str">
        <f t="shared" si="13"/>
        <v>tak</v>
      </c>
    </row>
    <row r="284" spans="1:21">
      <c r="A284">
        <v>328</v>
      </c>
      <c r="B284" t="s">
        <v>1480</v>
      </c>
      <c r="C284" t="s">
        <v>1480</v>
      </c>
      <c r="D284" t="s">
        <v>1488</v>
      </c>
      <c r="E284" t="s">
        <v>1489</v>
      </c>
      <c r="F284" t="s">
        <v>1490</v>
      </c>
      <c r="G284" t="s">
        <v>1910</v>
      </c>
      <c r="H284" t="s">
        <v>1911</v>
      </c>
      <c r="I284" t="s">
        <v>8408</v>
      </c>
      <c r="K284" t="s">
        <v>165</v>
      </c>
      <c r="L284" t="s">
        <v>358</v>
      </c>
      <c r="N284" t="str">
        <f t="shared" si="14"/>
        <v>Szanowne Panie</v>
      </c>
      <c r="P284" s="19" t="s">
        <v>9776</v>
      </c>
      <c r="U284" t="str">
        <f t="shared" si="13"/>
        <v>tak</v>
      </c>
    </row>
    <row r="285" spans="1:21">
      <c r="A285">
        <v>329</v>
      </c>
      <c r="B285" t="s">
        <v>1480</v>
      </c>
      <c r="C285" t="s">
        <v>1480</v>
      </c>
      <c r="D285" t="s">
        <v>1711</v>
      </c>
      <c r="E285" t="s">
        <v>1712</v>
      </c>
      <c r="F285" t="s">
        <v>1713</v>
      </c>
      <c r="G285" t="s">
        <v>1912</v>
      </c>
      <c r="H285" t="s">
        <v>1913</v>
      </c>
      <c r="I285" t="s">
        <v>8409</v>
      </c>
      <c r="K285" t="s">
        <v>224</v>
      </c>
      <c r="L285" t="s">
        <v>358</v>
      </c>
      <c r="N285" t="str">
        <f t="shared" si="14"/>
        <v>Szanowna Pani</v>
      </c>
      <c r="Q285" s="19" t="s">
        <v>9776</v>
      </c>
      <c r="U285" t="str">
        <f t="shared" si="13"/>
        <v>tak</v>
      </c>
    </row>
    <row r="286" spans="1:21">
      <c r="A286">
        <v>330</v>
      </c>
      <c r="B286" t="s">
        <v>1480</v>
      </c>
      <c r="C286" t="s">
        <v>1480</v>
      </c>
      <c r="D286" t="s">
        <v>1714</v>
      </c>
      <c r="E286" t="s">
        <v>1715</v>
      </c>
      <c r="F286" t="s">
        <v>1716</v>
      </c>
      <c r="G286" t="s">
        <v>1914</v>
      </c>
      <c r="H286" t="s">
        <v>1915</v>
      </c>
      <c r="I286" t="s">
        <v>8410</v>
      </c>
      <c r="K286" t="s">
        <v>165</v>
      </c>
      <c r="L286" t="s">
        <v>358</v>
      </c>
      <c r="N286" t="str">
        <f t="shared" si="14"/>
        <v>Szanowna Pani</v>
      </c>
      <c r="P286" s="19" t="s">
        <v>9776</v>
      </c>
      <c r="U286" t="str">
        <f t="shared" si="13"/>
        <v>tak</v>
      </c>
    </row>
    <row r="287" spans="1:21">
      <c r="A287">
        <v>331</v>
      </c>
      <c r="B287" t="s">
        <v>1480</v>
      </c>
      <c r="C287" t="s">
        <v>1491</v>
      </c>
      <c r="D287" t="s">
        <v>1492</v>
      </c>
      <c r="E287" t="s">
        <v>1717</v>
      </c>
      <c r="F287" t="s">
        <v>1718</v>
      </c>
      <c r="G287" t="s">
        <v>1916</v>
      </c>
      <c r="H287" t="s">
        <v>1917</v>
      </c>
      <c r="K287" t="s">
        <v>165</v>
      </c>
      <c r="L287" t="s">
        <v>358</v>
      </c>
      <c r="N287" t="str">
        <f t="shared" si="14"/>
        <v>Szanowna Pani</v>
      </c>
      <c r="P287" s="19" t="s">
        <v>9776</v>
      </c>
      <c r="U287" t="str">
        <f t="shared" si="13"/>
        <v>tak</v>
      </c>
    </row>
    <row r="288" spans="1:21">
      <c r="A288">
        <v>332</v>
      </c>
      <c r="B288" t="s">
        <v>1480</v>
      </c>
      <c r="C288" t="s">
        <v>1493</v>
      </c>
      <c r="D288" t="s">
        <v>1494</v>
      </c>
      <c r="E288" t="s">
        <v>1719</v>
      </c>
      <c r="F288" t="s">
        <v>1720</v>
      </c>
      <c r="G288" t="s">
        <v>1918</v>
      </c>
      <c r="H288" t="s">
        <v>1919</v>
      </c>
      <c r="I288" t="s">
        <v>8411</v>
      </c>
      <c r="K288" t="s">
        <v>164</v>
      </c>
      <c r="L288" t="s">
        <v>224</v>
      </c>
      <c r="N288" t="str">
        <f t="shared" si="14"/>
        <v>Szanowna Pani</v>
      </c>
      <c r="O288" s="19" t="s">
        <v>9776</v>
      </c>
      <c r="U288" t="str">
        <f t="shared" si="13"/>
        <v>tak</v>
      </c>
    </row>
    <row r="289" spans="1:21">
      <c r="A289">
        <v>333</v>
      </c>
      <c r="B289" t="s">
        <v>1480</v>
      </c>
      <c r="C289" t="s">
        <v>1493</v>
      </c>
      <c r="D289" t="s">
        <v>1495</v>
      </c>
      <c r="E289" t="s">
        <v>1496</v>
      </c>
      <c r="F289" t="s">
        <v>1497</v>
      </c>
      <c r="G289" t="s">
        <v>1920</v>
      </c>
      <c r="H289" t="s">
        <v>1921</v>
      </c>
      <c r="I289" t="s">
        <v>8412</v>
      </c>
      <c r="K289" t="s">
        <v>1658</v>
      </c>
      <c r="L289" t="s">
        <v>358</v>
      </c>
      <c r="N289" t="str">
        <f t="shared" si="14"/>
        <v>Szanowna Pani</v>
      </c>
      <c r="P289" s="19" t="s">
        <v>9776</v>
      </c>
      <c r="U289" t="str">
        <f t="shared" si="13"/>
        <v>tak</v>
      </c>
    </row>
    <row r="290" spans="1:21">
      <c r="A290">
        <v>334</v>
      </c>
      <c r="B290" t="s">
        <v>1480</v>
      </c>
      <c r="C290" t="s">
        <v>1498</v>
      </c>
      <c r="D290" t="s">
        <v>1499</v>
      </c>
      <c r="E290" t="s">
        <v>1721</v>
      </c>
      <c r="F290" t="s">
        <v>1722</v>
      </c>
      <c r="G290" t="s">
        <v>1922</v>
      </c>
      <c r="H290" t="s">
        <v>1923</v>
      </c>
      <c r="I290" t="s">
        <v>8413</v>
      </c>
      <c r="K290" t="s">
        <v>164</v>
      </c>
      <c r="L290" t="s">
        <v>358</v>
      </c>
      <c r="N290" t="str">
        <f t="shared" si="14"/>
        <v>Szanowna Pani</v>
      </c>
      <c r="O290" s="19" t="s">
        <v>9776</v>
      </c>
      <c r="U290" t="str">
        <f t="shared" si="13"/>
        <v>tak</v>
      </c>
    </row>
    <row r="291" spans="1:21">
      <c r="A291">
        <v>335</v>
      </c>
      <c r="B291" t="s">
        <v>1480</v>
      </c>
      <c r="C291" t="s">
        <v>1500</v>
      </c>
      <c r="D291" t="s">
        <v>1501</v>
      </c>
      <c r="E291" t="s">
        <v>1502</v>
      </c>
      <c r="F291" t="s">
        <v>1503</v>
      </c>
      <c r="G291" t="s">
        <v>1924</v>
      </c>
      <c r="H291" t="s">
        <v>1925</v>
      </c>
      <c r="I291" t="s">
        <v>8414</v>
      </c>
      <c r="K291" t="s">
        <v>1658</v>
      </c>
      <c r="L291" t="s">
        <v>358</v>
      </c>
      <c r="N291" t="str">
        <f t="shared" si="14"/>
        <v>Szanowna Pani</v>
      </c>
      <c r="P291" s="19" t="s">
        <v>9776</v>
      </c>
      <c r="U291" t="str">
        <f t="shared" si="13"/>
        <v>tak</v>
      </c>
    </row>
    <row r="292" spans="1:21">
      <c r="A292">
        <v>336</v>
      </c>
      <c r="B292" t="s">
        <v>1480</v>
      </c>
      <c r="C292" t="s">
        <v>1504</v>
      </c>
      <c r="D292" t="s">
        <v>1723</v>
      </c>
      <c r="E292" t="s">
        <v>1724</v>
      </c>
      <c r="F292" t="s">
        <v>1725</v>
      </c>
      <c r="G292" t="s">
        <v>1926</v>
      </c>
      <c r="H292" t="s">
        <v>1927</v>
      </c>
      <c r="I292" t="s">
        <v>8415</v>
      </c>
      <c r="K292" t="s">
        <v>164</v>
      </c>
      <c r="L292" t="s">
        <v>358</v>
      </c>
      <c r="N292" t="str">
        <f t="shared" si="14"/>
        <v>Szanowna Pani</v>
      </c>
      <c r="O292" s="19" t="s">
        <v>9776</v>
      </c>
      <c r="U292" t="str">
        <f t="shared" si="13"/>
        <v>tak</v>
      </c>
    </row>
    <row r="293" spans="1:21">
      <c r="A293">
        <v>337</v>
      </c>
      <c r="B293" t="s">
        <v>1480</v>
      </c>
      <c r="C293" t="s">
        <v>1505</v>
      </c>
      <c r="D293" t="s">
        <v>1506</v>
      </c>
      <c r="E293" t="s">
        <v>1726</v>
      </c>
      <c r="F293" t="s">
        <v>1728</v>
      </c>
      <c r="G293" t="s">
        <v>1928</v>
      </c>
      <c r="H293" t="s">
        <v>1929</v>
      </c>
      <c r="I293" t="s">
        <v>8416</v>
      </c>
      <c r="K293" t="s">
        <v>224</v>
      </c>
      <c r="L293" t="s">
        <v>358</v>
      </c>
      <c r="N293" t="str">
        <f t="shared" si="14"/>
        <v>Szanowna Pani</v>
      </c>
      <c r="Q293" s="19" t="s">
        <v>9776</v>
      </c>
      <c r="U293" t="str">
        <f t="shared" si="13"/>
        <v>tak</v>
      </c>
    </row>
    <row r="294" spans="1:21">
      <c r="A294">
        <v>338</v>
      </c>
      <c r="B294" t="s">
        <v>1480</v>
      </c>
      <c r="C294" t="s">
        <v>1507</v>
      </c>
      <c r="D294" t="s">
        <v>1508</v>
      </c>
      <c r="E294" t="s">
        <v>1727</v>
      </c>
      <c r="F294" t="s">
        <v>1729</v>
      </c>
      <c r="G294" t="s">
        <v>1930</v>
      </c>
      <c r="H294" t="s">
        <v>1931</v>
      </c>
      <c r="I294" t="s">
        <v>8417</v>
      </c>
      <c r="K294" t="s">
        <v>164</v>
      </c>
      <c r="L294" t="s">
        <v>358</v>
      </c>
      <c r="N294" t="str">
        <f t="shared" si="14"/>
        <v>Szanowne Panie</v>
      </c>
      <c r="O294" s="19" t="s">
        <v>9776</v>
      </c>
      <c r="U294" t="str">
        <f t="shared" si="13"/>
        <v>tak</v>
      </c>
    </row>
    <row r="295" spans="1:21">
      <c r="A295">
        <v>339</v>
      </c>
      <c r="B295" t="s">
        <v>1480</v>
      </c>
      <c r="C295" t="s">
        <v>1509</v>
      </c>
      <c r="D295" t="s">
        <v>1510</v>
      </c>
      <c r="E295" t="s">
        <v>1730</v>
      </c>
      <c r="F295" t="s">
        <v>1731</v>
      </c>
      <c r="G295" t="s">
        <v>1932</v>
      </c>
      <c r="H295" t="s">
        <v>1933</v>
      </c>
      <c r="I295" t="s">
        <v>8418</v>
      </c>
      <c r="K295" t="s">
        <v>164</v>
      </c>
      <c r="L295" t="s">
        <v>358</v>
      </c>
      <c r="N295" t="str">
        <f t="shared" si="14"/>
        <v>Szanowna Pani</v>
      </c>
      <c r="O295" s="19" t="s">
        <v>9776</v>
      </c>
      <c r="U295" t="str">
        <f t="shared" si="13"/>
        <v>tak</v>
      </c>
    </row>
    <row r="296" spans="1:21">
      <c r="A296">
        <v>340</v>
      </c>
      <c r="B296" t="s">
        <v>1480</v>
      </c>
      <c r="C296" t="s">
        <v>1511</v>
      </c>
      <c r="D296" t="s">
        <v>1512</v>
      </c>
      <c r="E296" t="s">
        <v>1732</v>
      </c>
      <c r="F296" t="s">
        <v>1733</v>
      </c>
      <c r="G296" t="s">
        <v>1934</v>
      </c>
      <c r="H296" t="s">
        <v>1935</v>
      </c>
      <c r="I296" t="s">
        <v>8419</v>
      </c>
      <c r="K296" t="s">
        <v>224</v>
      </c>
      <c r="L296" t="s">
        <v>358</v>
      </c>
      <c r="N296" t="str">
        <f t="shared" si="14"/>
        <v>Szanowna Pani</v>
      </c>
      <c r="Q296" s="19" t="s">
        <v>9776</v>
      </c>
      <c r="U296" t="str">
        <f t="shared" si="13"/>
        <v>tak</v>
      </c>
    </row>
    <row r="297" spans="1:21">
      <c r="A297">
        <v>341</v>
      </c>
      <c r="B297" t="s">
        <v>1480</v>
      </c>
      <c r="C297" t="s">
        <v>1513</v>
      </c>
      <c r="D297" t="s">
        <v>1514</v>
      </c>
      <c r="E297" t="s">
        <v>1515</v>
      </c>
      <c r="F297" t="s">
        <v>1516</v>
      </c>
      <c r="G297" t="s">
        <v>1936</v>
      </c>
      <c r="H297" t="s">
        <v>1937</v>
      </c>
      <c r="I297" t="s">
        <v>8420</v>
      </c>
      <c r="K297" t="s">
        <v>1659</v>
      </c>
      <c r="L297" t="s">
        <v>358</v>
      </c>
      <c r="N297" t="str">
        <f t="shared" si="14"/>
        <v>Szanowna Pani</v>
      </c>
      <c r="O297" s="19" t="s">
        <v>9776</v>
      </c>
      <c r="P297" s="19" t="s">
        <v>9776</v>
      </c>
      <c r="U297" t="str">
        <f t="shared" si="13"/>
        <v>taktak</v>
      </c>
    </row>
    <row r="298" spans="1:21">
      <c r="A298">
        <v>342</v>
      </c>
      <c r="B298" t="s">
        <v>1480</v>
      </c>
      <c r="C298" t="s">
        <v>1517</v>
      </c>
      <c r="D298" t="s">
        <v>1518</v>
      </c>
      <c r="E298" t="s">
        <v>1519</v>
      </c>
      <c r="F298" t="s">
        <v>1520</v>
      </c>
      <c r="G298" t="s">
        <v>1938</v>
      </c>
      <c r="H298" t="s">
        <v>1939</v>
      </c>
      <c r="I298" t="s">
        <v>8421</v>
      </c>
      <c r="K298" t="s">
        <v>164</v>
      </c>
      <c r="L298" t="s">
        <v>358</v>
      </c>
      <c r="N298" t="str">
        <f t="shared" si="14"/>
        <v>Szanowna Pani</v>
      </c>
      <c r="O298" s="19" t="s">
        <v>9776</v>
      </c>
      <c r="U298" t="str">
        <f t="shared" si="13"/>
        <v>tak</v>
      </c>
    </row>
    <row r="299" spans="1:21">
      <c r="A299">
        <v>343</v>
      </c>
      <c r="B299" t="s">
        <v>1480</v>
      </c>
      <c r="C299" t="s">
        <v>1521</v>
      </c>
      <c r="D299" t="s">
        <v>1734</v>
      </c>
      <c r="E299" t="s">
        <v>1735</v>
      </c>
      <c r="F299" t="s">
        <v>1736</v>
      </c>
      <c r="G299" t="s">
        <v>1940</v>
      </c>
      <c r="H299" t="s">
        <v>1941</v>
      </c>
      <c r="I299" t="s">
        <v>8422</v>
      </c>
      <c r="K299" t="s">
        <v>164</v>
      </c>
      <c r="L299" t="s">
        <v>165</v>
      </c>
      <c r="N299" t="str">
        <f t="shared" si="14"/>
        <v>Szanowne Panie</v>
      </c>
      <c r="O299" s="19" t="s">
        <v>9776</v>
      </c>
      <c r="U299" t="str">
        <f t="shared" si="13"/>
        <v>tak</v>
      </c>
    </row>
    <row r="300" spans="1:21">
      <c r="A300">
        <v>344</v>
      </c>
      <c r="B300" t="s">
        <v>1480</v>
      </c>
      <c r="C300" t="s">
        <v>1522</v>
      </c>
      <c r="D300" t="s">
        <v>1523</v>
      </c>
      <c r="E300" t="s">
        <v>1524</v>
      </c>
      <c r="F300" t="s">
        <v>1525</v>
      </c>
      <c r="G300" t="s">
        <v>1942</v>
      </c>
      <c r="H300" t="s">
        <v>1943</v>
      </c>
      <c r="I300" t="s">
        <v>8423</v>
      </c>
      <c r="K300" t="s">
        <v>165</v>
      </c>
      <c r="L300" t="s">
        <v>358</v>
      </c>
      <c r="N300" t="str">
        <f t="shared" si="14"/>
        <v>Szanowna Pani</v>
      </c>
      <c r="P300" s="19" t="s">
        <v>9776</v>
      </c>
      <c r="U300" t="str">
        <f t="shared" si="13"/>
        <v>tak</v>
      </c>
    </row>
    <row r="301" spans="1:21">
      <c r="A301">
        <v>345</v>
      </c>
      <c r="B301" t="s">
        <v>1480</v>
      </c>
      <c r="C301" t="s">
        <v>1526</v>
      </c>
      <c r="D301" t="s">
        <v>1527</v>
      </c>
      <c r="E301" t="s">
        <v>1737</v>
      </c>
      <c r="F301" t="s">
        <v>1738</v>
      </c>
      <c r="G301" t="s">
        <v>1944</v>
      </c>
      <c r="H301" t="s">
        <v>1945</v>
      </c>
      <c r="I301" t="s">
        <v>8424</v>
      </c>
      <c r="K301" t="s">
        <v>165</v>
      </c>
      <c r="L301" t="s">
        <v>358</v>
      </c>
      <c r="N301" t="str">
        <f t="shared" si="14"/>
        <v>Szanowna Pani</v>
      </c>
      <c r="P301" s="19" t="s">
        <v>9776</v>
      </c>
      <c r="U301" t="str">
        <f t="shared" ref="U301:U336" si="15">+O301 &amp;P301&amp;Q301</f>
        <v>tak</v>
      </c>
    </row>
    <row r="302" spans="1:21">
      <c r="A302">
        <v>346</v>
      </c>
      <c r="B302" t="s">
        <v>1480</v>
      </c>
      <c r="C302" t="s">
        <v>1528</v>
      </c>
      <c r="D302" t="s">
        <v>1529</v>
      </c>
      <c r="E302" t="s">
        <v>1739</v>
      </c>
      <c r="F302" t="s">
        <v>1740</v>
      </c>
      <c r="G302" t="s">
        <v>1946</v>
      </c>
      <c r="H302" t="s">
        <v>1947</v>
      </c>
      <c r="I302" t="s">
        <v>8425</v>
      </c>
      <c r="K302" t="s">
        <v>224</v>
      </c>
      <c r="L302" t="s">
        <v>358</v>
      </c>
      <c r="N302" t="str">
        <f t="shared" si="14"/>
        <v>Szanowna Pani</v>
      </c>
      <c r="Q302" s="19" t="s">
        <v>9776</v>
      </c>
      <c r="U302" t="str">
        <f t="shared" si="15"/>
        <v>tak</v>
      </c>
    </row>
    <row r="303" spans="1:21">
      <c r="A303">
        <v>347</v>
      </c>
      <c r="B303" t="s">
        <v>1480</v>
      </c>
      <c r="C303" t="s">
        <v>1530</v>
      </c>
      <c r="D303" t="s">
        <v>1531</v>
      </c>
      <c r="E303" t="s">
        <v>1741</v>
      </c>
      <c r="F303" t="s">
        <v>1742</v>
      </c>
      <c r="G303" t="s">
        <v>1948</v>
      </c>
      <c r="H303" t="s">
        <v>1949</v>
      </c>
      <c r="I303" t="s">
        <v>8426</v>
      </c>
      <c r="K303" t="s">
        <v>1658</v>
      </c>
      <c r="L303" t="s">
        <v>358</v>
      </c>
      <c r="N303" t="str">
        <f t="shared" si="14"/>
        <v>Szanowna Pani</v>
      </c>
      <c r="P303" s="19" t="s">
        <v>9776</v>
      </c>
      <c r="U303" t="str">
        <f t="shared" si="15"/>
        <v>tak</v>
      </c>
    </row>
    <row r="304" spans="1:21">
      <c r="A304">
        <v>348</v>
      </c>
      <c r="B304" t="s">
        <v>1480</v>
      </c>
      <c r="C304" t="s">
        <v>1532</v>
      </c>
      <c r="D304" t="s">
        <v>1533</v>
      </c>
      <c r="E304" t="s">
        <v>1743</v>
      </c>
      <c r="F304" t="s">
        <v>1744</v>
      </c>
      <c r="G304" t="s">
        <v>1950</v>
      </c>
      <c r="H304" t="s">
        <v>1951</v>
      </c>
      <c r="I304" t="s">
        <v>8427</v>
      </c>
      <c r="K304" t="s">
        <v>164</v>
      </c>
      <c r="L304" t="s">
        <v>358</v>
      </c>
      <c r="N304" t="str">
        <f t="shared" si="14"/>
        <v>Szanowna Pani</v>
      </c>
      <c r="O304" s="19" t="s">
        <v>9776</v>
      </c>
      <c r="U304" t="str">
        <f t="shared" si="15"/>
        <v>tak</v>
      </c>
    </row>
    <row r="305" spans="1:21">
      <c r="A305">
        <v>349</v>
      </c>
      <c r="B305" t="s">
        <v>1480</v>
      </c>
      <c r="C305" t="s">
        <v>1532</v>
      </c>
      <c r="D305" t="s">
        <v>1534</v>
      </c>
      <c r="E305" t="s">
        <v>1745</v>
      </c>
      <c r="F305" t="s">
        <v>1744</v>
      </c>
      <c r="G305" t="s">
        <v>1952</v>
      </c>
      <c r="H305" t="s">
        <v>1953</v>
      </c>
      <c r="I305" t="s">
        <v>8428</v>
      </c>
      <c r="K305" t="s">
        <v>165</v>
      </c>
      <c r="L305" t="s">
        <v>358</v>
      </c>
      <c r="N305" t="str">
        <f t="shared" si="14"/>
        <v>Szanowna Pani</v>
      </c>
      <c r="P305" s="19" t="s">
        <v>9776</v>
      </c>
      <c r="U305" t="str">
        <f t="shared" si="15"/>
        <v>tak</v>
      </c>
    </row>
    <row r="306" spans="1:21">
      <c r="A306">
        <v>350</v>
      </c>
      <c r="B306" t="s">
        <v>1480</v>
      </c>
      <c r="C306" t="s">
        <v>1535</v>
      </c>
      <c r="D306" t="s">
        <v>1536</v>
      </c>
      <c r="E306" t="s">
        <v>1537</v>
      </c>
      <c r="F306" t="s">
        <v>1538</v>
      </c>
      <c r="G306" t="s">
        <v>1954</v>
      </c>
      <c r="H306" t="s">
        <v>1955</v>
      </c>
      <c r="I306" t="s">
        <v>8429</v>
      </c>
      <c r="K306" t="s">
        <v>164</v>
      </c>
      <c r="L306" t="s">
        <v>358</v>
      </c>
      <c r="N306" t="str">
        <f t="shared" si="14"/>
        <v>Szanowna Pani</v>
      </c>
      <c r="O306" s="19" t="s">
        <v>9776</v>
      </c>
      <c r="U306" t="str">
        <f t="shared" si="15"/>
        <v>tak</v>
      </c>
    </row>
    <row r="307" spans="1:21">
      <c r="A307">
        <v>351</v>
      </c>
      <c r="B307" t="s">
        <v>1480</v>
      </c>
      <c r="C307" t="s">
        <v>1535</v>
      </c>
      <c r="D307" t="s">
        <v>1539</v>
      </c>
      <c r="E307" t="s">
        <v>1540</v>
      </c>
      <c r="F307" t="s">
        <v>1538</v>
      </c>
      <c r="G307" t="s">
        <v>1956</v>
      </c>
      <c r="H307" t="s">
        <v>1957</v>
      </c>
      <c r="I307" t="s">
        <v>8430</v>
      </c>
      <c r="K307" t="s">
        <v>165</v>
      </c>
      <c r="L307" t="s">
        <v>358</v>
      </c>
      <c r="N307" t="str">
        <f t="shared" si="14"/>
        <v>Szanowna Pani</v>
      </c>
      <c r="P307" s="19" t="s">
        <v>9776</v>
      </c>
      <c r="U307" t="str">
        <f t="shared" si="15"/>
        <v>tak</v>
      </c>
    </row>
    <row r="308" spans="1:21">
      <c r="A308">
        <v>352</v>
      </c>
      <c r="B308" t="s">
        <v>1480</v>
      </c>
      <c r="C308" t="s">
        <v>1541</v>
      </c>
      <c r="D308" t="s">
        <v>1542</v>
      </c>
      <c r="E308" t="s">
        <v>1543</v>
      </c>
      <c r="F308" t="s">
        <v>1544</v>
      </c>
      <c r="G308" t="s">
        <v>1958</v>
      </c>
      <c r="H308" t="s">
        <v>1959</v>
      </c>
      <c r="I308" t="s">
        <v>8431</v>
      </c>
      <c r="K308" t="s">
        <v>1658</v>
      </c>
      <c r="L308" t="s">
        <v>358</v>
      </c>
      <c r="N308" t="str">
        <f t="shared" si="14"/>
        <v>Szanowna Pani</v>
      </c>
      <c r="P308" s="19" t="s">
        <v>9776</v>
      </c>
      <c r="U308" t="str">
        <f t="shared" si="15"/>
        <v>tak</v>
      </c>
    </row>
    <row r="309" spans="1:21">
      <c r="A309">
        <v>353</v>
      </c>
      <c r="B309" t="s">
        <v>1480</v>
      </c>
      <c r="C309" t="s">
        <v>1545</v>
      </c>
      <c r="D309" t="s">
        <v>1546</v>
      </c>
      <c r="E309" t="s">
        <v>1752</v>
      </c>
      <c r="F309" t="s">
        <v>1753</v>
      </c>
      <c r="G309" t="s">
        <v>1960</v>
      </c>
      <c r="H309" t="s">
        <v>1961</v>
      </c>
      <c r="I309" t="s">
        <v>8432</v>
      </c>
      <c r="K309" t="s">
        <v>1658</v>
      </c>
      <c r="L309" t="s">
        <v>358</v>
      </c>
      <c r="N309" t="str">
        <f t="shared" si="14"/>
        <v>Szanowna Pani</v>
      </c>
      <c r="P309" s="19" t="s">
        <v>9776</v>
      </c>
      <c r="U309" t="str">
        <f t="shared" si="15"/>
        <v>tak</v>
      </c>
    </row>
    <row r="310" spans="1:21">
      <c r="A310">
        <v>354</v>
      </c>
      <c r="B310" t="s">
        <v>1480</v>
      </c>
      <c r="C310" t="s">
        <v>1547</v>
      </c>
      <c r="D310" t="s">
        <v>1548</v>
      </c>
      <c r="E310" t="s">
        <v>1754</v>
      </c>
      <c r="F310" t="s">
        <v>1755</v>
      </c>
      <c r="G310" t="s">
        <v>1962</v>
      </c>
      <c r="H310" t="s">
        <v>1963</v>
      </c>
      <c r="I310" t="s">
        <v>8433</v>
      </c>
      <c r="K310" t="s">
        <v>1659</v>
      </c>
      <c r="L310" t="s">
        <v>358</v>
      </c>
      <c r="N310" t="str">
        <f t="shared" si="14"/>
        <v>Szanowne Panie</v>
      </c>
      <c r="O310" s="19" t="s">
        <v>9776</v>
      </c>
      <c r="P310" s="19" t="s">
        <v>9776</v>
      </c>
      <c r="U310" t="str">
        <f t="shared" si="15"/>
        <v>taktak</v>
      </c>
    </row>
    <row r="311" spans="1:21">
      <c r="A311">
        <v>355</v>
      </c>
      <c r="B311" t="s">
        <v>1480</v>
      </c>
      <c r="C311" t="s">
        <v>1549</v>
      </c>
      <c r="D311" t="s">
        <v>1550</v>
      </c>
      <c r="E311" t="s">
        <v>1756</v>
      </c>
      <c r="F311" t="s">
        <v>1757</v>
      </c>
      <c r="G311" t="s">
        <v>1964</v>
      </c>
      <c r="H311" t="s">
        <v>1965</v>
      </c>
      <c r="I311" t="s">
        <v>8434</v>
      </c>
      <c r="K311" t="s">
        <v>164</v>
      </c>
      <c r="L311" t="s">
        <v>358</v>
      </c>
      <c r="N311" t="str">
        <f t="shared" si="14"/>
        <v>Szanowna Pani</v>
      </c>
      <c r="O311" s="19" t="s">
        <v>9776</v>
      </c>
      <c r="U311" t="str">
        <f t="shared" si="15"/>
        <v>tak</v>
      </c>
    </row>
    <row r="312" spans="1:21">
      <c r="A312">
        <v>356</v>
      </c>
      <c r="B312" t="s">
        <v>1480</v>
      </c>
      <c r="C312" t="s">
        <v>1549</v>
      </c>
      <c r="D312" t="s">
        <v>1551</v>
      </c>
      <c r="E312" t="s">
        <v>1758</v>
      </c>
      <c r="F312" t="s">
        <v>1757</v>
      </c>
      <c r="G312" t="s">
        <v>1966</v>
      </c>
      <c r="H312" t="s">
        <v>1967</v>
      </c>
      <c r="I312" t="s">
        <v>8435</v>
      </c>
      <c r="K312" t="s">
        <v>164</v>
      </c>
      <c r="L312" t="s">
        <v>358</v>
      </c>
      <c r="N312" t="str">
        <f t="shared" si="14"/>
        <v>Szanowna Pani</v>
      </c>
      <c r="O312" s="19" t="s">
        <v>9776</v>
      </c>
      <c r="U312" t="str">
        <f t="shared" si="15"/>
        <v>tak</v>
      </c>
    </row>
    <row r="313" spans="1:21">
      <c r="A313">
        <v>357</v>
      </c>
      <c r="B313" t="s">
        <v>1480</v>
      </c>
      <c r="C313" t="s">
        <v>1552</v>
      </c>
      <c r="D313" t="s">
        <v>1553</v>
      </c>
      <c r="E313">
        <v>0</v>
      </c>
      <c r="F313" t="s">
        <v>1759</v>
      </c>
      <c r="G313" t="s">
        <v>1968</v>
      </c>
      <c r="H313" t="s">
        <v>1969</v>
      </c>
      <c r="I313" t="s">
        <v>8436</v>
      </c>
      <c r="K313" t="s">
        <v>165</v>
      </c>
      <c r="L313" t="s">
        <v>358</v>
      </c>
      <c r="N313" t="str">
        <f t="shared" si="14"/>
        <v>Szanowna Pani</v>
      </c>
      <c r="P313" s="19" t="s">
        <v>9776</v>
      </c>
      <c r="U313" t="str">
        <f t="shared" si="15"/>
        <v>tak</v>
      </c>
    </row>
    <row r="314" spans="1:21">
      <c r="A314">
        <v>358</v>
      </c>
      <c r="B314" t="s">
        <v>1480</v>
      </c>
      <c r="C314" t="s">
        <v>1554</v>
      </c>
      <c r="D314" t="s">
        <v>1555</v>
      </c>
      <c r="E314" t="s">
        <v>1760</v>
      </c>
      <c r="F314" t="s">
        <v>1761</v>
      </c>
      <c r="G314" t="s">
        <v>1970</v>
      </c>
      <c r="H314" t="s">
        <v>1971</v>
      </c>
      <c r="I314" t="s">
        <v>8437</v>
      </c>
      <c r="K314" t="s">
        <v>164</v>
      </c>
      <c r="L314" t="s">
        <v>358</v>
      </c>
      <c r="N314" t="str">
        <f t="shared" si="14"/>
        <v>Szanowna Pani</v>
      </c>
      <c r="O314" s="19" t="s">
        <v>9776</v>
      </c>
      <c r="U314" t="str">
        <f t="shared" si="15"/>
        <v>tak</v>
      </c>
    </row>
    <row r="315" spans="1:21">
      <c r="A315">
        <v>359</v>
      </c>
      <c r="B315" t="s">
        <v>1480</v>
      </c>
      <c r="C315" t="s">
        <v>1556</v>
      </c>
      <c r="D315" t="s">
        <v>1557</v>
      </c>
      <c r="E315" t="s">
        <v>1558</v>
      </c>
      <c r="F315" t="s">
        <v>1762</v>
      </c>
      <c r="G315" t="s">
        <v>1972</v>
      </c>
      <c r="H315" t="s">
        <v>1973</v>
      </c>
      <c r="I315" t="s">
        <v>8438</v>
      </c>
      <c r="K315" t="s">
        <v>165</v>
      </c>
      <c r="L315" t="s">
        <v>358</v>
      </c>
      <c r="N315" t="str">
        <f t="shared" si="14"/>
        <v>Szanowna Pani</v>
      </c>
      <c r="P315" s="19" t="s">
        <v>9776</v>
      </c>
      <c r="U315" t="str">
        <f t="shared" si="15"/>
        <v>tak</v>
      </c>
    </row>
    <row r="316" spans="1:21">
      <c r="A316">
        <v>360</v>
      </c>
      <c r="B316" t="s">
        <v>1480</v>
      </c>
      <c r="C316" t="s">
        <v>1559</v>
      </c>
      <c r="D316" t="s">
        <v>1560</v>
      </c>
      <c r="E316" t="s">
        <v>1561</v>
      </c>
      <c r="F316" t="s">
        <v>1562</v>
      </c>
      <c r="G316" t="s">
        <v>1974</v>
      </c>
      <c r="H316" t="s">
        <v>1975</v>
      </c>
      <c r="I316" t="s">
        <v>8439</v>
      </c>
      <c r="K316" t="s">
        <v>164</v>
      </c>
      <c r="L316" t="s">
        <v>358</v>
      </c>
      <c r="N316" t="str">
        <f t="shared" si="14"/>
        <v>Szanowna Pani</v>
      </c>
      <c r="O316" s="19" t="s">
        <v>9776</v>
      </c>
      <c r="U316" t="str">
        <f t="shared" si="15"/>
        <v>tak</v>
      </c>
    </row>
    <row r="317" spans="1:21">
      <c r="A317">
        <v>361</v>
      </c>
      <c r="B317" t="s">
        <v>1480</v>
      </c>
      <c r="C317" t="s">
        <v>1559</v>
      </c>
      <c r="D317" t="s">
        <v>1560</v>
      </c>
      <c r="E317" t="s">
        <v>1561</v>
      </c>
      <c r="F317" t="s">
        <v>1562</v>
      </c>
      <c r="G317" t="s">
        <v>1974</v>
      </c>
      <c r="H317" t="s">
        <v>1976</v>
      </c>
      <c r="I317" t="s">
        <v>8439</v>
      </c>
      <c r="K317" t="s">
        <v>224</v>
      </c>
      <c r="L317" t="s">
        <v>358</v>
      </c>
      <c r="N317" t="str">
        <f t="shared" si="14"/>
        <v>Szanowna Pani</v>
      </c>
      <c r="Q317" s="19" t="s">
        <v>9776</v>
      </c>
      <c r="U317" t="str">
        <f t="shared" si="15"/>
        <v>tak</v>
      </c>
    </row>
    <row r="318" spans="1:21">
      <c r="A318">
        <v>362</v>
      </c>
      <c r="B318" t="s">
        <v>1480</v>
      </c>
      <c r="C318" t="s">
        <v>1563</v>
      </c>
      <c r="D318" t="s">
        <v>1564</v>
      </c>
      <c r="E318" t="s">
        <v>1565</v>
      </c>
      <c r="F318" t="s">
        <v>1566</v>
      </c>
      <c r="G318" t="s">
        <v>1977</v>
      </c>
      <c r="H318" t="s">
        <v>1978</v>
      </c>
      <c r="I318" t="s">
        <v>8440</v>
      </c>
      <c r="K318" t="s">
        <v>164</v>
      </c>
      <c r="L318" t="s">
        <v>358</v>
      </c>
      <c r="N318" t="str">
        <f t="shared" si="14"/>
        <v>Szanowna Pani</v>
      </c>
      <c r="O318" s="19" t="s">
        <v>9776</v>
      </c>
      <c r="U318" t="str">
        <f t="shared" si="15"/>
        <v>tak</v>
      </c>
    </row>
    <row r="319" spans="1:21">
      <c r="A319">
        <v>363</v>
      </c>
      <c r="B319" t="s">
        <v>1480</v>
      </c>
      <c r="C319" t="s">
        <v>1567</v>
      </c>
      <c r="D319" t="s">
        <v>1568</v>
      </c>
      <c r="E319" t="s">
        <v>1746</v>
      </c>
      <c r="F319" t="s">
        <v>1747</v>
      </c>
      <c r="G319" t="s">
        <v>1979</v>
      </c>
      <c r="H319" t="s">
        <v>1980</v>
      </c>
      <c r="I319" t="s">
        <v>8441</v>
      </c>
      <c r="K319" t="s">
        <v>164</v>
      </c>
      <c r="L319" t="s">
        <v>358</v>
      </c>
      <c r="N319" t="str">
        <f t="shared" si="14"/>
        <v>Szanowny Pan</v>
      </c>
      <c r="O319" s="19" t="s">
        <v>9776</v>
      </c>
      <c r="U319" t="str">
        <f t="shared" si="15"/>
        <v>tak</v>
      </c>
    </row>
    <row r="320" spans="1:21">
      <c r="A320">
        <v>364</v>
      </c>
      <c r="B320" t="s">
        <v>1480</v>
      </c>
      <c r="C320" t="s">
        <v>1569</v>
      </c>
      <c r="D320" t="s">
        <v>1570</v>
      </c>
      <c r="E320" t="s">
        <v>1748</v>
      </c>
      <c r="F320" t="s">
        <v>1749</v>
      </c>
      <c r="G320" t="s">
        <v>1981</v>
      </c>
      <c r="H320" t="s">
        <v>1982</v>
      </c>
      <c r="I320" t="s">
        <v>8442</v>
      </c>
      <c r="K320" t="s">
        <v>164</v>
      </c>
      <c r="L320" t="s">
        <v>165</v>
      </c>
      <c r="N320" t="str">
        <f t="shared" si="14"/>
        <v>Szanowny Pan</v>
      </c>
      <c r="O320" s="19" t="s">
        <v>9776</v>
      </c>
      <c r="U320" t="str">
        <f t="shared" si="15"/>
        <v>tak</v>
      </c>
    </row>
    <row r="321" spans="1:21">
      <c r="A321">
        <v>365</v>
      </c>
      <c r="B321" t="s">
        <v>1480</v>
      </c>
      <c r="C321" t="s">
        <v>1571</v>
      </c>
      <c r="D321" t="s">
        <v>1572</v>
      </c>
      <c r="E321" t="s">
        <v>1750</v>
      </c>
      <c r="F321" t="s">
        <v>1751</v>
      </c>
      <c r="G321" t="s">
        <v>1983</v>
      </c>
      <c r="H321" t="s">
        <v>1984</v>
      </c>
      <c r="I321" t="s">
        <v>8443</v>
      </c>
      <c r="K321" t="s">
        <v>164</v>
      </c>
      <c r="L321" t="s">
        <v>1658</v>
      </c>
      <c r="N321" t="str">
        <f t="shared" si="14"/>
        <v>Szanowna Pani</v>
      </c>
      <c r="O321" s="19" t="s">
        <v>9776</v>
      </c>
      <c r="U321" t="str">
        <f t="shared" si="15"/>
        <v>tak</v>
      </c>
    </row>
    <row r="322" spans="1:21">
      <c r="A322">
        <v>366</v>
      </c>
      <c r="B322" t="s">
        <v>1480</v>
      </c>
      <c r="C322" t="s">
        <v>1573</v>
      </c>
      <c r="D322" t="s">
        <v>1574</v>
      </c>
      <c r="E322" t="s">
        <v>1763</v>
      </c>
      <c r="F322" t="s">
        <v>1764</v>
      </c>
      <c r="G322" t="s">
        <v>1985</v>
      </c>
      <c r="H322" t="s">
        <v>1986</v>
      </c>
      <c r="I322" t="s">
        <v>8444</v>
      </c>
      <c r="K322" t="s">
        <v>1658</v>
      </c>
      <c r="L322" t="s">
        <v>358</v>
      </c>
      <c r="N322" t="str">
        <f t="shared" si="14"/>
        <v>Szanowna Pani</v>
      </c>
      <c r="P322" s="19" t="s">
        <v>9776</v>
      </c>
      <c r="U322" t="str">
        <f t="shared" si="15"/>
        <v>tak</v>
      </c>
    </row>
    <row r="323" spans="1:21">
      <c r="A323">
        <v>367</v>
      </c>
      <c r="B323" t="s">
        <v>1480</v>
      </c>
      <c r="C323" t="s">
        <v>1575</v>
      </c>
      <c r="D323" t="s">
        <v>1576</v>
      </c>
      <c r="E323" t="s">
        <v>1765</v>
      </c>
      <c r="F323" t="s">
        <v>1766</v>
      </c>
      <c r="G323" t="s">
        <v>1987</v>
      </c>
      <c r="H323" t="s">
        <v>1988</v>
      </c>
      <c r="I323" t="s">
        <v>8445</v>
      </c>
      <c r="K323" t="s">
        <v>164</v>
      </c>
      <c r="L323" t="s">
        <v>358</v>
      </c>
      <c r="N323" t="str">
        <f t="shared" si="14"/>
        <v>Szanowna Pani</v>
      </c>
      <c r="O323" s="19" t="s">
        <v>9776</v>
      </c>
      <c r="U323" t="str">
        <f t="shared" si="15"/>
        <v>tak</v>
      </c>
    </row>
    <row r="324" spans="1:21">
      <c r="A324">
        <v>368</v>
      </c>
      <c r="B324" t="s">
        <v>1480</v>
      </c>
      <c r="C324" t="s">
        <v>1577</v>
      </c>
      <c r="D324" t="s">
        <v>1578</v>
      </c>
      <c r="E324" t="s">
        <v>1767</v>
      </c>
      <c r="F324" t="s">
        <v>1768</v>
      </c>
      <c r="G324" t="s">
        <v>1989</v>
      </c>
      <c r="H324" t="s">
        <v>1990</v>
      </c>
      <c r="I324" t="s">
        <v>8446</v>
      </c>
      <c r="K324" t="s">
        <v>224</v>
      </c>
      <c r="L324" t="s">
        <v>358</v>
      </c>
      <c r="N324" t="str">
        <f t="shared" si="14"/>
        <v>Szanowna Pani</v>
      </c>
      <c r="Q324" s="19" t="s">
        <v>9776</v>
      </c>
      <c r="U324" t="str">
        <f t="shared" si="15"/>
        <v>tak</v>
      </c>
    </row>
    <row r="325" spans="1:21">
      <c r="A325">
        <v>369</v>
      </c>
      <c r="B325" t="s">
        <v>1480</v>
      </c>
      <c r="C325" t="s">
        <v>1579</v>
      </c>
      <c r="D325" t="s">
        <v>1580</v>
      </c>
      <c r="E325" t="s">
        <v>1769</v>
      </c>
      <c r="F325" t="s">
        <v>1770</v>
      </c>
      <c r="G325" t="s">
        <v>1991</v>
      </c>
      <c r="H325" t="s">
        <v>1992</v>
      </c>
      <c r="I325" t="s">
        <v>8447</v>
      </c>
      <c r="K325" t="s">
        <v>164</v>
      </c>
      <c r="L325" t="s">
        <v>358</v>
      </c>
      <c r="N325" t="str">
        <f t="shared" si="14"/>
        <v>Szanowna Pani</v>
      </c>
      <c r="O325" s="19" t="s">
        <v>9776</v>
      </c>
      <c r="U325" t="str">
        <f t="shared" si="15"/>
        <v>tak</v>
      </c>
    </row>
    <row r="326" spans="1:21">
      <c r="A326">
        <v>370</v>
      </c>
      <c r="B326" t="s">
        <v>1480</v>
      </c>
      <c r="C326" t="s">
        <v>1581</v>
      </c>
      <c r="D326" t="s">
        <v>1582</v>
      </c>
      <c r="E326" t="s">
        <v>1583</v>
      </c>
      <c r="F326" t="s">
        <v>1768</v>
      </c>
      <c r="G326" t="s">
        <v>1993</v>
      </c>
      <c r="H326" t="s">
        <v>1994</v>
      </c>
      <c r="I326" t="s">
        <v>8448</v>
      </c>
      <c r="K326" t="s">
        <v>165</v>
      </c>
      <c r="L326" t="s">
        <v>358</v>
      </c>
      <c r="N326" t="str">
        <f t="shared" si="14"/>
        <v>Szanowna Pani</v>
      </c>
      <c r="P326" s="19" t="s">
        <v>9776</v>
      </c>
      <c r="U326" t="str">
        <f t="shared" si="15"/>
        <v>tak</v>
      </c>
    </row>
    <row r="327" spans="1:21">
      <c r="A327">
        <v>371</v>
      </c>
      <c r="B327" t="s">
        <v>1480</v>
      </c>
      <c r="C327" t="s">
        <v>1584</v>
      </c>
      <c r="D327" t="s">
        <v>1585</v>
      </c>
      <c r="E327" t="s">
        <v>1771</v>
      </c>
      <c r="F327" t="s">
        <v>1772</v>
      </c>
      <c r="G327" t="s">
        <v>1995</v>
      </c>
      <c r="H327" t="s">
        <v>1996</v>
      </c>
      <c r="I327" t="s">
        <v>8449</v>
      </c>
      <c r="K327" t="s">
        <v>1658</v>
      </c>
      <c r="L327" t="s">
        <v>358</v>
      </c>
      <c r="N327" t="str">
        <f t="shared" si="14"/>
        <v>Szanowna Pani</v>
      </c>
      <c r="P327" s="19" t="s">
        <v>9776</v>
      </c>
      <c r="U327" t="str">
        <f t="shared" si="15"/>
        <v>tak</v>
      </c>
    </row>
    <row r="328" spans="1:21">
      <c r="A328">
        <v>372</v>
      </c>
      <c r="B328" t="s">
        <v>1480</v>
      </c>
      <c r="C328" t="s">
        <v>1586</v>
      </c>
      <c r="D328" t="s">
        <v>1587</v>
      </c>
      <c r="E328" t="s">
        <v>1773</v>
      </c>
      <c r="F328" t="s">
        <v>1774</v>
      </c>
      <c r="G328" t="s">
        <v>1997</v>
      </c>
      <c r="H328" t="s">
        <v>1998</v>
      </c>
      <c r="I328" s="15" t="s">
        <v>9768</v>
      </c>
      <c r="K328" t="s">
        <v>164</v>
      </c>
      <c r="L328" t="s">
        <v>358</v>
      </c>
      <c r="N328" t="str">
        <f t="shared" si="14"/>
        <v>Szanowna Pani</v>
      </c>
      <c r="O328" s="19" t="s">
        <v>9776</v>
      </c>
      <c r="S328" t="s">
        <v>9712</v>
      </c>
      <c r="U328" t="str">
        <f t="shared" si="15"/>
        <v>tak</v>
      </c>
    </row>
    <row r="329" spans="1:21">
      <c r="A329">
        <v>373</v>
      </c>
      <c r="B329" t="s">
        <v>1480</v>
      </c>
      <c r="C329" t="s">
        <v>1586</v>
      </c>
      <c r="D329" t="s">
        <v>1776</v>
      </c>
      <c r="E329" t="s">
        <v>1775</v>
      </c>
      <c r="F329" t="s">
        <v>1774</v>
      </c>
      <c r="G329" t="s">
        <v>1999</v>
      </c>
      <c r="H329" t="s">
        <v>2000</v>
      </c>
      <c r="I329" t="s">
        <v>8450</v>
      </c>
      <c r="K329" t="s">
        <v>165</v>
      </c>
      <c r="L329" t="s">
        <v>358</v>
      </c>
      <c r="N329" t="str">
        <f t="shared" si="14"/>
        <v>Szanowna Pani</v>
      </c>
      <c r="P329" s="19" t="s">
        <v>9776</v>
      </c>
      <c r="U329" t="str">
        <f t="shared" si="15"/>
        <v>tak</v>
      </c>
    </row>
    <row r="330" spans="1:21">
      <c r="A330">
        <v>374</v>
      </c>
      <c r="B330" t="s">
        <v>1480</v>
      </c>
      <c r="C330" t="s">
        <v>1588</v>
      </c>
      <c r="D330" t="s">
        <v>1777</v>
      </c>
      <c r="E330" t="s">
        <v>1589</v>
      </c>
      <c r="F330" t="s">
        <v>1590</v>
      </c>
      <c r="G330" t="s">
        <v>2001</v>
      </c>
      <c r="H330" t="s">
        <v>2002</v>
      </c>
      <c r="I330" t="s">
        <v>8451</v>
      </c>
      <c r="K330" t="s">
        <v>164</v>
      </c>
      <c r="L330" t="s">
        <v>358</v>
      </c>
      <c r="N330" t="str">
        <f t="shared" si="14"/>
        <v>Szanowna Pani</v>
      </c>
      <c r="O330" s="19" t="s">
        <v>9776</v>
      </c>
      <c r="U330" t="str">
        <f t="shared" si="15"/>
        <v>tak</v>
      </c>
    </row>
    <row r="331" spans="1:21">
      <c r="A331">
        <v>375</v>
      </c>
      <c r="B331" t="s">
        <v>1480</v>
      </c>
      <c r="C331" t="s">
        <v>1591</v>
      </c>
      <c r="D331" t="s">
        <v>1592</v>
      </c>
      <c r="E331" t="s">
        <v>1660</v>
      </c>
      <c r="F331" t="s">
        <v>1661</v>
      </c>
      <c r="G331" t="s">
        <v>1831</v>
      </c>
      <c r="H331" t="s">
        <v>2003</v>
      </c>
      <c r="I331" t="s">
        <v>8452</v>
      </c>
      <c r="K331" t="s">
        <v>165</v>
      </c>
      <c r="L331" t="s">
        <v>358</v>
      </c>
      <c r="N331" t="str">
        <f t="shared" si="14"/>
        <v>Szanowna Pani</v>
      </c>
      <c r="P331" s="19" t="s">
        <v>9776</v>
      </c>
      <c r="U331" t="str">
        <f t="shared" si="15"/>
        <v>tak</v>
      </c>
    </row>
    <row r="332" spans="1:21">
      <c r="A332">
        <v>376</v>
      </c>
      <c r="B332" t="s">
        <v>1480</v>
      </c>
      <c r="C332" t="s">
        <v>1593</v>
      </c>
      <c r="D332" t="s">
        <v>1778</v>
      </c>
      <c r="E332" t="s">
        <v>1594</v>
      </c>
      <c r="F332" t="s">
        <v>1595</v>
      </c>
      <c r="G332" t="s">
        <v>2004</v>
      </c>
      <c r="H332" t="s">
        <v>2005</v>
      </c>
      <c r="I332" t="s">
        <v>8453</v>
      </c>
      <c r="K332" t="s">
        <v>164</v>
      </c>
      <c r="L332" t="s">
        <v>358</v>
      </c>
      <c r="N332" t="str">
        <f t="shared" si="14"/>
        <v>Szanowna Pani</v>
      </c>
      <c r="O332" s="19" t="s">
        <v>9776</v>
      </c>
      <c r="U332" t="str">
        <f t="shared" si="15"/>
        <v>tak</v>
      </c>
    </row>
    <row r="333" spans="1:21">
      <c r="A333">
        <v>377</v>
      </c>
      <c r="B333" t="s">
        <v>1480</v>
      </c>
      <c r="C333" t="s">
        <v>1593</v>
      </c>
      <c r="D333" t="s">
        <v>1778</v>
      </c>
      <c r="E333" t="s">
        <v>1594</v>
      </c>
      <c r="F333" t="s">
        <v>1595</v>
      </c>
      <c r="G333" t="s">
        <v>2004</v>
      </c>
      <c r="H333" t="s">
        <v>2006</v>
      </c>
      <c r="I333" t="s">
        <v>8454</v>
      </c>
      <c r="K333" t="s">
        <v>165</v>
      </c>
      <c r="L333" t="s">
        <v>358</v>
      </c>
      <c r="N333" t="str">
        <f t="shared" si="14"/>
        <v>Szanowna Pani</v>
      </c>
      <c r="P333" s="19" t="s">
        <v>9776</v>
      </c>
      <c r="U333" t="str">
        <f t="shared" si="15"/>
        <v>tak</v>
      </c>
    </row>
    <row r="334" spans="1:21">
      <c r="A334">
        <v>378</v>
      </c>
      <c r="B334" t="s">
        <v>1480</v>
      </c>
      <c r="C334" t="s">
        <v>1596</v>
      </c>
      <c r="D334" t="s">
        <v>1597</v>
      </c>
      <c r="E334" t="s">
        <v>1780</v>
      </c>
      <c r="F334" t="s">
        <v>1779</v>
      </c>
      <c r="G334" t="s">
        <v>2007</v>
      </c>
      <c r="H334" t="s">
        <v>2008</v>
      </c>
      <c r="I334" t="s">
        <v>8455</v>
      </c>
      <c r="K334" t="s">
        <v>165</v>
      </c>
      <c r="L334" t="s">
        <v>358</v>
      </c>
      <c r="N334" t="str">
        <f t="shared" si="14"/>
        <v>Szanowna Pani</v>
      </c>
      <c r="P334" s="19" t="s">
        <v>9776</v>
      </c>
      <c r="U334" t="str">
        <f t="shared" si="15"/>
        <v>tak</v>
      </c>
    </row>
    <row r="335" spans="1:21">
      <c r="A335">
        <v>379</v>
      </c>
      <c r="B335" t="s">
        <v>1480</v>
      </c>
      <c r="C335" t="s">
        <v>1598</v>
      </c>
      <c r="D335" t="s">
        <v>1599</v>
      </c>
      <c r="E335" t="s">
        <v>1600</v>
      </c>
      <c r="F335" t="s">
        <v>1601</v>
      </c>
      <c r="G335" t="s">
        <v>2009</v>
      </c>
      <c r="H335" t="s">
        <v>2010</v>
      </c>
      <c r="I335" t="s">
        <v>8456</v>
      </c>
      <c r="K335" t="s">
        <v>1658</v>
      </c>
      <c r="L335" t="s">
        <v>358</v>
      </c>
      <c r="N335" t="str">
        <f t="shared" si="14"/>
        <v>Szanowna Pani</v>
      </c>
      <c r="P335" s="19" t="s">
        <v>9776</v>
      </c>
      <c r="U335" t="str">
        <f t="shared" si="15"/>
        <v>tak</v>
      </c>
    </row>
    <row r="336" spans="1:21">
      <c r="A336">
        <v>380</v>
      </c>
      <c r="B336" t="s">
        <v>1480</v>
      </c>
      <c r="C336" t="s">
        <v>1602</v>
      </c>
      <c r="D336" t="s">
        <v>1603</v>
      </c>
      <c r="E336" t="s">
        <v>1782</v>
      </c>
      <c r="F336" t="s">
        <v>1783</v>
      </c>
      <c r="G336" t="s">
        <v>2011</v>
      </c>
      <c r="H336" t="s">
        <v>2012</v>
      </c>
      <c r="I336" t="s">
        <v>8457</v>
      </c>
      <c r="K336" t="s">
        <v>164</v>
      </c>
      <c r="L336" t="s">
        <v>358</v>
      </c>
      <c r="N336" t="str">
        <f t="shared" si="14"/>
        <v>Szanowna Pani</v>
      </c>
      <c r="O336" s="19" t="s">
        <v>9776</v>
      </c>
      <c r="U336" t="str">
        <f t="shared" si="15"/>
        <v>tak</v>
      </c>
    </row>
    <row r="337" spans="1:21">
      <c r="A337">
        <v>381</v>
      </c>
      <c r="B337" t="s">
        <v>1480</v>
      </c>
      <c r="C337" t="s">
        <v>1602</v>
      </c>
      <c r="D337" t="s">
        <v>1603</v>
      </c>
      <c r="E337" t="s">
        <v>1782</v>
      </c>
      <c r="F337" t="s">
        <v>1783</v>
      </c>
      <c r="G337" t="s">
        <v>2011</v>
      </c>
      <c r="H337" t="s">
        <v>2013</v>
      </c>
      <c r="I337" t="s">
        <v>8458</v>
      </c>
      <c r="K337" t="s">
        <v>224</v>
      </c>
      <c r="L337" t="s">
        <v>358</v>
      </c>
      <c r="N337" t="str">
        <f t="shared" si="14"/>
        <v>Szanowna Pani</v>
      </c>
      <c r="Q337" s="19" t="s">
        <v>9776</v>
      </c>
      <c r="U337" t="str">
        <f t="shared" ref="U337:U372" si="16">+O337 &amp;P337&amp;Q337</f>
        <v>tak</v>
      </c>
    </row>
    <row r="338" spans="1:21">
      <c r="A338">
        <v>382</v>
      </c>
      <c r="B338" t="s">
        <v>1480</v>
      </c>
      <c r="C338" t="s">
        <v>1604</v>
      </c>
      <c r="D338" t="s">
        <v>1568</v>
      </c>
      <c r="E338" t="s">
        <v>1784</v>
      </c>
      <c r="F338" t="s">
        <v>1785</v>
      </c>
      <c r="G338" t="s">
        <v>2014</v>
      </c>
      <c r="H338" t="s">
        <v>2015</v>
      </c>
      <c r="I338" t="s">
        <v>8459</v>
      </c>
      <c r="K338" t="s">
        <v>164</v>
      </c>
      <c r="L338" t="s">
        <v>358</v>
      </c>
      <c r="N338" t="str">
        <f t="shared" si="14"/>
        <v>Szanowna Pani</v>
      </c>
      <c r="O338" s="19" t="s">
        <v>9776</v>
      </c>
      <c r="U338" t="str">
        <f t="shared" si="16"/>
        <v>tak</v>
      </c>
    </row>
    <row r="339" spans="1:21">
      <c r="A339">
        <v>383</v>
      </c>
      <c r="B339" t="s">
        <v>1480</v>
      </c>
      <c r="C339" t="s">
        <v>1604</v>
      </c>
      <c r="D339" t="s">
        <v>1568</v>
      </c>
      <c r="E339" t="s">
        <v>1605</v>
      </c>
      <c r="F339" t="s">
        <v>1606</v>
      </c>
      <c r="G339" t="s">
        <v>2016</v>
      </c>
      <c r="H339" t="s">
        <v>2017</v>
      </c>
      <c r="I339" t="s">
        <v>8460</v>
      </c>
      <c r="K339" t="s">
        <v>224</v>
      </c>
      <c r="L339" t="s">
        <v>358</v>
      </c>
      <c r="N339" t="str">
        <f t="shared" si="14"/>
        <v>Szanowna Pani</v>
      </c>
      <c r="Q339" s="19" t="s">
        <v>9776</v>
      </c>
      <c r="U339" t="str">
        <f t="shared" si="16"/>
        <v>tak</v>
      </c>
    </row>
    <row r="340" spans="1:21">
      <c r="A340">
        <v>384</v>
      </c>
      <c r="B340" t="s">
        <v>1480</v>
      </c>
      <c r="C340" t="s">
        <v>1607</v>
      </c>
      <c r="D340" t="s">
        <v>1608</v>
      </c>
      <c r="E340" t="s">
        <v>1786</v>
      </c>
      <c r="F340" t="s">
        <v>1742</v>
      </c>
      <c r="G340" t="s">
        <v>2018</v>
      </c>
      <c r="H340" t="s">
        <v>1949</v>
      </c>
      <c r="I340" t="s">
        <v>8461</v>
      </c>
      <c r="K340" t="s">
        <v>164</v>
      </c>
      <c r="L340" t="s">
        <v>358</v>
      </c>
      <c r="N340" t="str">
        <f t="shared" si="14"/>
        <v>Szanowna Pani</v>
      </c>
      <c r="O340" s="19" t="s">
        <v>9776</v>
      </c>
      <c r="U340" t="str">
        <f t="shared" si="16"/>
        <v>tak</v>
      </c>
    </row>
    <row r="341" spans="1:21">
      <c r="A341">
        <v>385</v>
      </c>
      <c r="B341" t="s">
        <v>1480</v>
      </c>
      <c r="C341" t="s">
        <v>1607</v>
      </c>
      <c r="D341" t="s">
        <v>1608</v>
      </c>
      <c r="E341" t="s">
        <v>1786</v>
      </c>
      <c r="F341" t="s">
        <v>1742</v>
      </c>
      <c r="G341" t="s">
        <v>2018</v>
      </c>
      <c r="H341" t="s">
        <v>2019</v>
      </c>
      <c r="I341" t="s">
        <v>8462</v>
      </c>
      <c r="K341" t="s">
        <v>1658</v>
      </c>
      <c r="L341" t="s">
        <v>358</v>
      </c>
      <c r="N341" t="str">
        <f t="shared" si="14"/>
        <v>Szanowna Pani</v>
      </c>
      <c r="P341" s="19" t="s">
        <v>9776</v>
      </c>
      <c r="U341" t="str">
        <f t="shared" si="16"/>
        <v>tak</v>
      </c>
    </row>
    <row r="342" spans="1:21">
      <c r="A342">
        <v>386</v>
      </c>
      <c r="B342" t="s">
        <v>1480</v>
      </c>
      <c r="C342" t="s">
        <v>1609</v>
      </c>
      <c r="D342" t="s">
        <v>1610</v>
      </c>
      <c r="E342" t="s">
        <v>1787</v>
      </c>
      <c r="F342" t="s">
        <v>1788</v>
      </c>
      <c r="G342" t="s">
        <v>2020</v>
      </c>
      <c r="H342" t="s">
        <v>2021</v>
      </c>
      <c r="I342" s="15" t="s">
        <v>9752</v>
      </c>
      <c r="K342" t="s">
        <v>164</v>
      </c>
      <c r="L342" t="s">
        <v>358</v>
      </c>
      <c r="N342" t="str">
        <f t="shared" ref="N342:N405" si="17">IF(ISERROR(FIND(",",H342)),IF(MID(H342,FIND(" ",H342)-1,1)="a","Szanowna Pani","Szanowny Pan"), "Szanowne Panie")</f>
        <v>Szanowna Pani</v>
      </c>
      <c r="O342" s="19" t="s">
        <v>9776</v>
      </c>
      <c r="U342" t="str">
        <f t="shared" si="16"/>
        <v>tak</v>
      </c>
    </row>
    <row r="343" spans="1:21">
      <c r="A343">
        <v>387</v>
      </c>
      <c r="B343" t="s">
        <v>1480</v>
      </c>
      <c r="C343" t="s">
        <v>1609</v>
      </c>
      <c r="D343" t="s">
        <v>1610</v>
      </c>
      <c r="E343" t="s">
        <v>1787</v>
      </c>
      <c r="F343" t="s">
        <v>1788</v>
      </c>
      <c r="G343" t="s">
        <v>2020</v>
      </c>
      <c r="H343" t="s">
        <v>2022</v>
      </c>
      <c r="I343" t="s">
        <v>8463</v>
      </c>
      <c r="K343" t="s">
        <v>165</v>
      </c>
      <c r="L343" t="s">
        <v>358</v>
      </c>
      <c r="N343" t="str">
        <f t="shared" si="17"/>
        <v>Szanowna Pani</v>
      </c>
      <c r="P343" s="19" t="s">
        <v>9776</v>
      </c>
      <c r="U343" t="str">
        <f t="shared" si="16"/>
        <v>tak</v>
      </c>
    </row>
    <row r="344" spans="1:21">
      <c r="A344">
        <v>388</v>
      </c>
      <c r="B344" t="s">
        <v>1480</v>
      </c>
      <c r="C344" t="s">
        <v>1611</v>
      </c>
      <c r="D344" t="s">
        <v>1612</v>
      </c>
      <c r="E344" t="s">
        <v>1790</v>
      </c>
      <c r="F344" t="s">
        <v>1789</v>
      </c>
      <c r="G344" t="s">
        <v>2023</v>
      </c>
      <c r="H344" t="s">
        <v>2024</v>
      </c>
      <c r="I344" t="s">
        <v>8464</v>
      </c>
      <c r="K344" t="s">
        <v>165</v>
      </c>
      <c r="L344" t="s">
        <v>358</v>
      </c>
      <c r="N344" t="str">
        <f t="shared" si="17"/>
        <v>Szanowna Pani</v>
      </c>
      <c r="P344" s="19" t="s">
        <v>9776</v>
      </c>
      <c r="U344" t="str">
        <f t="shared" si="16"/>
        <v>tak</v>
      </c>
    </row>
    <row r="345" spans="1:21">
      <c r="A345">
        <v>389</v>
      </c>
      <c r="B345" t="s">
        <v>1480</v>
      </c>
      <c r="C345" t="s">
        <v>1613</v>
      </c>
      <c r="D345" t="s">
        <v>1614</v>
      </c>
      <c r="E345" t="s">
        <v>1791</v>
      </c>
      <c r="F345" t="s">
        <v>1792</v>
      </c>
      <c r="G345" t="s">
        <v>2025</v>
      </c>
      <c r="H345" t="s">
        <v>2026</v>
      </c>
      <c r="I345" t="s">
        <v>8465</v>
      </c>
      <c r="K345" t="s">
        <v>164</v>
      </c>
      <c r="L345" t="s">
        <v>358</v>
      </c>
      <c r="N345" t="str">
        <f t="shared" si="17"/>
        <v>Szanowne Panie</v>
      </c>
      <c r="O345" s="19" t="s">
        <v>9776</v>
      </c>
      <c r="U345" t="str">
        <f t="shared" si="16"/>
        <v>tak</v>
      </c>
    </row>
    <row r="346" spans="1:21">
      <c r="A346">
        <v>390</v>
      </c>
      <c r="B346" t="s">
        <v>1480</v>
      </c>
      <c r="C346" t="s">
        <v>1615</v>
      </c>
      <c r="D346" t="s">
        <v>1616</v>
      </c>
      <c r="E346" t="s">
        <v>1617</v>
      </c>
      <c r="F346" t="s">
        <v>1618</v>
      </c>
      <c r="G346" t="s">
        <v>2027</v>
      </c>
      <c r="H346" t="s">
        <v>2028</v>
      </c>
      <c r="I346" t="s">
        <v>8466</v>
      </c>
      <c r="K346" t="s">
        <v>164</v>
      </c>
      <c r="L346" t="s">
        <v>358</v>
      </c>
      <c r="N346" t="str">
        <f t="shared" si="17"/>
        <v>Szanowna Pani</v>
      </c>
      <c r="O346" s="19" t="s">
        <v>9776</v>
      </c>
      <c r="U346" t="str">
        <f t="shared" si="16"/>
        <v>tak</v>
      </c>
    </row>
    <row r="347" spans="1:21">
      <c r="A347">
        <v>391</v>
      </c>
      <c r="B347" t="s">
        <v>1480</v>
      </c>
      <c r="C347" t="s">
        <v>1619</v>
      </c>
      <c r="D347" t="s">
        <v>1620</v>
      </c>
      <c r="E347" t="s">
        <v>1621</v>
      </c>
      <c r="F347" t="s">
        <v>1622</v>
      </c>
      <c r="G347" t="s">
        <v>2029</v>
      </c>
      <c r="H347" t="s">
        <v>2030</v>
      </c>
      <c r="I347" t="s">
        <v>8467</v>
      </c>
      <c r="K347" t="s">
        <v>164</v>
      </c>
      <c r="L347" t="s">
        <v>165</v>
      </c>
      <c r="N347" t="str">
        <f t="shared" si="17"/>
        <v>Szanowna Pani</v>
      </c>
      <c r="O347" s="19" t="s">
        <v>9776</v>
      </c>
      <c r="U347" t="str">
        <f t="shared" si="16"/>
        <v>tak</v>
      </c>
    </row>
    <row r="348" spans="1:21">
      <c r="A348">
        <v>392</v>
      </c>
      <c r="B348" t="s">
        <v>1480</v>
      </c>
      <c r="C348" t="s">
        <v>1623</v>
      </c>
      <c r="D348" t="s">
        <v>1624</v>
      </c>
      <c r="E348" t="s">
        <v>1793</v>
      </c>
      <c r="F348" t="s">
        <v>1794</v>
      </c>
      <c r="G348" t="s">
        <v>2031</v>
      </c>
      <c r="H348" t="s">
        <v>2032</v>
      </c>
      <c r="I348" t="s">
        <v>8468</v>
      </c>
      <c r="K348" t="s">
        <v>164</v>
      </c>
      <c r="L348" t="s">
        <v>358</v>
      </c>
      <c r="N348" t="str">
        <f t="shared" si="17"/>
        <v>Szanowna Pani</v>
      </c>
      <c r="O348" s="19" t="s">
        <v>9776</v>
      </c>
      <c r="U348" t="str">
        <f t="shared" si="16"/>
        <v>tak</v>
      </c>
    </row>
    <row r="349" spans="1:21">
      <c r="A349">
        <v>393</v>
      </c>
      <c r="B349" t="s">
        <v>1480</v>
      </c>
      <c r="C349" t="s">
        <v>1623</v>
      </c>
      <c r="D349" t="s">
        <v>1624</v>
      </c>
      <c r="E349" t="s">
        <v>1793</v>
      </c>
      <c r="F349" t="s">
        <v>1794</v>
      </c>
      <c r="G349" t="s">
        <v>2031</v>
      </c>
      <c r="H349" t="s">
        <v>2033</v>
      </c>
      <c r="I349" t="s">
        <v>8469</v>
      </c>
      <c r="K349" t="s">
        <v>224</v>
      </c>
      <c r="L349" t="s">
        <v>358</v>
      </c>
      <c r="N349" t="str">
        <f t="shared" si="17"/>
        <v>Szanowna Pani</v>
      </c>
      <c r="Q349" s="19" t="s">
        <v>9776</v>
      </c>
      <c r="U349" t="str">
        <f t="shared" si="16"/>
        <v>tak</v>
      </c>
    </row>
    <row r="350" spans="1:21">
      <c r="A350">
        <v>394</v>
      </c>
      <c r="B350" t="s">
        <v>1480</v>
      </c>
      <c r="C350" t="s">
        <v>1625</v>
      </c>
      <c r="D350" t="s">
        <v>1796</v>
      </c>
      <c r="E350" t="s">
        <v>1795</v>
      </c>
      <c r="F350" t="s">
        <v>1661</v>
      </c>
      <c r="G350" t="s">
        <v>2034</v>
      </c>
      <c r="H350" t="s">
        <v>2035</v>
      </c>
      <c r="I350" t="s">
        <v>8470</v>
      </c>
      <c r="K350" t="s">
        <v>224</v>
      </c>
      <c r="L350" t="s">
        <v>358</v>
      </c>
      <c r="N350" t="str">
        <f t="shared" si="17"/>
        <v>Szanowna Pani</v>
      </c>
      <c r="Q350" s="19" t="s">
        <v>9776</v>
      </c>
      <c r="U350" t="str">
        <f t="shared" si="16"/>
        <v>tak</v>
      </c>
    </row>
    <row r="351" spans="1:21">
      <c r="A351">
        <v>395</v>
      </c>
      <c r="B351" t="s">
        <v>1480</v>
      </c>
      <c r="C351" t="s">
        <v>1626</v>
      </c>
      <c r="D351" t="s">
        <v>1627</v>
      </c>
      <c r="E351" t="s">
        <v>1797</v>
      </c>
      <c r="F351" t="s">
        <v>1798</v>
      </c>
      <c r="G351" t="s">
        <v>2036</v>
      </c>
      <c r="H351" t="s">
        <v>2037</v>
      </c>
      <c r="I351" t="s">
        <v>8471</v>
      </c>
      <c r="K351" t="s">
        <v>164</v>
      </c>
      <c r="L351" t="s">
        <v>358</v>
      </c>
      <c r="N351" t="s">
        <v>2208</v>
      </c>
      <c r="O351" s="19" t="s">
        <v>9776</v>
      </c>
      <c r="U351" t="str">
        <f t="shared" si="16"/>
        <v>tak</v>
      </c>
    </row>
    <row r="352" spans="1:21">
      <c r="A352">
        <v>396</v>
      </c>
      <c r="B352" t="s">
        <v>1480</v>
      </c>
      <c r="C352" t="s">
        <v>1626</v>
      </c>
      <c r="D352" t="s">
        <v>1627</v>
      </c>
      <c r="E352" t="s">
        <v>1628</v>
      </c>
      <c r="F352" t="s">
        <v>1629</v>
      </c>
      <c r="G352" t="s">
        <v>2038</v>
      </c>
      <c r="H352" t="s">
        <v>2039</v>
      </c>
      <c r="I352" t="s">
        <v>8472</v>
      </c>
      <c r="K352" t="s">
        <v>165</v>
      </c>
      <c r="L352" t="s">
        <v>358</v>
      </c>
      <c r="N352" t="str">
        <f t="shared" si="17"/>
        <v>Szanowna Pani</v>
      </c>
      <c r="P352" s="19" t="s">
        <v>9776</v>
      </c>
      <c r="U352" t="str">
        <f t="shared" si="16"/>
        <v>tak</v>
      </c>
    </row>
    <row r="353" spans="1:21">
      <c r="A353">
        <v>397</v>
      </c>
      <c r="B353" t="s">
        <v>1480</v>
      </c>
      <c r="C353" t="s">
        <v>1630</v>
      </c>
      <c r="D353" t="s">
        <v>1631</v>
      </c>
      <c r="E353" t="s">
        <v>1799</v>
      </c>
      <c r="F353" t="s">
        <v>1800</v>
      </c>
      <c r="G353" t="s">
        <v>2040</v>
      </c>
      <c r="H353" t="s">
        <v>2041</v>
      </c>
      <c r="I353" t="s">
        <v>8473</v>
      </c>
      <c r="K353" t="s">
        <v>224</v>
      </c>
      <c r="L353" t="s">
        <v>358</v>
      </c>
      <c r="N353" t="str">
        <f t="shared" si="17"/>
        <v>Szanowna Pani</v>
      </c>
      <c r="Q353" s="19" t="s">
        <v>9776</v>
      </c>
      <c r="U353" t="str">
        <f t="shared" si="16"/>
        <v>tak</v>
      </c>
    </row>
    <row r="354" spans="1:21">
      <c r="A354">
        <v>398</v>
      </c>
      <c r="B354" t="s">
        <v>1480</v>
      </c>
      <c r="C354" t="s">
        <v>1632</v>
      </c>
      <c r="D354" t="s">
        <v>1633</v>
      </c>
      <c r="E354" t="s">
        <v>1440</v>
      </c>
      <c r="F354" t="s">
        <v>1634</v>
      </c>
      <c r="G354" t="s">
        <v>2042</v>
      </c>
      <c r="H354" t="s">
        <v>2043</v>
      </c>
      <c r="I354" t="s">
        <v>8474</v>
      </c>
      <c r="K354" t="s">
        <v>1658</v>
      </c>
      <c r="L354" t="s">
        <v>358</v>
      </c>
      <c r="N354" t="str">
        <f t="shared" si="17"/>
        <v>Szanowna Pani</v>
      </c>
      <c r="P354" s="19" t="s">
        <v>9776</v>
      </c>
      <c r="U354" t="str">
        <f t="shared" si="16"/>
        <v>tak</v>
      </c>
    </row>
    <row r="355" spans="1:21">
      <c r="A355">
        <v>399</v>
      </c>
      <c r="B355" t="s">
        <v>1480</v>
      </c>
      <c r="C355" t="s">
        <v>1635</v>
      </c>
      <c r="D355" t="s">
        <v>1636</v>
      </c>
      <c r="E355" t="s">
        <v>1801</v>
      </c>
      <c r="F355" t="s">
        <v>1802</v>
      </c>
      <c r="G355" t="s">
        <v>2044</v>
      </c>
      <c r="H355" t="s">
        <v>2045</v>
      </c>
      <c r="I355" t="s">
        <v>8475</v>
      </c>
      <c r="K355" t="s">
        <v>164</v>
      </c>
      <c r="L355" t="s">
        <v>358</v>
      </c>
      <c r="N355" t="str">
        <f t="shared" si="17"/>
        <v>Szanowna Pani</v>
      </c>
      <c r="O355" s="19" t="s">
        <v>9776</v>
      </c>
      <c r="U355" t="str">
        <f t="shared" si="16"/>
        <v>tak</v>
      </c>
    </row>
    <row r="356" spans="1:21">
      <c r="A356">
        <v>400</v>
      </c>
      <c r="B356" t="s">
        <v>1480</v>
      </c>
      <c r="C356" t="s">
        <v>1637</v>
      </c>
      <c r="D356" t="s">
        <v>1638</v>
      </c>
      <c r="E356" t="s">
        <v>1803</v>
      </c>
      <c r="F356" t="s">
        <v>1804</v>
      </c>
      <c r="G356" t="s">
        <v>2046</v>
      </c>
      <c r="H356" t="s">
        <v>2047</v>
      </c>
      <c r="I356" t="s">
        <v>8476</v>
      </c>
      <c r="K356" t="s">
        <v>164</v>
      </c>
      <c r="L356" t="s">
        <v>1658</v>
      </c>
      <c r="N356" t="str">
        <f t="shared" si="17"/>
        <v>Szanowna Pani</v>
      </c>
      <c r="O356" s="19" t="s">
        <v>9776</v>
      </c>
      <c r="U356" t="str">
        <f t="shared" si="16"/>
        <v>tak</v>
      </c>
    </row>
    <row r="357" spans="1:21">
      <c r="A357">
        <v>401</v>
      </c>
      <c r="B357" t="s">
        <v>1480</v>
      </c>
      <c r="C357" t="s">
        <v>1639</v>
      </c>
      <c r="D357" t="s">
        <v>1640</v>
      </c>
      <c r="E357" t="s">
        <v>1805</v>
      </c>
      <c r="F357" t="s">
        <v>1806</v>
      </c>
      <c r="G357" t="s">
        <v>2048</v>
      </c>
      <c r="H357" t="s">
        <v>2049</v>
      </c>
      <c r="I357" t="s">
        <v>8477</v>
      </c>
      <c r="K357" t="s">
        <v>164</v>
      </c>
      <c r="L357" t="s">
        <v>358</v>
      </c>
      <c r="N357" t="str">
        <f t="shared" si="17"/>
        <v>Szanowna Pani</v>
      </c>
      <c r="O357" s="19" t="s">
        <v>9776</v>
      </c>
      <c r="U357" t="str">
        <f t="shared" si="16"/>
        <v>tak</v>
      </c>
    </row>
    <row r="358" spans="1:21">
      <c r="A358">
        <v>402</v>
      </c>
      <c r="B358" t="s">
        <v>1480</v>
      </c>
      <c r="C358" t="s">
        <v>1639</v>
      </c>
      <c r="D358" t="s">
        <v>1640</v>
      </c>
      <c r="E358" t="s">
        <v>1805</v>
      </c>
      <c r="F358" t="s">
        <v>1806</v>
      </c>
      <c r="G358" t="s">
        <v>2048</v>
      </c>
      <c r="H358" t="s">
        <v>2050</v>
      </c>
      <c r="I358" t="s">
        <v>8478</v>
      </c>
      <c r="K358" t="s">
        <v>165</v>
      </c>
      <c r="L358" t="s">
        <v>358</v>
      </c>
      <c r="N358" t="str">
        <f t="shared" si="17"/>
        <v>Szanowna Pani</v>
      </c>
      <c r="P358" s="19" t="s">
        <v>9776</v>
      </c>
      <c r="U358" t="str">
        <f t="shared" si="16"/>
        <v>tak</v>
      </c>
    </row>
    <row r="359" spans="1:21">
      <c r="A359">
        <v>403</v>
      </c>
      <c r="B359" t="s">
        <v>1480</v>
      </c>
      <c r="C359" t="s">
        <v>1641</v>
      </c>
      <c r="D359" t="s">
        <v>1642</v>
      </c>
      <c r="E359" t="s">
        <v>1807</v>
      </c>
      <c r="F359" t="s">
        <v>1808</v>
      </c>
      <c r="G359" t="s">
        <v>2051</v>
      </c>
      <c r="H359" t="s">
        <v>2052</v>
      </c>
      <c r="I359" t="s">
        <v>8479</v>
      </c>
      <c r="K359" t="s">
        <v>165</v>
      </c>
      <c r="L359" t="s">
        <v>358</v>
      </c>
      <c r="N359" t="str">
        <f t="shared" si="17"/>
        <v>Szanowna Pani</v>
      </c>
      <c r="P359" s="19" t="s">
        <v>9776</v>
      </c>
      <c r="U359" t="str">
        <f t="shared" si="16"/>
        <v>tak</v>
      </c>
    </row>
    <row r="360" spans="1:21">
      <c r="A360">
        <v>404</v>
      </c>
      <c r="B360" t="s">
        <v>1480</v>
      </c>
      <c r="C360" t="s">
        <v>1643</v>
      </c>
      <c r="D360" t="s">
        <v>1644</v>
      </c>
      <c r="E360" t="s">
        <v>1809</v>
      </c>
      <c r="F360" t="s">
        <v>1810</v>
      </c>
      <c r="G360" t="s">
        <v>2053</v>
      </c>
      <c r="H360" t="s">
        <v>2054</v>
      </c>
      <c r="I360" t="s">
        <v>8480</v>
      </c>
      <c r="K360" t="s">
        <v>164</v>
      </c>
      <c r="L360" t="s">
        <v>358</v>
      </c>
      <c r="N360" t="str">
        <f t="shared" si="17"/>
        <v>Szanowna Pani</v>
      </c>
      <c r="O360" s="19" t="s">
        <v>9776</v>
      </c>
      <c r="U360" t="str">
        <f t="shared" si="16"/>
        <v>tak</v>
      </c>
    </row>
    <row r="361" spans="1:21">
      <c r="A361">
        <v>405</v>
      </c>
      <c r="B361" t="s">
        <v>1480</v>
      </c>
      <c r="C361" t="s">
        <v>1645</v>
      </c>
      <c r="D361" t="s">
        <v>1811</v>
      </c>
      <c r="E361" t="s">
        <v>1812</v>
      </c>
      <c r="F361" t="s">
        <v>1813</v>
      </c>
      <c r="G361" t="s">
        <v>2055</v>
      </c>
      <c r="H361" t="s">
        <v>2056</v>
      </c>
      <c r="I361" t="s">
        <v>8481</v>
      </c>
      <c r="K361" t="s">
        <v>1658</v>
      </c>
      <c r="L361" t="s">
        <v>358</v>
      </c>
      <c r="N361" t="str">
        <f t="shared" si="17"/>
        <v>Szanowna Pani</v>
      </c>
      <c r="P361" s="19" t="s">
        <v>9776</v>
      </c>
      <c r="U361" t="str">
        <f t="shared" si="16"/>
        <v>tak</v>
      </c>
    </row>
    <row r="362" spans="1:21">
      <c r="A362">
        <v>406</v>
      </c>
      <c r="B362" t="s">
        <v>1480</v>
      </c>
      <c r="C362" t="s">
        <v>1646</v>
      </c>
      <c r="D362" t="s">
        <v>1647</v>
      </c>
      <c r="E362" t="s">
        <v>1814</v>
      </c>
      <c r="F362" t="s">
        <v>1815</v>
      </c>
      <c r="G362" t="s">
        <v>2057</v>
      </c>
      <c r="H362" t="s">
        <v>2058</v>
      </c>
      <c r="I362" t="s">
        <v>8482</v>
      </c>
      <c r="K362" t="s">
        <v>1658</v>
      </c>
      <c r="L362" t="s">
        <v>358</v>
      </c>
      <c r="N362" t="str">
        <f t="shared" si="17"/>
        <v>Szanowna Pani</v>
      </c>
      <c r="P362" s="19" t="s">
        <v>9776</v>
      </c>
      <c r="U362" t="str">
        <f t="shared" si="16"/>
        <v>tak</v>
      </c>
    </row>
    <row r="363" spans="1:21">
      <c r="A363">
        <v>407</v>
      </c>
      <c r="B363" t="s">
        <v>1480</v>
      </c>
      <c r="C363" t="s">
        <v>1648</v>
      </c>
      <c r="D363" t="s">
        <v>1649</v>
      </c>
      <c r="E363" t="s">
        <v>1816</v>
      </c>
      <c r="F363" t="s">
        <v>1817</v>
      </c>
      <c r="G363" t="s">
        <v>2059</v>
      </c>
      <c r="H363" t="s">
        <v>2060</v>
      </c>
      <c r="I363" t="s">
        <v>8483</v>
      </c>
      <c r="K363" t="s">
        <v>164</v>
      </c>
      <c r="L363" t="s">
        <v>358</v>
      </c>
      <c r="N363" t="str">
        <f t="shared" si="17"/>
        <v>Szanowne Panie</v>
      </c>
      <c r="O363" s="19" t="s">
        <v>9776</v>
      </c>
      <c r="U363" t="str">
        <f t="shared" si="16"/>
        <v>tak</v>
      </c>
    </row>
    <row r="364" spans="1:21">
      <c r="A364">
        <v>408</v>
      </c>
      <c r="B364" t="s">
        <v>1480</v>
      </c>
      <c r="C364" t="s">
        <v>1648</v>
      </c>
      <c r="D364" t="s">
        <v>1650</v>
      </c>
      <c r="E364" t="s">
        <v>1651</v>
      </c>
      <c r="F364" t="s">
        <v>1652</v>
      </c>
      <c r="G364" t="s">
        <v>2061</v>
      </c>
      <c r="H364" t="s">
        <v>2062</v>
      </c>
      <c r="I364" t="s">
        <v>8484</v>
      </c>
      <c r="K364" t="s">
        <v>164</v>
      </c>
      <c r="L364" t="s">
        <v>358</v>
      </c>
      <c r="N364" t="str">
        <f t="shared" si="17"/>
        <v>Szanowna Pani</v>
      </c>
      <c r="O364" s="19" t="s">
        <v>9776</v>
      </c>
      <c r="U364" t="str">
        <f t="shared" si="16"/>
        <v>tak</v>
      </c>
    </row>
    <row r="365" spans="1:21">
      <c r="A365">
        <v>409</v>
      </c>
      <c r="B365" t="s">
        <v>1480</v>
      </c>
      <c r="C365" t="s">
        <v>1653</v>
      </c>
      <c r="D365" t="s">
        <v>1654</v>
      </c>
      <c r="E365" t="s">
        <v>1818</v>
      </c>
      <c r="F365" t="s">
        <v>1826</v>
      </c>
      <c r="G365" t="s">
        <v>2063</v>
      </c>
      <c r="H365" t="s">
        <v>2064</v>
      </c>
      <c r="I365" t="s">
        <v>8485</v>
      </c>
      <c r="K365" t="s">
        <v>164</v>
      </c>
      <c r="L365" t="s">
        <v>1658</v>
      </c>
      <c r="N365" t="str">
        <f t="shared" si="17"/>
        <v>Szanowna Pani</v>
      </c>
      <c r="O365" s="19" t="s">
        <v>9776</v>
      </c>
      <c r="U365" t="str">
        <f t="shared" si="16"/>
        <v>tak</v>
      </c>
    </row>
    <row r="366" spans="1:21">
      <c r="A366">
        <v>410</v>
      </c>
      <c r="B366" t="s">
        <v>1480</v>
      </c>
      <c r="C366" t="s">
        <v>1655</v>
      </c>
      <c r="D366" t="s">
        <v>1819</v>
      </c>
      <c r="E366" t="s">
        <v>1820</v>
      </c>
      <c r="F366" t="s">
        <v>1738</v>
      </c>
      <c r="G366" t="s">
        <v>2065</v>
      </c>
      <c r="H366" t="s">
        <v>2066</v>
      </c>
      <c r="I366" t="s">
        <v>8486</v>
      </c>
      <c r="K366" t="s">
        <v>164</v>
      </c>
      <c r="L366" t="s">
        <v>358</v>
      </c>
      <c r="N366" t="str">
        <f t="shared" si="17"/>
        <v>Szanowna Pani</v>
      </c>
      <c r="O366" s="19" t="s">
        <v>9776</v>
      </c>
      <c r="U366" t="str">
        <f t="shared" si="16"/>
        <v>tak</v>
      </c>
    </row>
    <row r="367" spans="1:21">
      <c r="A367">
        <v>411</v>
      </c>
      <c r="B367" t="s">
        <v>1480</v>
      </c>
      <c r="C367" t="s">
        <v>1655</v>
      </c>
      <c r="D367" t="s">
        <v>1821</v>
      </c>
      <c r="E367" t="s">
        <v>1822</v>
      </c>
      <c r="F367" t="s">
        <v>1738</v>
      </c>
      <c r="G367" t="s">
        <v>2065</v>
      </c>
      <c r="H367" t="s">
        <v>2067</v>
      </c>
      <c r="I367" t="s">
        <v>8487</v>
      </c>
      <c r="K367" t="s">
        <v>165</v>
      </c>
      <c r="L367" t="s">
        <v>358</v>
      </c>
      <c r="N367" t="str">
        <f t="shared" si="17"/>
        <v>Szanowna Pani</v>
      </c>
      <c r="P367" s="19" t="s">
        <v>9776</v>
      </c>
      <c r="U367" t="str">
        <f t="shared" si="16"/>
        <v>tak</v>
      </c>
    </row>
    <row r="368" spans="1:21">
      <c r="A368">
        <v>412</v>
      </c>
      <c r="B368" t="s">
        <v>1480</v>
      </c>
      <c r="C368" t="s">
        <v>1656</v>
      </c>
      <c r="D368" t="s">
        <v>1824</v>
      </c>
      <c r="E368" t="s">
        <v>1823</v>
      </c>
      <c r="F368" t="s">
        <v>1825</v>
      </c>
      <c r="G368" t="s">
        <v>2068</v>
      </c>
      <c r="H368" t="s">
        <v>2069</v>
      </c>
      <c r="I368" t="s">
        <v>8488</v>
      </c>
      <c r="K368" t="s">
        <v>224</v>
      </c>
      <c r="L368" t="s">
        <v>358</v>
      </c>
      <c r="N368" t="str">
        <f t="shared" si="17"/>
        <v>Szanowna Pani</v>
      </c>
      <c r="Q368" s="19" t="s">
        <v>9776</v>
      </c>
      <c r="U368" t="str">
        <f t="shared" si="16"/>
        <v>tak</v>
      </c>
    </row>
    <row r="369" spans="1:21">
      <c r="A369">
        <v>413</v>
      </c>
      <c r="B369" t="s">
        <v>2154</v>
      </c>
      <c r="C369" t="s">
        <v>2209</v>
      </c>
      <c r="D369" t="s">
        <v>2214</v>
      </c>
      <c r="E369" t="s">
        <v>2236</v>
      </c>
      <c r="F369" t="s">
        <v>2070</v>
      </c>
      <c r="G369" t="s">
        <v>2213</v>
      </c>
      <c r="H369" t="s">
        <v>2235</v>
      </c>
      <c r="I369" t="s">
        <v>2212</v>
      </c>
      <c r="K369" t="s">
        <v>224</v>
      </c>
      <c r="N369" t="str">
        <f t="shared" si="17"/>
        <v>Szanowna Pani</v>
      </c>
      <c r="Q369" s="19" t="s">
        <v>9776</v>
      </c>
      <c r="U369" t="str">
        <f t="shared" si="16"/>
        <v>tak</v>
      </c>
    </row>
    <row r="370" spans="1:21">
      <c r="A370">
        <v>414</v>
      </c>
      <c r="B370" t="s">
        <v>2154</v>
      </c>
      <c r="C370" t="s">
        <v>2210</v>
      </c>
      <c r="D370" t="s">
        <v>251</v>
      </c>
      <c r="E370" t="s">
        <v>2071</v>
      </c>
      <c r="F370" t="s">
        <v>2072</v>
      </c>
      <c r="G370" t="s">
        <v>2215</v>
      </c>
      <c r="H370" t="s">
        <v>2237</v>
      </c>
      <c r="I370" t="s">
        <v>8489</v>
      </c>
      <c r="K370" t="s">
        <v>164</v>
      </c>
      <c r="N370" t="str">
        <f t="shared" si="17"/>
        <v>Szanowne Panie</v>
      </c>
      <c r="O370" s="19" t="s">
        <v>9776</v>
      </c>
      <c r="U370" t="str">
        <f t="shared" si="16"/>
        <v>tak</v>
      </c>
    </row>
    <row r="371" spans="1:21">
      <c r="A371">
        <v>415</v>
      </c>
      <c r="B371" t="s">
        <v>2154</v>
      </c>
      <c r="C371" t="s">
        <v>2210</v>
      </c>
      <c r="D371" t="s">
        <v>2073</v>
      </c>
      <c r="E371" t="s">
        <v>2074</v>
      </c>
      <c r="F371" t="s">
        <v>2072</v>
      </c>
      <c r="G371" t="s">
        <v>2216</v>
      </c>
      <c r="H371" t="s">
        <v>2238</v>
      </c>
      <c r="I371" t="s">
        <v>8490</v>
      </c>
      <c r="K371" t="s">
        <v>224</v>
      </c>
      <c r="N371" t="str">
        <f t="shared" si="17"/>
        <v>Szanowna Pani</v>
      </c>
      <c r="Q371" s="19" t="s">
        <v>9776</v>
      </c>
      <c r="U371" t="str">
        <f t="shared" si="16"/>
        <v>tak</v>
      </c>
    </row>
    <row r="372" spans="1:21">
      <c r="A372">
        <v>416</v>
      </c>
      <c r="B372" t="s">
        <v>2154</v>
      </c>
      <c r="C372" t="s">
        <v>2075</v>
      </c>
      <c r="D372" t="s">
        <v>2076</v>
      </c>
      <c r="E372" t="s">
        <v>2077</v>
      </c>
      <c r="F372" t="s">
        <v>2218</v>
      </c>
      <c r="G372" t="s">
        <v>2217</v>
      </c>
      <c r="H372" t="s">
        <v>2239</v>
      </c>
      <c r="I372" t="s">
        <v>8491</v>
      </c>
      <c r="K372" t="s">
        <v>164</v>
      </c>
      <c r="N372" t="str">
        <f t="shared" si="17"/>
        <v>Szanowna Pani</v>
      </c>
      <c r="O372" s="19" t="s">
        <v>9776</v>
      </c>
      <c r="U372" t="str">
        <f t="shared" si="16"/>
        <v>tak</v>
      </c>
    </row>
    <row r="373" spans="1:21">
      <c r="A373">
        <v>417</v>
      </c>
      <c r="B373" t="s">
        <v>2154</v>
      </c>
      <c r="C373" t="s">
        <v>2078</v>
      </c>
      <c r="D373" t="s">
        <v>2079</v>
      </c>
      <c r="E373" t="s">
        <v>2080</v>
      </c>
      <c r="F373" t="s">
        <v>2220</v>
      </c>
      <c r="G373" t="s">
        <v>2219</v>
      </c>
      <c r="H373" t="s">
        <v>2240</v>
      </c>
      <c r="I373" t="s">
        <v>8492</v>
      </c>
      <c r="K373" t="s">
        <v>164</v>
      </c>
      <c r="N373" t="str">
        <f t="shared" si="17"/>
        <v>Szanowna Pani</v>
      </c>
      <c r="O373" s="19" t="s">
        <v>9776</v>
      </c>
      <c r="U373" t="str">
        <f t="shared" ref="U373:U408" si="18">+O373 &amp;P373&amp;Q373</f>
        <v>tak</v>
      </c>
    </row>
    <row r="374" spans="1:21">
      <c r="A374">
        <v>418</v>
      </c>
      <c r="B374" t="s">
        <v>2154</v>
      </c>
      <c r="C374" t="s">
        <v>2081</v>
      </c>
      <c r="D374" t="s">
        <v>2082</v>
      </c>
      <c r="E374" t="s">
        <v>2083</v>
      </c>
      <c r="F374" t="s">
        <v>2222</v>
      </c>
      <c r="G374" t="s">
        <v>2221</v>
      </c>
      <c r="H374" t="s">
        <v>2241</v>
      </c>
      <c r="I374" t="s">
        <v>8493</v>
      </c>
      <c r="K374" t="s">
        <v>164</v>
      </c>
      <c r="N374" t="str">
        <f t="shared" si="17"/>
        <v>Szanowna Pani</v>
      </c>
      <c r="O374" s="19" t="s">
        <v>9776</v>
      </c>
      <c r="U374" t="str">
        <f t="shared" si="18"/>
        <v>tak</v>
      </c>
    </row>
    <row r="375" spans="1:21">
      <c r="A375">
        <v>419</v>
      </c>
      <c r="B375" t="s">
        <v>2154</v>
      </c>
      <c r="C375" t="s">
        <v>2084</v>
      </c>
      <c r="D375" t="s">
        <v>2085</v>
      </c>
      <c r="E375" t="s">
        <v>2086</v>
      </c>
      <c r="F375" t="s">
        <v>2224</v>
      </c>
      <c r="G375" t="s">
        <v>2223</v>
      </c>
      <c r="H375" t="s">
        <v>2242</v>
      </c>
      <c r="I375" t="s">
        <v>8494</v>
      </c>
      <c r="K375" t="s">
        <v>164</v>
      </c>
      <c r="N375" t="str">
        <f t="shared" si="17"/>
        <v>Szanowna Pani</v>
      </c>
      <c r="O375" s="19" t="s">
        <v>9776</v>
      </c>
      <c r="U375" t="str">
        <f t="shared" si="18"/>
        <v>tak</v>
      </c>
    </row>
    <row r="376" spans="1:21">
      <c r="A376">
        <v>420</v>
      </c>
      <c r="B376" t="s">
        <v>2154</v>
      </c>
      <c r="C376" t="s">
        <v>2084</v>
      </c>
      <c r="D376" t="s">
        <v>2087</v>
      </c>
      <c r="E376" t="s">
        <v>2088</v>
      </c>
      <c r="F376" t="s">
        <v>2224</v>
      </c>
      <c r="G376" t="s">
        <v>2225</v>
      </c>
      <c r="H376" t="s">
        <v>2243</v>
      </c>
      <c r="I376" t="s">
        <v>8495</v>
      </c>
      <c r="K376" t="s">
        <v>224</v>
      </c>
      <c r="N376" t="str">
        <f t="shared" si="17"/>
        <v>Szanowna Pani</v>
      </c>
      <c r="Q376" s="19" t="s">
        <v>9776</v>
      </c>
      <c r="U376" t="str">
        <f t="shared" si="18"/>
        <v>tak</v>
      </c>
    </row>
    <row r="377" spans="1:21">
      <c r="A377">
        <v>421</v>
      </c>
      <c r="B377" t="s">
        <v>2154</v>
      </c>
      <c r="C377" t="s">
        <v>2084</v>
      </c>
      <c r="D377" t="s">
        <v>2089</v>
      </c>
      <c r="E377" t="s">
        <v>2090</v>
      </c>
      <c r="F377" t="s">
        <v>2224</v>
      </c>
      <c r="G377" t="s">
        <v>2226</v>
      </c>
      <c r="H377" t="s">
        <v>2244</v>
      </c>
      <c r="I377" t="s">
        <v>8496</v>
      </c>
      <c r="K377" t="s">
        <v>224</v>
      </c>
      <c r="N377" t="str">
        <f t="shared" si="17"/>
        <v>Szanowna Pani</v>
      </c>
      <c r="Q377" s="19" t="s">
        <v>9776</v>
      </c>
      <c r="U377" t="str">
        <f t="shared" si="18"/>
        <v>tak</v>
      </c>
    </row>
    <row r="378" spans="1:21">
      <c r="A378">
        <v>422</v>
      </c>
      <c r="B378" t="s">
        <v>2154</v>
      </c>
      <c r="C378" t="s">
        <v>2091</v>
      </c>
      <c r="D378" t="s">
        <v>2092</v>
      </c>
      <c r="E378" t="s">
        <v>2093</v>
      </c>
      <c r="F378" t="s">
        <v>2228</v>
      </c>
      <c r="G378" t="s">
        <v>2227</v>
      </c>
      <c r="H378" t="s">
        <v>2245</v>
      </c>
      <c r="I378" t="s">
        <v>8497</v>
      </c>
      <c r="K378" t="s">
        <v>164</v>
      </c>
      <c r="N378" t="str">
        <f t="shared" si="17"/>
        <v>Szanowna Pani</v>
      </c>
      <c r="O378" s="19" t="s">
        <v>9776</v>
      </c>
      <c r="U378" t="str">
        <f t="shared" si="18"/>
        <v>tak</v>
      </c>
    </row>
    <row r="379" spans="1:21">
      <c r="A379">
        <v>423</v>
      </c>
      <c r="B379" t="s">
        <v>2154</v>
      </c>
      <c r="C379" t="s">
        <v>2094</v>
      </c>
      <c r="D379" t="s">
        <v>2095</v>
      </c>
      <c r="E379" t="s">
        <v>2096</v>
      </c>
      <c r="F379" t="s">
        <v>2097</v>
      </c>
      <c r="G379" t="s">
        <v>2230</v>
      </c>
      <c r="H379" t="s">
        <v>2229</v>
      </c>
      <c r="I379" t="s">
        <v>8498</v>
      </c>
      <c r="K379" t="s">
        <v>164</v>
      </c>
      <c r="N379" t="str">
        <f t="shared" si="17"/>
        <v>Szanowny Pan</v>
      </c>
      <c r="O379" s="19" t="s">
        <v>9776</v>
      </c>
      <c r="U379" t="str">
        <f t="shared" si="18"/>
        <v>tak</v>
      </c>
    </row>
    <row r="380" spans="1:21">
      <c r="A380">
        <v>424</v>
      </c>
      <c r="B380" t="s">
        <v>2154</v>
      </c>
      <c r="C380" t="s">
        <v>2098</v>
      </c>
      <c r="D380" t="s">
        <v>2099</v>
      </c>
      <c r="E380" t="s">
        <v>2100</v>
      </c>
      <c r="F380" t="s">
        <v>2232</v>
      </c>
      <c r="G380" t="s">
        <v>2231</v>
      </c>
      <c r="H380" t="s">
        <v>2246</v>
      </c>
      <c r="I380" t="s">
        <v>8499</v>
      </c>
      <c r="K380" t="s">
        <v>164</v>
      </c>
      <c r="N380" t="str">
        <f t="shared" si="17"/>
        <v>Szanowna Pani</v>
      </c>
      <c r="O380" s="19" t="s">
        <v>9776</v>
      </c>
      <c r="U380" t="str">
        <f t="shared" si="18"/>
        <v>tak</v>
      </c>
    </row>
    <row r="381" spans="1:21">
      <c r="A381">
        <v>425</v>
      </c>
      <c r="B381" t="s">
        <v>2154</v>
      </c>
      <c r="C381" t="s">
        <v>2101</v>
      </c>
      <c r="D381" t="s">
        <v>267</v>
      </c>
      <c r="E381" t="s">
        <v>2102</v>
      </c>
      <c r="F381" t="s">
        <v>2234</v>
      </c>
      <c r="G381" t="s">
        <v>2233</v>
      </c>
      <c r="H381" t="s">
        <v>2247</v>
      </c>
      <c r="I381" t="s">
        <v>8500</v>
      </c>
      <c r="K381" t="s">
        <v>164</v>
      </c>
      <c r="N381" t="str">
        <f t="shared" si="17"/>
        <v>Szanowna Pani</v>
      </c>
      <c r="O381" s="19" t="s">
        <v>9776</v>
      </c>
      <c r="U381" t="str">
        <f t="shared" si="18"/>
        <v>tak</v>
      </c>
    </row>
    <row r="382" spans="1:21">
      <c r="A382">
        <v>426</v>
      </c>
      <c r="B382" t="s">
        <v>2154</v>
      </c>
      <c r="C382" t="s">
        <v>2101</v>
      </c>
      <c r="D382" t="s">
        <v>267</v>
      </c>
      <c r="E382" t="s">
        <v>2102</v>
      </c>
      <c r="F382" t="s">
        <v>2234</v>
      </c>
      <c r="G382" t="s">
        <v>2233</v>
      </c>
      <c r="H382" t="s">
        <v>2247</v>
      </c>
      <c r="I382" t="s">
        <v>8500</v>
      </c>
      <c r="K382" t="s">
        <v>224</v>
      </c>
      <c r="N382" t="str">
        <f t="shared" si="17"/>
        <v>Szanowna Pani</v>
      </c>
      <c r="Q382" s="19" t="s">
        <v>9776</v>
      </c>
      <c r="U382" t="str">
        <f t="shared" si="18"/>
        <v>tak</v>
      </c>
    </row>
    <row r="383" spans="1:21">
      <c r="A383">
        <v>427</v>
      </c>
      <c r="B383" t="s">
        <v>2154</v>
      </c>
      <c r="C383" t="s">
        <v>2103</v>
      </c>
      <c r="D383" t="s">
        <v>251</v>
      </c>
      <c r="E383" t="s">
        <v>2249</v>
      </c>
      <c r="F383" t="s">
        <v>2330</v>
      </c>
      <c r="G383" t="s">
        <v>2329</v>
      </c>
      <c r="H383" t="s">
        <v>2248</v>
      </c>
      <c r="I383" t="s">
        <v>8501</v>
      </c>
      <c r="K383" t="s">
        <v>164</v>
      </c>
      <c r="N383" t="str">
        <f t="shared" si="17"/>
        <v>Szanowna Pani</v>
      </c>
      <c r="O383" s="19" t="s">
        <v>9776</v>
      </c>
      <c r="U383" t="str">
        <f t="shared" si="18"/>
        <v>tak</v>
      </c>
    </row>
    <row r="384" spans="1:21">
      <c r="A384">
        <v>428</v>
      </c>
      <c r="B384" t="s">
        <v>2154</v>
      </c>
      <c r="C384" t="s">
        <v>2104</v>
      </c>
      <c r="D384" t="s">
        <v>2105</v>
      </c>
      <c r="E384" t="s">
        <v>2106</v>
      </c>
      <c r="F384" t="s">
        <v>2252</v>
      </c>
      <c r="G384" t="s">
        <v>2251</v>
      </c>
      <c r="H384" t="s">
        <v>2250</v>
      </c>
      <c r="I384" t="s">
        <v>8502</v>
      </c>
      <c r="K384" t="s">
        <v>164</v>
      </c>
      <c r="N384" t="str">
        <f t="shared" si="17"/>
        <v>Szanowna Pani</v>
      </c>
      <c r="O384" s="19" t="s">
        <v>9776</v>
      </c>
      <c r="U384" t="str">
        <f t="shared" si="18"/>
        <v>tak</v>
      </c>
    </row>
    <row r="385" spans="1:21">
      <c r="A385">
        <v>429</v>
      </c>
      <c r="B385" t="s">
        <v>2154</v>
      </c>
      <c r="C385" t="s">
        <v>2104</v>
      </c>
      <c r="D385" t="s">
        <v>2105</v>
      </c>
      <c r="E385" t="s">
        <v>2106</v>
      </c>
      <c r="F385" t="s">
        <v>2252</v>
      </c>
      <c r="G385" t="s">
        <v>2251</v>
      </c>
      <c r="H385" t="s">
        <v>2253</v>
      </c>
      <c r="I385" t="s">
        <v>8502</v>
      </c>
      <c r="K385" t="s">
        <v>224</v>
      </c>
      <c r="N385" t="str">
        <f t="shared" si="17"/>
        <v>Szanowna Pani</v>
      </c>
      <c r="Q385" s="19" t="s">
        <v>9776</v>
      </c>
      <c r="U385" t="str">
        <f t="shared" si="18"/>
        <v>tak</v>
      </c>
    </row>
    <row r="386" spans="1:21">
      <c r="A386">
        <v>430</v>
      </c>
      <c r="B386" t="s">
        <v>2154</v>
      </c>
      <c r="C386" t="s">
        <v>2107</v>
      </c>
      <c r="D386" t="s">
        <v>2108</v>
      </c>
      <c r="E386" t="s">
        <v>2109</v>
      </c>
      <c r="F386" t="s">
        <v>2256</v>
      </c>
      <c r="G386" t="s">
        <v>2255</v>
      </c>
      <c r="H386" t="s">
        <v>2254</v>
      </c>
      <c r="I386" t="s">
        <v>8503</v>
      </c>
      <c r="K386" t="s">
        <v>224</v>
      </c>
      <c r="N386" t="str">
        <f t="shared" si="17"/>
        <v>Szanowna Pani</v>
      </c>
      <c r="Q386" s="19" t="s">
        <v>9776</v>
      </c>
      <c r="U386" t="str">
        <f t="shared" si="18"/>
        <v>tak</v>
      </c>
    </row>
    <row r="387" spans="1:21">
      <c r="A387">
        <v>431</v>
      </c>
      <c r="B387" t="s">
        <v>2154</v>
      </c>
      <c r="C387" t="s">
        <v>2110</v>
      </c>
      <c r="D387" t="s">
        <v>251</v>
      </c>
      <c r="E387" t="s">
        <v>2111</v>
      </c>
      <c r="F387" t="s">
        <v>2112</v>
      </c>
      <c r="G387" t="s">
        <v>2258</v>
      </c>
      <c r="H387" t="s">
        <v>2257</v>
      </c>
      <c r="I387" t="s">
        <v>8504</v>
      </c>
      <c r="K387" t="s">
        <v>164</v>
      </c>
      <c r="N387" t="str">
        <f t="shared" si="17"/>
        <v>Szanowna Pani</v>
      </c>
      <c r="O387" s="19" t="s">
        <v>9776</v>
      </c>
      <c r="U387" t="str">
        <f t="shared" si="18"/>
        <v>tak</v>
      </c>
    </row>
    <row r="388" spans="1:21">
      <c r="A388">
        <v>432</v>
      </c>
      <c r="B388" t="s">
        <v>2154</v>
      </c>
      <c r="C388" t="s">
        <v>2110</v>
      </c>
      <c r="D388" t="s">
        <v>251</v>
      </c>
      <c r="E388" t="s">
        <v>2111</v>
      </c>
      <c r="F388" t="s">
        <v>2112</v>
      </c>
      <c r="G388" t="s">
        <v>2258</v>
      </c>
      <c r="H388" t="s">
        <v>2259</v>
      </c>
      <c r="I388" t="s">
        <v>8505</v>
      </c>
      <c r="K388" t="s">
        <v>224</v>
      </c>
      <c r="N388" t="str">
        <f t="shared" si="17"/>
        <v>Szanowna Pani</v>
      </c>
      <c r="Q388" s="19" t="s">
        <v>9776</v>
      </c>
      <c r="U388" t="str">
        <f t="shared" si="18"/>
        <v>tak</v>
      </c>
    </row>
    <row r="389" spans="1:21">
      <c r="A389">
        <v>433</v>
      </c>
      <c r="B389" t="s">
        <v>2154</v>
      </c>
      <c r="C389" t="s">
        <v>2110</v>
      </c>
      <c r="D389" t="s">
        <v>2113</v>
      </c>
      <c r="E389" t="s">
        <v>2114</v>
      </c>
      <c r="F389" t="s">
        <v>2262</v>
      </c>
      <c r="G389" t="s">
        <v>2261</v>
      </c>
      <c r="H389" t="s">
        <v>2260</v>
      </c>
      <c r="I389" t="s">
        <v>8506</v>
      </c>
      <c r="K389" t="s">
        <v>224</v>
      </c>
      <c r="N389" t="str">
        <f t="shared" si="17"/>
        <v>Szanowna Pani</v>
      </c>
      <c r="Q389" s="19" t="s">
        <v>9776</v>
      </c>
      <c r="U389" t="str">
        <f t="shared" si="18"/>
        <v>tak</v>
      </c>
    </row>
    <row r="390" spans="1:21">
      <c r="A390">
        <v>434</v>
      </c>
      <c r="B390" t="s">
        <v>2154</v>
      </c>
      <c r="C390" t="s">
        <v>2115</v>
      </c>
      <c r="D390" t="s">
        <v>166</v>
      </c>
      <c r="E390" t="s">
        <v>2116</v>
      </c>
      <c r="F390" t="s">
        <v>2265</v>
      </c>
      <c r="G390" t="s">
        <v>2264</v>
      </c>
      <c r="H390" t="s">
        <v>2263</v>
      </c>
      <c r="I390" t="s">
        <v>8507</v>
      </c>
      <c r="K390" t="s">
        <v>164</v>
      </c>
      <c r="N390" t="str">
        <f t="shared" si="17"/>
        <v>Szanowna Pani</v>
      </c>
      <c r="O390" s="19" t="s">
        <v>9776</v>
      </c>
      <c r="U390" t="str">
        <f t="shared" si="18"/>
        <v>tak</v>
      </c>
    </row>
    <row r="391" spans="1:21">
      <c r="A391">
        <v>435</v>
      </c>
      <c r="B391" t="s">
        <v>2154</v>
      </c>
      <c r="C391" t="s">
        <v>2117</v>
      </c>
      <c r="D391" t="s">
        <v>2118</v>
      </c>
      <c r="E391" t="s">
        <v>2119</v>
      </c>
      <c r="F391" t="s">
        <v>2070</v>
      </c>
      <c r="G391" t="s">
        <v>2267</v>
      </c>
      <c r="H391" t="s">
        <v>2266</v>
      </c>
      <c r="I391" t="s">
        <v>2212</v>
      </c>
      <c r="K391" t="s">
        <v>164</v>
      </c>
      <c r="N391" t="str">
        <f t="shared" si="17"/>
        <v>Szanowna Pani</v>
      </c>
      <c r="O391" s="19" t="s">
        <v>9776</v>
      </c>
      <c r="U391" t="str">
        <f t="shared" si="18"/>
        <v>tak</v>
      </c>
    </row>
    <row r="392" spans="1:21">
      <c r="A392">
        <v>436</v>
      </c>
      <c r="B392" t="s">
        <v>2154</v>
      </c>
      <c r="C392" t="s">
        <v>2120</v>
      </c>
      <c r="D392" t="s">
        <v>2121</v>
      </c>
      <c r="E392" t="s">
        <v>2122</v>
      </c>
      <c r="F392" t="s">
        <v>2270</v>
      </c>
      <c r="G392" t="s">
        <v>2269</v>
      </c>
      <c r="H392" t="s">
        <v>2268</v>
      </c>
      <c r="I392" t="s">
        <v>8508</v>
      </c>
      <c r="K392" t="s">
        <v>2123</v>
      </c>
      <c r="N392" t="str">
        <f t="shared" si="17"/>
        <v>Szanowna Pani</v>
      </c>
      <c r="O392" s="19" t="s">
        <v>9776</v>
      </c>
      <c r="U392" t="str">
        <f t="shared" si="18"/>
        <v>tak</v>
      </c>
    </row>
    <row r="393" spans="1:21">
      <c r="A393">
        <v>437</v>
      </c>
      <c r="B393" t="s">
        <v>2154</v>
      </c>
      <c r="C393" t="s">
        <v>2120</v>
      </c>
      <c r="D393" t="s">
        <v>2124</v>
      </c>
      <c r="E393" t="s">
        <v>2125</v>
      </c>
      <c r="F393" t="s">
        <v>2126</v>
      </c>
      <c r="G393" t="s">
        <v>2272</v>
      </c>
      <c r="H393" t="s">
        <v>2271</v>
      </c>
      <c r="I393" t="s">
        <v>8509</v>
      </c>
      <c r="K393" t="s">
        <v>164</v>
      </c>
      <c r="N393" t="str">
        <f t="shared" si="17"/>
        <v>Szanowna Pani</v>
      </c>
      <c r="O393" s="19" t="s">
        <v>9776</v>
      </c>
      <c r="U393" t="str">
        <f t="shared" si="18"/>
        <v>tak</v>
      </c>
    </row>
    <row r="394" spans="1:21">
      <c r="A394">
        <v>438</v>
      </c>
      <c r="B394" t="s">
        <v>2154</v>
      </c>
      <c r="C394" t="s">
        <v>2127</v>
      </c>
      <c r="D394" t="s">
        <v>345</v>
      </c>
      <c r="E394" t="s">
        <v>2128</v>
      </c>
      <c r="F394" t="s">
        <v>2275</v>
      </c>
      <c r="G394" t="s">
        <v>2274</v>
      </c>
      <c r="H394" t="s">
        <v>2273</v>
      </c>
      <c r="I394" t="s">
        <v>8510</v>
      </c>
      <c r="K394" t="s">
        <v>164</v>
      </c>
      <c r="N394" t="str">
        <f t="shared" si="17"/>
        <v>Szanowne Panie</v>
      </c>
      <c r="O394" s="19" t="s">
        <v>9776</v>
      </c>
      <c r="U394" t="str">
        <f t="shared" si="18"/>
        <v>tak</v>
      </c>
    </row>
    <row r="395" spans="1:21">
      <c r="A395">
        <v>439</v>
      </c>
      <c r="B395" t="s">
        <v>2154</v>
      </c>
      <c r="C395" t="s">
        <v>2129</v>
      </c>
      <c r="D395" t="s">
        <v>2130</v>
      </c>
      <c r="E395" t="s">
        <v>2131</v>
      </c>
      <c r="F395" t="s">
        <v>2278</v>
      </c>
      <c r="G395" t="s">
        <v>2277</v>
      </c>
      <c r="H395" t="s">
        <v>2276</v>
      </c>
      <c r="I395" t="s">
        <v>8511</v>
      </c>
      <c r="K395" t="s">
        <v>164</v>
      </c>
      <c r="N395" t="str">
        <f t="shared" si="17"/>
        <v>Szanowna Pani</v>
      </c>
      <c r="O395" s="19" t="s">
        <v>9776</v>
      </c>
      <c r="U395" t="str">
        <f t="shared" si="18"/>
        <v>tak</v>
      </c>
    </row>
    <row r="396" spans="1:21">
      <c r="A396">
        <v>440</v>
      </c>
      <c r="B396" t="s">
        <v>2154</v>
      </c>
      <c r="C396" t="s">
        <v>2132</v>
      </c>
      <c r="D396" t="s">
        <v>2133</v>
      </c>
      <c r="E396" t="s">
        <v>2134</v>
      </c>
      <c r="F396" t="s">
        <v>2281</v>
      </c>
      <c r="G396" t="s">
        <v>2280</v>
      </c>
      <c r="H396" t="s">
        <v>2279</v>
      </c>
      <c r="I396" t="s">
        <v>8512</v>
      </c>
      <c r="K396" t="s">
        <v>164</v>
      </c>
      <c r="N396" t="str">
        <f t="shared" si="17"/>
        <v>Szanowna Pani</v>
      </c>
      <c r="O396" s="19" t="s">
        <v>9776</v>
      </c>
      <c r="U396" t="str">
        <f t="shared" si="18"/>
        <v>tak</v>
      </c>
    </row>
    <row r="397" spans="1:21">
      <c r="A397">
        <v>441</v>
      </c>
      <c r="B397" t="s">
        <v>2154</v>
      </c>
      <c r="C397" t="s">
        <v>2135</v>
      </c>
      <c r="D397" t="s">
        <v>2136</v>
      </c>
      <c r="E397" t="s">
        <v>2137</v>
      </c>
      <c r="F397" t="s">
        <v>2138</v>
      </c>
      <c r="G397" t="s">
        <v>2283</v>
      </c>
      <c r="H397" t="s">
        <v>2282</v>
      </c>
      <c r="I397" t="s">
        <v>8513</v>
      </c>
      <c r="K397" t="s">
        <v>164</v>
      </c>
      <c r="N397" t="str">
        <f t="shared" si="17"/>
        <v>Szanowna Pani</v>
      </c>
      <c r="O397" s="19" t="s">
        <v>9776</v>
      </c>
      <c r="U397" t="str">
        <f t="shared" si="18"/>
        <v>tak</v>
      </c>
    </row>
    <row r="398" spans="1:21">
      <c r="A398">
        <v>442</v>
      </c>
      <c r="B398" t="s">
        <v>2154</v>
      </c>
      <c r="C398" t="s">
        <v>2139</v>
      </c>
      <c r="D398" t="s">
        <v>267</v>
      </c>
      <c r="E398" t="s">
        <v>2140</v>
      </c>
      <c r="F398" t="s">
        <v>2141</v>
      </c>
      <c r="G398" t="s">
        <v>2285</v>
      </c>
      <c r="H398" t="s">
        <v>2284</v>
      </c>
      <c r="I398" t="s">
        <v>8514</v>
      </c>
      <c r="K398" t="s">
        <v>2142</v>
      </c>
      <c r="N398" t="str">
        <f t="shared" si="17"/>
        <v>Szanowne Panie</v>
      </c>
      <c r="O398" s="19" t="s">
        <v>9776</v>
      </c>
      <c r="U398" t="str">
        <f t="shared" si="18"/>
        <v>tak</v>
      </c>
    </row>
    <row r="399" spans="1:21">
      <c r="A399">
        <v>443</v>
      </c>
      <c r="B399" t="s">
        <v>2154</v>
      </c>
      <c r="C399" t="s">
        <v>2143</v>
      </c>
      <c r="D399" t="s">
        <v>161</v>
      </c>
      <c r="E399" t="s">
        <v>2144</v>
      </c>
      <c r="F399" t="s">
        <v>2145</v>
      </c>
      <c r="G399" t="s">
        <v>2287</v>
      </c>
      <c r="H399" t="s">
        <v>2286</v>
      </c>
      <c r="I399" s="15" t="s">
        <v>9739</v>
      </c>
      <c r="K399" t="s">
        <v>164</v>
      </c>
      <c r="N399" t="str">
        <f t="shared" si="17"/>
        <v>Szanowna Pani</v>
      </c>
      <c r="O399" s="19" t="s">
        <v>9776</v>
      </c>
      <c r="U399" t="str">
        <f t="shared" si="18"/>
        <v>tak</v>
      </c>
    </row>
    <row r="400" spans="1:21">
      <c r="A400">
        <v>444</v>
      </c>
      <c r="B400" t="s">
        <v>2154</v>
      </c>
      <c r="C400" t="s">
        <v>2146</v>
      </c>
      <c r="D400" t="s">
        <v>2147</v>
      </c>
      <c r="E400" t="s">
        <v>2148</v>
      </c>
      <c r="F400" t="s">
        <v>2149</v>
      </c>
      <c r="G400" t="s">
        <v>2289</v>
      </c>
      <c r="H400" t="s">
        <v>2288</v>
      </c>
      <c r="I400" t="s">
        <v>8515</v>
      </c>
      <c r="K400" t="s">
        <v>164</v>
      </c>
      <c r="N400" t="str">
        <f t="shared" si="17"/>
        <v>Szanowna Pani</v>
      </c>
      <c r="O400" s="19" t="s">
        <v>9776</v>
      </c>
      <c r="U400" t="str">
        <f t="shared" si="18"/>
        <v>tak</v>
      </c>
    </row>
    <row r="401" spans="1:21">
      <c r="A401">
        <v>445</v>
      </c>
      <c r="B401" t="s">
        <v>2154</v>
      </c>
      <c r="C401" t="s">
        <v>2150</v>
      </c>
      <c r="D401" t="s">
        <v>2151</v>
      </c>
      <c r="E401" t="s">
        <v>2152</v>
      </c>
      <c r="F401" t="s">
        <v>2153</v>
      </c>
      <c r="G401" t="s">
        <v>2291</v>
      </c>
      <c r="H401" t="s">
        <v>2290</v>
      </c>
      <c r="I401" t="s">
        <v>8516</v>
      </c>
      <c r="K401" t="s">
        <v>164</v>
      </c>
      <c r="N401" t="str">
        <f t="shared" si="17"/>
        <v>Szanowna Pani</v>
      </c>
      <c r="O401" s="19" t="s">
        <v>9776</v>
      </c>
      <c r="U401" t="str">
        <f t="shared" si="18"/>
        <v>tak</v>
      </c>
    </row>
    <row r="402" spans="1:21">
      <c r="A402">
        <v>446</v>
      </c>
      <c r="B402" t="s">
        <v>2154</v>
      </c>
      <c r="C402" t="s">
        <v>2154</v>
      </c>
      <c r="D402" t="s">
        <v>2333</v>
      </c>
      <c r="F402" t="s">
        <v>2155</v>
      </c>
      <c r="G402" t="s">
        <v>2332</v>
      </c>
      <c r="H402" t="s">
        <v>2331</v>
      </c>
      <c r="I402" t="s">
        <v>8517</v>
      </c>
      <c r="K402" t="s">
        <v>224</v>
      </c>
      <c r="N402" t="str">
        <f t="shared" si="17"/>
        <v>Szanowna Pani</v>
      </c>
      <c r="Q402" s="19" t="s">
        <v>9776</v>
      </c>
      <c r="U402" t="str">
        <f t="shared" si="18"/>
        <v>tak</v>
      </c>
    </row>
    <row r="403" spans="1:21">
      <c r="A403">
        <v>447</v>
      </c>
      <c r="B403" t="s">
        <v>2154</v>
      </c>
      <c r="C403" t="s">
        <v>2154</v>
      </c>
      <c r="D403" t="s">
        <v>2156</v>
      </c>
      <c r="E403" t="s">
        <v>2157</v>
      </c>
      <c r="F403" t="s">
        <v>2158</v>
      </c>
      <c r="G403" t="s">
        <v>2293</v>
      </c>
      <c r="H403" t="s">
        <v>2292</v>
      </c>
      <c r="I403" t="s">
        <v>8518</v>
      </c>
      <c r="K403" t="s">
        <v>164</v>
      </c>
      <c r="N403" t="str">
        <f t="shared" si="17"/>
        <v>Szanowna Pani</v>
      </c>
      <c r="O403" s="19" t="s">
        <v>9776</v>
      </c>
      <c r="U403" t="str">
        <f t="shared" si="18"/>
        <v>tak</v>
      </c>
    </row>
    <row r="404" spans="1:21">
      <c r="A404">
        <v>448</v>
      </c>
      <c r="B404" t="s">
        <v>2154</v>
      </c>
      <c r="C404" t="s">
        <v>2159</v>
      </c>
      <c r="D404" t="s">
        <v>166</v>
      </c>
      <c r="E404" t="s">
        <v>2160</v>
      </c>
      <c r="F404" t="s">
        <v>2161</v>
      </c>
      <c r="G404" t="s">
        <v>2295</v>
      </c>
      <c r="H404" t="s">
        <v>2294</v>
      </c>
      <c r="I404" t="s">
        <v>8519</v>
      </c>
      <c r="K404" t="s">
        <v>164</v>
      </c>
      <c r="N404" t="str">
        <f t="shared" si="17"/>
        <v>Szanowna Pani</v>
      </c>
      <c r="O404" s="19" t="s">
        <v>9776</v>
      </c>
      <c r="U404" t="str">
        <f t="shared" si="18"/>
        <v>tak</v>
      </c>
    </row>
    <row r="405" spans="1:21">
      <c r="A405">
        <v>449</v>
      </c>
      <c r="B405" t="s">
        <v>2154</v>
      </c>
      <c r="C405" t="s">
        <v>2162</v>
      </c>
      <c r="D405" t="s">
        <v>2163</v>
      </c>
      <c r="E405" t="s">
        <v>2164</v>
      </c>
      <c r="F405" t="s">
        <v>2165</v>
      </c>
      <c r="G405" t="s">
        <v>2297</v>
      </c>
      <c r="H405" t="s">
        <v>2296</v>
      </c>
      <c r="I405" t="s">
        <v>8520</v>
      </c>
      <c r="K405" t="s">
        <v>164</v>
      </c>
      <c r="N405" t="str">
        <f t="shared" si="17"/>
        <v>Szanowna Pani</v>
      </c>
      <c r="O405" s="19" t="s">
        <v>9776</v>
      </c>
      <c r="U405" t="str">
        <f t="shared" si="18"/>
        <v>tak</v>
      </c>
    </row>
    <row r="406" spans="1:21">
      <c r="A406">
        <v>450</v>
      </c>
      <c r="B406" t="s">
        <v>2154</v>
      </c>
      <c r="C406" t="s">
        <v>2166</v>
      </c>
      <c r="D406" t="s">
        <v>2167</v>
      </c>
      <c r="E406" t="s">
        <v>2168</v>
      </c>
      <c r="F406" t="s">
        <v>2169</v>
      </c>
      <c r="G406" t="s">
        <v>2299</v>
      </c>
      <c r="H406" t="s">
        <v>2298</v>
      </c>
      <c r="I406" t="s">
        <v>8521</v>
      </c>
      <c r="K406" t="s">
        <v>224</v>
      </c>
      <c r="N406" t="str">
        <f t="shared" ref="N406:N470" si="19">IF(ISERROR(FIND(",",H406)),IF(MID(H406,FIND(" ",H406)-1,1)="a","Szanowna Pani","Szanowny Pan"), "Szanowne Panie")</f>
        <v>Szanowna Pani</v>
      </c>
      <c r="Q406" s="19" t="s">
        <v>9776</v>
      </c>
      <c r="U406" t="str">
        <f t="shared" si="18"/>
        <v>tak</v>
      </c>
    </row>
    <row r="407" spans="1:21">
      <c r="A407">
        <v>451</v>
      </c>
      <c r="B407" t="s">
        <v>2154</v>
      </c>
      <c r="C407" t="s">
        <v>2170</v>
      </c>
      <c r="D407" t="s">
        <v>2171</v>
      </c>
      <c r="E407" t="s">
        <v>2172</v>
      </c>
      <c r="F407" t="s">
        <v>2173</v>
      </c>
      <c r="G407" t="s">
        <v>2301</v>
      </c>
      <c r="H407" t="s">
        <v>2300</v>
      </c>
      <c r="I407" t="s">
        <v>8522</v>
      </c>
      <c r="K407" t="s">
        <v>164</v>
      </c>
      <c r="N407" t="str">
        <f t="shared" si="19"/>
        <v>Szanowna Pani</v>
      </c>
      <c r="O407" s="19" t="s">
        <v>9776</v>
      </c>
      <c r="U407" t="str">
        <f t="shared" si="18"/>
        <v>tak</v>
      </c>
    </row>
    <row r="408" spans="1:21">
      <c r="A408">
        <v>452</v>
      </c>
      <c r="B408" t="s">
        <v>2154</v>
      </c>
      <c r="C408" t="s">
        <v>2174</v>
      </c>
      <c r="D408" t="s">
        <v>2175</v>
      </c>
      <c r="E408" t="s">
        <v>2176</v>
      </c>
      <c r="F408" t="s">
        <v>2177</v>
      </c>
      <c r="G408" t="s">
        <v>2303</v>
      </c>
      <c r="H408" t="s">
        <v>2302</v>
      </c>
      <c r="I408" t="s">
        <v>8523</v>
      </c>
      <c r="K408" t="s">
        <v>164</v>
      </c>
      <c r="N408" t="str">
        <f t="shared" si="19"/>
        <v>Szanowna Pani</v>
      </c>
      <c r="O408" s="19" t="s">
        <v>9776</v>
      </c>
      <c r="U408" t="str">
        <f t="shared" si="18"/>
        <v>tak</v>
      </c>
    </row>
    <row r="409" spans="1:21">
      <c r="A409">
        <v>453</v>
      </c>
      <c r="B409" t="s">
        <v>2154</v>
      </c>
      <c r="C409" t="s">
        <v>2178</v>
      </c>
      <c r="D409" t="s">
        <v>161</v>
      </c>
      <c r="E409" t="s">
        <v>2179</v>
      </c>
      <c r="F409" t="s">
        <v>2306</v>
      </c>
      <c r="G409" t="s">
        <v>2305</v>
      </c>
      <c r="H409" t="s">
        <v>2304</v>
      </c>
      <c r="I409" t="s">
        <v>8524</v>
      </c>
      <c r="K409" t="s">
        <v>164</v>
      </c>
      <c r="N409" t="str">
        <f t="shared" si="19"/>
        <v>Szanowna Pani</v>
      </c>
      <c r="O409" s="19" t="s">
        <v>9776</v>
      </c>
      <c r="U409" t="str">
        <f t="shared" ref="U409:U445" si="20">+O409 &amp;P409&amp;Q409</f>
        <v>tak</v>
      </c>
    </row>
    <row r="410" spans="1:21">
      <c r="A410">
        <v>454</v>
      </c>
      <c r="B410" t="s">
        <v>2154</v>
      </c>
      <c r="C410" t="s">
        <v>2180</v>
      </c>
      <c r="D410" t="s">
        <v>290</v>
      </c>
      <c r="E410" t="s">
        <v>2181</v>
      </c>
      <c r="F410" t="s">
        <v>2309</v>
      </c>
      <c r="G410" t="s">
        <v>2308</v>
      </c>
      <c r="H410" t="s">
        <v>2307</v>
      </c>
      <c r="I410" t="s">
        <v>8525</v>
      </c>
      <c r="K410" t="s">
        <v>164</v>
      </c>
      <c r="N410" t="str">
        <f t="shared" si="19"/>
        <v>Szanowna Pani</v>
      </c>
      <c r="O410" s="19" t="s">
        <v>9776</v>
      </c>
      <c r="U410" t="str">
        <f t="shared" si="20"/>
        <v>tak</v>
      </c>
    </row>
    <row r="411" spans="1:21">
      <c r="A411">
        <v>455</v>
      </c>
      <c r="B411" t="s">
        <v>2154</v>
      </c>
      <c r="C411" t="s">
        <v>2182</v>
      </c>
      <c r="D411" t="s">
        <v>161</v>
      </c>
      <c r="E411" t="s">
        <v>2183</v>
      </c>
      <c r="F411" t="s">
        <v>2312</v>
      </c>
      <c r="G411" t="s">
        <v>2311</v>
      </c>
      <c r="H411" t="s">
        <v>2310</v>
      </c>
      <c r="I411" t="s">
        <v>8526</v>
      </c>
      <c r="K411" t="s">
        <v>164</v>
      </c>
      <c r="N411" t="str">
        <f t="shared" si="19"/>
        <v>Szanowna Pani</v>
      </c>
      <c r="O411" s="19" t="s">
        <v>9776</v>
      </c>
      <c r="U411" t="str">
        <f t="shared" si="20"/>
        <v>tak</v>
      </c>
    </row>
    <row r="412" spans="1:21">
      <c r="A412">
        <v>456</v>
      </c>
      <c r="B412" t="s">
        <v>2154</v>
      </c>
      <c r="C412" t="s">
        <v>2182</v>
      </c>
      <c r="D412" t="s">
        <v>161</v>
      </c>
      <c r="E412" t="s">
        <v>2184</v>
      </c>
      <c r="F412" t="s">
        <v>2312</v>
      </c>
      <c r="G412" t="s">
        <v>2311</v>
      </c>
      <c r="H412" t="s">
        <v>2313</v>
      </c>
      <c r="I412" t="s">
        <v>8526</v>
      </c>
      <c r="K412" t="s">
        <v>224</v>
      </c>
      <c r="N412" t="str">
        <f t="shared" si="19"/>
        <v>Szanowne Panie</v>
      </c>
      <c r="Q412" s="19" t="s">
        <v>9776</v>
      </c>
      <c r="U412" t="str">
        <f t="shared" si="20"/>
        <v>tak</v>
      </c>
    </row>
    <row r="413" spans="1:21">
      <c r="A413">
        <v>457</v>
      </c>
      <c r="B413" t="s">
        <v>2154</v>
      </c>
      <c r="C413" t="s">
        <v>2185</v>
      </c>
      <c r="D413" t="s">
        <v>251</v>
      </c>
      <c r="E413" t="s">
        <v>2186</v>
      </c>
      <c r="F413" t="s">
        <v>2316</v>
      </c>
      <c r="G413" t="s">
        <v>2315</v>
      </c>
      <c r="H413" t="s">
        <v>2314</v>
      </c>
      <c r="I413" t="s">
        <v>8527</v>
      </c>
      <c r="K413" t="s">
        <v>164</v>
      </c>
      <c r="N413" t="str">
        <f t="shared" si="19"/>
        <v>Szanowna Pani</v>
      </c>
      <c r="O413" s="19" t="s">
        <v>9776</v>
      </c>
      <c r="U413" t="str">
        <f t="shared" si="20"/>
        <v>tak</v>
      </c>
    </row>
    <row r="414" spans="1:21">
      <c r="A414">
        <v>458</v>
      </c>
      <c r="B414" t="s">
        <v>2154</v>
      </c>
      <c r="C414" t="s">
        <v>2187</v>
      </c>
      <c r="D414" t="s">
        <v>2099</v>
      </c>
      <c r="E414" t="s">
        <v>2188</v>
      </c>
      <c r="F414" t="s">
        <v>2189</v>
      </c>
      <c r="G414" t="s">
        <v>2318</v>
      </c>
      <c r="H414" t="s">
        <v>2317</v>
      </c>
      <c r="I414" t="s">
        <v>8528</v>
      </c>
      <c r="K414" t="s">
        <v>164</v>
      </c>
      <c r="N414" t="str">
        <f t="shared" si="19"/>
        <v>Szanowna Pani</v>
      </c>
      <c r="O414" s="19" t="s">
        <v>9776</v>
      </c>
      <c r="U414" t="str">
        <f t="shared" si="20"/>
        <v>tak</v>
      </c>
    </row>
    <row r="415" spans="1:21">
      <c r="A415">
        <v>459</v>
      </c>
      <c r="B415" t="s">
        <v>2154</v>
      </c>
      <c r="C415" t="s">
        <v>2190</v>
      </c>
      <c r="D415" t="s">
        <v>2191</v>
      </c>
      <c r="E415" t="s">
        <v>2192</v>
      </c>
      <c r="F415" t="s">
        <v>2193</v>
      </c>
      <c r="G415" t="s">
        <v>2320</v>
      </c>
      <c r="H415" t="s">
        <v>2319</v>
      </c>
      <c r="I415" t="s">
        <v>8529</v>
      </c>
      <c r="K415" t="s">
        <v>164</v>
      </c>
      <c r="N415" t="str">
        <f t="shared" si="19"/>
        <v>Szanowna Pani</v>
      </c>
      <c r="O415" s="19" t="s">
        <v>9776</v>
      </c>
      <c r="U415" t="str">
        <f t="shared" si="20"/>
        <v>tak</v>
      </c>
    </row>
    <row r="416" spans="1:21">
      <c r="A416">
        <v>460</v>
      </c>
      <c r="B416" t="s">
        <v>2154</v>
      </c>
      <c r="C416" t="s">
        <v>2194</v>
      </c>
      <c r="D416" t="s">
        <v>161</v>
      </c>
      <c r="E416" t="s">
        <v>2195</v>
      </c>
      <c r="F416" t="s">
        <v>2196</v>
      </c>
      <c r="G416" t="s">
        <v>2322</v>
      </c>
      <c r="H416" t="s">
        <v>2321</v>
      </c>
      <c r="I416" s="15" t="s">
        <v>9714</v>
      </c>
      <c r="K416" t="s">
        <v>2197</v>
      </c>
      <c r="N416" t="str">
        <f t="shared" si="19"/>
        <v>Szanowna Pani</v>
      </c>
      <c r="O416" s="19" t="s">
        <v>9776</v>
      </c>
      <c r="S416" s="15" t="s">
        <v>9713</v>
      </c>
      <c r="U416" t="str">
        <f t="shared" si="20"/>
        <v>tak</v>
      </c>
    </row>
    <row r="417" spans="1:21">
      <c r="A417">
        <v>461</v>
      </c>
      <c r="B417" t="s">
        <v>2154</v>
      </c>
      <c r="C417" t="s">
        <v>2194</v>
      </c>
      <c r="D417" t="s">
        <v>2198</v>
      </c>
      <c r="E417" t="s">
        <v>313</v>
      </c>
      <c r="F417" t="s">
        <v>2199</v>
      </c>
      <c r="G417" t="s">
        <v>2324</v>
      </c>
      <c r="H417" t="s">
        <v>2323</v>
      </c>
      <c r="I417" t="s">
        <v>8530</v>
      </c>
      <c r="K417" t="s">
        <v>164</v>
      </c>
      <c r="N417" t="str">
        <f t="shared" si="19"/>
        <v>Szanowna Pani</v>
      </c>
      <c r="O417" s="19" t="s">
        <v>9776</v>
      </c>
      <c r="U417" t="str">
        <f t="shared" si="20"/>
        <v>tak</v>
      </c>
    </row>
    <row r="418" spans="1:21">
      <c r="A418">
        <v>462</v>
      </c>
      <c r="B418" t="s">
        <v>2154</v>
      </c>
      <c r="C418" t="s">
        <v>2200</v>
      </c>
      <c r="D418" t="s">
        <v>2201</v>
      </c>
      <c r="E418" t="s">
        <v>2202</v>
      </c>
      <c r="F418" t="s">
        <v>2203</v>
      </c>
      <c r="G418" t="s">
        <v>2326</v>
      </c>
      <c r="H418" t="s">
        <v>2325</v>
      </c>
      <c r="I418" t="s">
        <v>8531</v>
      </c>
      <c r="K418" t="s">
        <v>164</v>
      </c>
      <c r="N418" t="str">
        <f t="shared" si="19"/>
        <v>Szanowna Pani</v>
      </c>
      <c r="O418" s="19" t="s">
        <v>9776</v>
      </c>
      <c r="U418" t="str">
        <f t="shared" si="20"/>
        <v>tak</v>
      </c>
    </row>
    <row r="419" spans="1:21">
      <c r="A419">
        <v>463</v>
      </c>
      <c r="B419" t="s">
        <v>2154</v>
      </c>
      <c r="C419" t="s">
        <v>2204</v>
      </c>
      <c r="D419" t="s">
        <v>2205</v>
      </c>
      <c r="E419" t="s">
        <v>2206</v>
      </c>
      <c r="F419" t="s">
        <v>2207</v>
      </c>
      <c r="G419" t="s">
        <v>2328</v>
      </c>
      <c r="H419" t="s">
        <v>2327</v>
      </c>
      <c r="I419" t="s">
        <v>8532</v>
      </c>
      <c r="K419" t="s">
        <v>224</v>
      </c>
      <c r="N419" t="str">
        <f t="shared" si="19"/>
        <v>Szanowna Pani</v>
      </c>
      <c r="Q419" s="19" t="s">
        <v>9776</v>
      </c>
      <c r="U419" t="str">
        <f t="shared" si="20"/>
        <v>tak</v>
      </c>
    </row>
    <row r="420" spans="1:21">
      <c r="A420">
        <v>464</v>
      </c>
      <c r="B420" t="s">
        <v>2334</v>
      </c>
      <c r="C420" t="s">
        <v>2335</v>
      </c>
      <c r="D420" t="s">
        <v>2557</v>
      </c>
      <c r="E420" t="s">
        <v>2556</v>
      </c>
      <c r="F420" t="s">
        <v>2399</v>
      </c>
      <c r="G420" t="s">
        <v>2398</v>
      </c>
      <c r="H420" t="s">
        <v>2397</v>
      </c>
      <c r="I420" t="s">
        <v>8533</v>
      </c>
      <c r="K420" t="s">
        <v>165</v>
      </c>
      <c r="N420" t="str">
        <f t="shared" si="19"/>
        <v>Szanowna Pani</v>
      </c>
      <c r="P420" s="19" t="s">
        <v>9776</v>
      </c>
      <c r="U420" t="str">
        <f t="shared" si="20"/>
        <v>tak</v>
      </c>
    </row>
    <row r="421" spans="1:21">
      <c r="A421">
        <v>465</v>
      </c>
      <c r="B421" t="s">
        <v>2334</v>
      </c>
      <c r="C421" t="s">
        <v>2336</v>
      </c>
      <c r="D421" t="s">
        <v>2404</v>
      </c>
      <c r="E421" t="s">
        <v>2403</v>
      </c>
      <c r="F421" t="s">
        <v>2402</v>
      </c>
      <c r="G421" t="s">
        <v>2401</v>
      </c>
      <c r="H421" t="s">
        <v>2400</v>
      </c>
      <c r="I421" t="s">
        <v>8534</v>
      </c>
      <c r="K421" t="s">
        <v>164</v>
      </c>
      <c r="N421" t="str">
        <f t="shared" si="19"/>
        <v>Szanowna Pani</v>
      </c>
      <c r="O421" s="19" t="s">
        <v>9776</v>
      </c>
      <c r="U421" t="str">
        <f t="shared" si="20"/>
        <v>tak</v>
      </c>
    </row>
    <row r="422" spans="1:21">
      <c r="A422">
        <v>466</v>
      </c>
      <c r="B422" t="s">
        <v>2334</v>
      </c>
      <c r="C422" t="s">
        <v>2337</v>
      </c>
      <c r="D422" t="s">
        <v>2338</v>
      </c>
      <c r="E422" t="s">
        <v>2186</v>
      </c>
      <c r="F422" t="s">
        <v>2339</v>
      </c>
      <c r="G422" t="s">
        <v>2406</v>
      </c>
      <c r="H422" t="s">
        <v>2405</v>
      </c>
      <c r="I422" t="s">
        <v>8535</v>
      </c>
      <c r="K422" t="s">
        <v>164</v>
      </c>
      <c r="N422" t="str">
        <f t="shared" si="19"/>
        <v>Szanowna Pani</v>
      </c>
      <c r="O422" s="19" t="s">
        <v>9776</v>
      </c>
      <c r="U422" t="str">
        <f t="shared" si="20"/>
        <v>tak</v>
      </c>
    </row>
    <row r="423" spans="1:21">
      <c r="A423">
        <v>467</v>
      </c>
      <c r="B423" t="s">
        <v>2334</v>
      </c>
      <c r="C423" t="s">
        <v>2337</v>
      </c>
      <c r="D423" t="s">
        <v>2338</v>
      </c>
      <c r="E423" t="s">
        <v>2186</v>
      </c>
      <c r="F423" t="s">
        <v>2339</v>
      </c>
      <c r="G423" t="s">
        <v>2406</v>
      </c>
      <c r="H423" t="s">
        <v>2405</v>
      </c>
      <c r="I423" t="s">
        <v>8535</v>
      </c>
      <c r="K423" t="s">
        <v>224</v>
      </c>
      <c r="N423" t="str">
        <f t="shared" si="19"/>
        <v>Szanowna Pani</v>
      </c>
      <c r="Q423" s="19" t="s">
        <v>9776</v>
      </c>
      <c r="U423" t="str">
        <f t="shared" si="20"/>
        <v>tak</v>
      </c>
    </row>
    <row r="424" spans="1:21">
      <c r="A424">
        <v>468</v>
      </c>
      <c r="B424" t="s">
        <v>2334</v>
      </c>
      <c r="C424" t="s">
        <v>2340</v>
      </c>
      <c r="D424" t="s">
        <v>2410</v>
      </c>
      <c r="E424" t="s">
        <v>2409</v>
      </c>
      <c r="F424" t="s">
        <v>2399</v>
      </c>
      <c r="G424" t="s">
        <v>2408</v>
      </c>
      <c r="H424" t="s">
        <v>2407</v>
      </c>
      <c r="I424" t="s">
        <v>8536</v>
      </c>
      <c r="K424" t="s">
        <v>224</v>
      </c>
      <c r="N424" t="str">
        <f t="shared" si="19"/>
        <v>Szanowna Pani</v>
      </c>
      <c r="Q424" s="19" t="s">
        <v>9776</v>
      </c>
      <c r="U424" t="str">
        <f t="shared" si="20"/>
        <v>tak</v>
      </c>
    </row>
    <row r="425" spans="1:21">
      <c r="A425">
        <v>469</v>
      </c>
      <c r="B425" t="s">
        <v>2334</v>
      </c>
      <c r="C425" t="s">
        <v>2340</v>
      </c>
      <c r="D425" t="s">
        <v>2410</v>
      </c>
      <c r="E425" t="s">
        <v>2409</v>
      </c>
      <c r="F425" t="s">
        <v>2399</v>
      </c>
      <c r="G425" t="s">
        <v>2408</v>
      </c>
      <c r="H425" t="s">
        <v>2411</v>
      </c>
      <c r="I425" t="s">
        <v>8536</v>
      </c>
      <c r="K425" t="s">
        <v>164</v>
      </c>
      <c r="N425" t="str">
        <f t="shared" si="19"/>
        <v>Szanowna Pani</v>
      </c>
      <c r="O425" s="19" t="s">
        <v>9776</v>
      </c>
      <c r="U425" t="str">
        <f t="shared" si="20"/>
        <v>tak</v>
      </c>
    </row>
    <row r="426" spans="1:21">
      <c r="A426">
        <v>470</v>
      </c>
      <c r="B426" t="s">
        <v>2334</v>
      </c>
      <c r="C426" t="s">
        <v>2341</v>
      </c>
      <c r="D426" t="s">
        <v>2559</v>
      </c>
      <c r="E426" t="s">
        <v>2558</v>
      </c>
      <c r="F426" t="s">
        <v>2393</v>
      </c>
      <c r="G426">
        <v>957208087</v>
      </c>
      <c r="H426" t="s">
        <v>2412</v>
      </c>
      <c r="I426" t="s">
        <v>8537</v>
      </c>
      <c r="K426" t="s">
        <v>165</v>
      </c>
      <c r="N426" t="str">
        <f t="shared" si="19"/>
        <v>Szanowna Pani</v>
      </c>
      <c r="P426" s="19" t="s">
        <v>9776</v>
      </c>
      <c r="U426" t="str">
        <f t="shared" si="20"/>
        <v>tak</v>
      </c>
    </row>
    <row r="427" spans="1:21">
      <c r="A427">
        <v>471</v>
      </c>
      <c r="B427" t="s">
        <v>2334</v>
      </c>
      <c r="C427" t="s">
        <v>2341</v>
      </c>
      <c r="D427" t="s">
        <v>2559</v>
      </c>
      <c r="E427" t="s">
        <v>2558</v>
      </c>
      <c r="F427" t="s">
        <v>2393</v>
      </c>
      <c r="G427">
        <v>957208087</v>
      </c>
      <c r="H427" t="s">
        <v>2412</v>
      </c>
      <c r="I427" t="s">
        <v>8537</v>
      </c>
      <c r="K427" t="s">
        <v>224</v>
      </c>
      <c r="N427" t="str">
        <f t="shared" si="19"/>
        <v>Szanowna Pani</v>
      </c>
      <c r="Q427" s="19" t="s">
        <v>9776</v>
      </c>
      <c r="U427" t="str">
        <f t="shared" si="20"/>
        <v>tak</v>
      </c>
    </row>
    <row r="428" spans="1:21">
      <c r="A428">
        <v>472</v>
      </c>
      <c r="B428" t="s">
        <v>2334</v>
      </c>
      <c r="C428" t="s">
        <v>2342</v>
      </c>
      <c r="D428" t="s">
        <v>2417</v>
      </c>
      <c r="E428" t="s">
        <v>2416</v>
      </c>
      <c r="F428" t="s">
        <v>2415</v>
      </c>
      <c r="G428" t="s">
        <v>2414</v>
      </c>
      <c r="H428" t="s">
        <v>2413</v>
      </c>
      <c r="I428" t="s">
        <v>8538</v>
      </c>
      <c r="K428" t="s">
        <v>164</v>
      </c>
      <c r="N428" t="str">
        <f t="shared" si="19"/>
        <v>Szanowna Pani</v>
      </c>
      <c r="O428" s="19" t="s">
        <v>9776</v>
      </c>
      <c r="U428" t="str">
        <f t="shared" si="20"/>
        <v>tak</v>
      </c>
    </row>
    <row r="429" spans="1:21">
      <c r="A429">
        <v>473</v>
      </c>
      <c r="B429" t="s">
        <v>2334</v>
      </c>
      <c r="C429" t="s">
        <v>2343</v>
      </c>
      <c r="D429" t="s">
        <v>2422</v>
      </c>
      <c r="E429" t="s">
        <v>2421</v>
      </c>
      <c r="F429" t="s">
        <v>2420</v>
      </c>
      <c r="G429" t="s">
        <v>2419</v>
      </c>
      <c r="H429" t="s">
        <v>2418</v>
      </c>
      <c r="I429" t="s">
        <v>8539</v>
      </c>
      <c r="K429" t="s">
        <v>164</v>
      </c>
      <c r="N429" t="str">
        <f t="shared" si="19"/>
        <v>Szanowna Pani</v>
      </c>
      <c r="O429" s="19" t="s">
        <v>9776</v>
      </c>
      <c r="U429" t="str">
        <f t="shared" si="20"/>
        <v>tak</v>
      </c>
    </row>
    <row r="430" spans="1:21">
      <c r="A430">
        <v>474</v>
      </c>
      <c r="B430" t="s">
        <v>2334</v>
      </c>
      <c r="C430" t="s">
        <v>2344</v>
      </c>
      <c r="D430" t="s">
        <v>2561</v>
      </c>
      <c r="E430" t="s">
        <v>2560</v>
      </c>
      <c r="F430" t="s">
        <v>2347</v>
      </c>
      <c r="G430" t="s">
        <v>2424</v>
      </c>
      <c r="H430" t="s">
        <v>2423</v>
      </c>
      <c r="I430" t="s">
        <v>8540</v>
      </c>
      <c r="K430" t="s">
        <v>164</v>
      </c>
      <c r="N430" t="str">
        <f t="shared" si="19"/>
        <v>Szanowna Pani</v>
      </c>
      <c r="O430" s="19" t="s">
        <v>9776</v>
      </c>
      <c r="U430" t="str">
        <f t="shared" si="20"/>
        <v>tak</v>
      </c>
    </row>
    <row r="431" spans="1:21">
      <c r="A431">
        <v>475</v>
      </c>
      <c r="B431" t="s">
        <v>2334</v>
      </c>
      <c r="C431" t="s">
        <v>2344</v>
      </c>
      <c r="D431" t="s">
        <v>2345</v>
      </c>
      <c r="E431" t="s">
        <v>2346</v>
      </c>
      <c r="F431" t="s">
        <v>2347</v>
      </c>
      <c r="G431" t="s">
        <v>2426</v>
      </c>
      <c r="H431" t="s">
        <v>2425</v>
      </c>
      <c r="I431" t="s">
        <v>8541</v>
      </c>
      <c r="K431" t="s">
        <v>165</v>
      </c>
      <c r="N431" t="str">
        <f t="shared" si="19"/>
        <v>Szanowna Pani</v>
      </c>
      <c r="P431" s="19" t="s">
        <v>9776</v>
      </c>
      <c r="U431" t="str">
        <f t="shared" si="20"/>
        <v>tak</v>
      </c>
    </row>
    <row r="432" spans="1:21">
      <c r="A432">
        <v>476</v>
      </c>
      <c r="B432" t="s">
        <v>2334</v>
      </c>
      <c r="C432" t="s">
        <v>2344</v>
      </c>
      <c r="D432" t="s">
        <v>2430</v>
      </c>
      <c r="E432" t="s">
        <v>2429</v>
      </c>
      <c r="F432" t="s">
        <v>2347</v>
      </c>
      <c r="G432" t="s">
        <v>2428</v>
      </c>
      <c r="H432" t="s">
        <v>2427</v>
      </c>
      <c r="I432" t="s">
        <v>8542</v>
      </c>
      <c r="K432" t="s">
        <v>164</v>
      </c>
      <c r="N432" t="str">
        <f t="shared" si="19"/>
        <v>Szanowna Pani</v>
      </c>
      <c r="O432" s="19" t="s">
        <v>9776</v>
      </c>
      <c r="U432" t="str">
        <f t="shared" si="20"/>
        <v>tak</v>
      </c>
    </row>
    <row r="433" spans="1:21">
      <c r="A433">
        <v>477</v>
      </c>
      <c r="B433" t="s">
        <v>2334</v>
      </c>
      <c r="C433" t="s">
        <v>2344</v>
      </c>
      <c r="D433" t="s">
        <v>2430</v>
      </c>
      <c r="E433" t="s">
        <v>2429</v>
      </c>
      <c r="F433" t="s">
        <v>2347</v>
      </c>
      <c r="G433" t="s">
        <v>2428</v>
      </c>
      <c r="H433" t="s">
        <v>2427</v>
      </c>
      <c r="I433" t="s">
        <v>8542</v>
      </c>
      <c r="K433" t="s">
        <v>224</v>
      </c>
      <c r="N433" t="str">
        <f t="shared" si="19"/>
        <v>Szanowna Pani</v>
      </c>
      <c r="Q433" s="19" t="s">
        <v>9776</v>
      </c>
      <c r="U433" t="str">
        <f t="shared" si="20"/>
        <v>tak</v>
      </c>
    </row>
    <row r="434" spans="1:21">
      <c r="A434">
        <v>478</v>
      </c>
      <c r="B434" t="s">
        <v>2334</v>
      </c>
      <c r="C434" t="s">
        <v>2344</v>
      </c>
      <c r="D434" t="s">
        <v>2430</v>
      </c>
      <c r="E434" t="s">
        <v>2429</v>
      </c>
      <c r="F434" t="s">
        <v>2347</v>
      </c>
      <c r="G434" t="s">
        <v>2428</v>
      </c>
      <c r="H434" t="s">
        <v>2431</v>
      </c>
      <c r="I434" t="s">
        <v>8542</v>
      </c>
      <c r="K434" t="s">
        <v>165</v>
      </c>
      <c r="N434" t="str">
        <f t="shared" si="19"/>
        <v>Szanowna Pani</v>
      </c>
      <c r="P434" s="19" t="s">
        <v>9776</v>
      </c>
      <c r="U434" t="str">
        <f t="shared" si="20"/>
        <v>tak</v>
      </c>
    </row>
    <row r="435" spans="1:21">
      <c r="A435">
        <v>479</v>
      </c>
      <c r="B435" t="s">
        <v>2334</v>
      </c>
      <c r="C435" t="s">
        <v>2344</v>
      </c>
      <c r="D435" t="s">
        <v>2348</v>
      </c>
      <c r="E435" t="s">
        <v>2434</v>
      </c>
      <c r="F435" t="s">
        <v>2347</v>
      </c>
      <c r="G435" t="s">
        <v>2433</v>
      </c>
      <c r="H435" t="s">
        <v>2432</v>
      </c>
      <c r="I435" t="s">
        <v>8543</v>
      </c>
      <c r="K435" t="s">
        <v>164</v>
      </c>
      <c r="N435" t="str">
        <f t="shared" si="19"/>
        <v>Szanowna Pani</v>
      </c>
      <c r="O435" s="19" t="s">
        <v>9776</v>
      </c>
      <c r="U435" t="str">
        <f t="shared" si="20"/>
        <v>tak</v>
      </c>
    </row>
    <row r="436" spans="1:21">
      <c r="A436">
        <v>480</v>
      </c>
      <c r="B436" t="s">
        <v>2334</v>
      </c>
      <c r="C436" t="s">
        <v>2344</v>
      </c>
      <c r="D436" t="s">
        <v>2438</v>
      </c>
      <c r="E436" t="s">
        <v>2437</v>
      </c>
      <c r="F436" t="s">
        <v>2347</v>
      </c>
      <c r="G436" t="s">
        <v>2436</v>
      </c>
      <c r="H436" t="s">
        <v>2435</v>
      </c>
      <c r="I436" t="s">
        <v>8544</v>
      </c>
      <c r="K436" t="s">
        <v>164</v>
      </c>
      <c r="N436" t="str">
        <f t="shared" si="19"/>
        <v>Szanowna Pani</v>
      </c>
      <c r="O436" s="19" t="s">
        <v>9776</v>
      </c>
      <c r="U436" t="str">
        <f t="shared" si="20"/>
        <v>tak</v>
      </c>
    </row>
    <row r="437" spans="1:21">
      <c r="A437">
        <v>481</v>
      </c>
      <c r="B437" t="s">
        <v>2334</v>
      </c>
      <c r="C437" t="s">
        <v>2344</v>
      </c>
      <c r="D437" t="s">
        <v>2442</v>
      </c>
      <c r="E437" t="s">
        <v>2441</v>
      </c>
      <c r="F437" t="s">
        <v>2347</v>
      </c>
      <c r="G437" t="s">
        <v>2440</v>
      </c>
      <c r="H437" t="s">
        <v>2439</v>
      </c>
      <c r="I437" t="s">
        <v>8545</v>
      </c>
      <c r="K437" t="s">
        <v>164</v>
      </c>
      <c r="N437" t="str">
        <f t="shared" si="19"/>
        <v>Szanowna Pani</v>
      </c>
      <c r="O437" s="19" t="s">
        <v>9776</v>
      </c>
      <c r="U437" t="str">
        <f t="shared" si="20"/>
        <v>tak</v>
      </c>
    </row>
    <row r="438" spans="1:21">
      <c r="A438">
        <v>482</v>
      </c>
      <c r="B438" t="s">
        <v>2334</v>
      </c>
      <c r="C438" t="s">
        <v>2344</v>
      </c>
      <c r="D438" t="s">
        <v>2446</v>
      </c>
      <c r="E438" t="s">
        <v>2445</v>
      </c>
      <c r="F438" t="s">
        <v>2347</v>
      </c>
      <c r="G438" t="s">
        <v>2444</v>
      </c>
      <c r="H438" t="s">
        <v>2443</v>
      </c>
      <c r="I438" t="s">
        <v>8546</v>
      </c>
      <c r="K438" t="s">
        <v>164</v>
      </c>
      <c r="N438" t="str">
        <f t="shared" si="19"/>
        <v>Szanowna Pani</v>
      </c>
      <c r="O438" s="19" t="s">
        <v>9776</v>
      </c>
      <c r="U438" t="str">
        <f t="shared" si="20"/>
        <v>tak</v>
      </c>
    </row>
    <row r="439" spans="1:21">
      <c r="A439">
        <v>483</v>
      </c>
      <c r="B439" t="s">
        <v>2334</v>
      </c>
      <c r="C439" t="s">
        <v>2344</v>
      </c>
      <c r="D439" t="s">
        <v>2450</v>
      </c>
      <c r="E439" t="s">
        <v>2449</v>
      </c>
      <c r="F439" t="s">
        <v>2347</v>
      </c>
      <c r="G439" t="s">
        <v>2448</v>
      </c>
      <c r="H439" t="s">
        <v>2447</v>
      </c>
      <c r="I439" t="s">
        <v>8547</v>
      </c>
      <c r="K439" t="s">
        <v>164</v>
      </c>
      <c r="N439" t="str">
        <f t="shared" si="19"/>
        <v>Szanowna Pani</v>
      </c>
      <c r="O439" s="19" t="s">
        <v>9776</v>
      </c>
      <c r="U439" t="str">
        <f t="shared" si="20"/>
        <v>tak</v>
      </c>
    </row>
    <row r="440" spans="1:21">
      <c r="A440">
        <v>484</v>
      </c>
      <c r="B440" t="s">
        <v>2334</v>
      </c>
      <c r="C440" t="s">
        <v>2344</v>
      </c>
      <c r="D440" t="s">
        <v>2454</v>
      </c>
      <c r="E440" t="s">
        <v>2453</v>
      </c>
      <c r="F440" t="s">
        <v>2347</v>
      </c>
      <c r="G440" t="s">
        <v>2452</v>
      </c>
      <c r="H440" t="s">
        <v>2451</v>
      </c>
      <c r="I440" t="s">
        <v>8548</v>
      </c>
      <c r="K440" t="s">
        <v>164</v>
      </c>
      <c r="N440" t="str">
        <f t="shared" si="19"/>
        <v>Szanowna Pani</v>
      </c>
      <c r="O440" s="19" t="s">
        <v>9776</v>
      </c>
      <c r="U440" t="str">
        <f t="shared" si="20"/>
        <v>tak</v>
      </c>
    </row>
    <row r="441" spans="1:21">
      <c r="A441">
        <v>485</v>
      </c>
      <c r="B441" t="s">
        <v>2334</v>
      </c>
      <c r="C441" t="s">
        <v>2344</v>
      </c>
      <c r="D441" t="s">
        <v>2349</v>
      </c>
      <c r="E441" t="s">
        <v>2350</v>
      </c>
      <c r="F441" t="s">
        <v>2347</v>
      </c>
      <c r="G441" t="s">
        <v>2456</v>
      </c>
      <c r="H441" t="s">
        <v>2455</v>
      </c>
      <c r="I441" t="s">
        <v>8549</v>
      </c>
      <c r="K441" t="s">
        <v>165</v>
      </c>
      <c r="N441" t="str">
        <f t="shared" si="19"/>
        <v>Szanowna Pani</v>
      </c>
      <c r="P441" s="19" t="s">
        <v>9776</v>
      </c>
      <c r="U441" t="str">
        <f t="shared" si="20"/>
        <v>tak</v>
      </c>
    </row>
    <row r="442" spans="1:21">
      <c r="A442">
        <v>486</v>
      </c>
      <c r="B442" t="s">
        <v>2334</v>
      </c>
      <c r="C442" t="s">
        <v>2344</v>
      </c>
      <c r="D442" t="s">
        <v>2349</v>
      </c>
      <c r="E442" t="s">
        <v>2350</v>
      </c>
      <c r="F442" t="s">
        <v>2347</v>
      </c>
      <c r="G442" t="s">
        <v>2456</v>
      </c>
      <c r="H442" t="s">
        <v>2455</v>
      </c>
      <c r="I442" t="s">
        <v>8549</v>
      </c>
      <c r="K442" t="s">
        <v>224</v>
      </c>
      <c r="N442" t="str">
        <f t="shared" si="19"/>
        <v>Szanowna Pani</v>
      </c>
      <c r="Q442" s="19" t="s">
        <v>9776</v>
      </c>
      <c r="U442" t="str">
        <f t="shared" si="20"/>
        <v>tak</v>
      </c>
    </row>
    <row r="443" spans="1:21">
      <c r="A443">
        <v>487</v>
      </c>
      <c r="B443" t="s">
        <v>2334</v>
      </c>
      <c r="C443" t="s">
        <v>2344</v>
      </c>
      <c r="D443" t="s">
        <v>2460</v>
      </c>
      <c r="E443" t="s">
        <v>2459</v>
      </c>
      <c r="F443" t="s">
        <v>2347</v>
      </c>
      <c r="G443" t="s">
        <v>2458</v>
      </c>
      <c r="H443" t="s">
        <v>2457</v>
      </c>
      <c r="I443" t="s">
        <v>8550</v>
      </c>
      <c r="K443" t="s">
        <v>164</v>
      </c>
      <c r="N443" t="str">
        <f t="shared" si="19"/>
        <v>Szanowna Pani</v>
      </c>
      <c r="O443" s="19" t="s">
        <v>9776</v>
      </c>
      <c r="U443" t="str">
        <f t="shared" si="20"/>
        <v>tak</v>
      </c>
    </row>
    <row r="444" spans="1:21">
      <c r="A444">
        <v>488</v>
      </c>
      <c r="B444" t="s">
        <v>2334</v>
      </c>
      <c r="C444" t="s">
        <v>2344</v>
      </c>
      <c r="D444" t="s">
        <v>2460</v>
      </c>
      <c r="E444" t="s">
        <v>2459</v>
      </c>
      <c r="F444" t="s">
        <v>2347</v>
      </c>
      <c r="G444" t="s">
        <v>2458</v>
      </c>
      <c r="H444" t="s">
        <v>2461</v>
      </c>
      <c r="I444" t="s">
        <v>8550</v>
      </c>
      <c r="K444" t="s">
        <v>224</v>
      </c>
      <c r="N444" t="str">
        <f t="shared" si="19"/>
        <v>Szanowna Pani</v>
      </c>
      <c r="Q444" s="19" t="s">
        <v>9776</v>
      </c>
      <c r="U444" t="str">
        <f t="shared" si="20"/>
        <v>tak</v>
      </c>
    </row>
    <row r="445" spans="1:21">
      <c r="A445">
        <v>489</v>
      </c>
      <c r="B445" t="s">
        <v>2334</v>
      </c>
      <c r="C445" t="s">
        <v>2344</v>
      </c>
      <c r="D445" t="s">
        <v>2351</v>
      </c>
      <c r="E445" t="s">
        <v>2346</v>
      </c>
      <c r="F445" t="s">
        <v>2347</v>
      </c>
      <c r="G445" t="s">
        <v>2463</v>
      </c>
      <c r="H445" t="s">
        <v>2462</v>
      </c>
      <c r="I445" t="s">
        <v>8551</v>
      </c>
      <c r="K445" t="s">
        <v>164</v>
      </c>
      <c r="N445" t="str">
        <f t="shared" si="19"/>
        <v>Szanowna Pani</v>
      </c>
      <c r="O445" s="19" t="s">
        <v>9776</v>
      </c>
      <c r="U445" t="str">
        <f t="shared" si="20"/>
        <v>tak</v>
      </c>
    </row>
    <row r="446" spans="1:21">
      <c r="A446">
        <v>490</v>
      </c>
      <c r="B446" t="s">
        <v>2334</v>
      </c>
      <c r="C446" t="s">
        <v>2344</v>
      </c>
      <c r="D446" t="s">
        <v>2352</v>
      </c>
      <c r="E446" t="s">
        <v>2346</v>
      </c>
      <c r="F446" t="s">
        <v>2347</v>
      </c>
      <c r="G446" t="s">
        <v>2463</v>
      </c>
      <c r="H446" t="s">
        <v>2462</v>
      </c>
      <c r="I446" t="s">
        <v>8551</v>
      </c>
      <c r="K446" t="s">
        <v>2550</v>
      </c>
      <c r="N446" t="str">
        <f t="shared" si="19"/>
        <v>Szanowna Pani</v>
      </c>
      <c r="O446" s="19" t="s">
        <v>9776</v>
      </c>
      <c r="U446" t="str">
        <f t="shared" ref="U446:U479" si="21">+O446 &amp;P446&amp;Q446</f>
        <v>tak</v>
      </c>
    </row>
    <row r="447" spans="1:21">
      <c r="A447">
        <v>491</v>
      </c>
      <c r="B447" t="s">
        <v>2334</v>
      </c>
      <c r="C447" t="s">
        <v>2344</v>
      </c>
      <c r="D447" s="16" t="s">
        <v>2353</v>
      </c>
      <c r="E447" t="s">
        <v>2346</v>
      </c>
      <c r="F447" t="s">
        <v>2347</v>
      </c>
      <c r="G447" t="s">
        <v>2552</v>
      </c>
      <c r="H447" t="s">
        <v>2551</v>
      </c>
      <c r="I447" t="s">
        <v>8552</v>
      </c>
      <c r="K447" t="s">
        <v>164</v>
      </c>
      <c r="L447" t="s">
        <v>224</v>
      </c>
      <c r="N447" t="str">
        <f t="shared" si="19"/>
        <v>Szanowna Pani</v>
      </c>
      <c r="O447" s="19" t="s">
        <v>9776</v>
      </c>
      <c r="U447" t="str">
        <f t="shared" si="21"/>
        <v>tak</v>
      </c>
    </row>
    <row r="448" spans="1:21">
      <c r="A448">
        <v>492</v>
      </c>
      <c r="B448" t="s">
        <v>2334</v>
      </c>
      <c r="C448" t="s">
        <v>2344</v>
      </c>
      <c r="D448" s="16" t="s">
        <v>9613</v>
      </c>
      <c r="E448" t="s">
        <v>9614</v>
      </c>
      <c r="F448" t="s">
        <v>2347</v>
      </c>
      <c r="G448">
        <v>515198680</v>
      </c>
      <c r="H448" t="s">
        <v>9615</v>
      </c>
      <c r="I448" s="15" t="s">
        <v>9616</v>
      </c>
      <c r="K448" t="s">
        <v>164</v>
      </c>
      <c r="L448" t="s">
        <v>224</v>
      </c>
      <c r="N448" t="str">
        <f t="shared" si="19"/>
        <v>Szanowna Pani</v>
      </c>
      <c r="O448" s="19" t="s">
        <v>9776</v>
      </c>
      <c r="U448" t="str">
        <f t="shared" si="21"/>
        <v>tak</v>
      </c>
    </row>
    <row r="449" spans="1:21">
      <c r="A449">
        <v>493</v>
      </c>
      <c r="B449" t="s">
        <v>2334</v>
      </c>
      <c r="C449" t="s">
        <v>2344</v>
      </c>
      <c r="D449" t="s">
        <v>2354</v>
      </c>
      <c r="E449" t="s">
        <v>2355</v>
      </c>
      <c r="F449" t="s">
        <v>2347</v>
      </c>
      <c r="G449" t="s">
        <v>2465</v>
      </c>
      <c r="H449" t="s">
        <v>2464</v>
      </c>
      <c r="I449" t="s">
        <v>8553</v>
      </c>
      <c r="K449" t="s">
        <v>164</v>
      </c>
      <c r="N449" t="str">
        <f t="shared" si="19"/>
        <v>Szanowny Pan</v>
      </c>
      <c r="O449" s="19" t="s">
        <v>9776</v>
      </c>
      <c r="U449" t="str">
        <f t="shared" si="21"/>
        <v>tak</v>
      </c>
    </row>
    <row r="450" spans="1:21">
      <c r="A450">
        <v>494</v>
      </c>
      <c r="B450" t="s">
        <v>2334</v>
      </c>
      <c r="C450" t="s">
        <v>2356</v>
      </c>
      <c r="D450" t="s">
        <v>2470</v>
      </c>
      <c r="E450" t="s">
        <v>2469</v>
      </c>
      <c r="F450" t="s">
        <v>2468</v>
      </c>
      <c r="G450" t="s">
        <v>2467</v>
      </c>
      <c r="H450" t="s">
        <v>2466</v>
      </c>
      <c r="I450" t="s">
        <v>8554</v>
      </c>
      <c r="K450" t="s">
        <v>165</v>
      </c>
      <c r="N450" t="str">
        <f t="shared" si="19"/>
        <v>Szanowna Pani</v>
      </c>
      <c r="P450" s="19" t="s">
        <v>9776</v>
      </c>
      <c r="U450" t="str">
        <f t="shared" si="21"/>
        <v>tak</v>
      </c>
    </row>
    <row r="451" spans="1:21">
      <c r="A451">
        <v>495</v>
      </c>
      <c r="B451" t="s">
        <v>2334</v>
      </c>
      <c r="C451" t="s">
        <v>2357</v>
      </c>
      <c r="D451" t="s">
        <v>2358</v>
      </c>
      <c r="E451" t="s">
        <v>2359</v>
      </c>
      <c r="F451" t="s">
        <v>2339</v>
      </c>
      <c r="G451">
        <v>957510507</v>
      </c>
      <c r="H451" t="s">
        <v>2405</v>
      </c>
      <c r="I451" t="s">
        <v>8535</v>
      </c>
      <c r="K451" t="s">
        <v>224</v>
      </c>
      <c r="N451" t="str">
        <f t="shared" si="19"/>
        <v>Szanowna Pani</v>
      </c>
      <c r="Q451" s="19" t="s">
        <v>9776</v>
      </c>
      <c r="U451" t="str">
        <f t="shared" si="21"/>
        <v>tak</v>
      </c>
    </row>
    <row r="452" spans="1:21">
      <c r="A452">
        <v>496</v>
      </c>
      <c r="B452" t="s">
        <v>2334</v>
      </c>
      <c r="C452" t="s">
        <v>2360</v>
      </c>
      <c r="D452" t="s">
        <v>2563</v>
      </c>
      <c r="E452" t="s">
        <v>2562</v>
      </c>
      <c r="F452" t="s">
        <v>2473</v>
      </c>
      <c r="G452" t="s">
        <v>2472</v>
      </c>
      <c r="H452" t="s">
        <v>2471</v>
      </c>
      <c r="I452" t="s">
        <v>8555</v>
      </c>
      <c r="K452" t="s">
        <v>164</v>
      </c>
      <c r="N452" t="str">
        <f t="shared" si="19"/>
        <v>Szanowna Pani</v>
      </c>
      <c r="O452" s="19" t="s">
        <v>9776</v>
      </c>
      <c r="U452" t="str">
        <f t="shared" si="21"/>
        <v>tak</v>
      </c>
    </row>
    <row r="453" spans="1:21">
      <c r="A453">
        <v>497</v>
      </c>
      <c r="B453" t="s">
        <v>2334</v>
      </c>
      <c r="C453" t="s">
        <v>2361</v>
      </c>
      <c r="D453" t="s">
        <v>2477</v>
      </c>
      <c r="E453" t="s">
        <v>2392</v>
      </c>
      <c r="F453" t="s">
        <v>2476</v>
      </c>
      <c r="G453" t="s">
        <v>2475</v>
      </c>
      <c r="H453" t="s">
        <v>2474</v>
      </c>
      <c r="I453" t="s">
        <v>8556</v>
      </c>
      <c r="K453" t="s">
        <v>2553</v>
      </c>
      <c r="L453" t="s">
        <v>224</v>
      </c>
      <c r="N453" t="str">
        <f t="shared" si="19"/>
        <v>Szanowna Pani</v>
      </c>
      <c r="Q453" s="19" t="s">
        <v>9776</v>
      </c>
      <c r="U453" t="str">
        <f t="shared" si="21"/>
        <v>tak</v>
      </c>
    </row>
    <row r="454" spans="1:21">
      <c r="A454">
        <v>498</v>
      </c>
      <c r="B454" t="s">
        <v>2334</v>
      </c>
      <c r="C454" t="s">
        <v>2362</v>
      </c>
      <c r="D454" t="s">
        <v>2482</v>
      </c>
      <c r="E454" t="s">
        <v>2481</v>
      </c>
      <c r="F454" t="s">
        <v>2480</v>
      </c>
      <c r="G454" t="s">
        <v>2479</v>
      </c>
      <c r="H454" t="s">
        <v>2478</v>
      </c>
      <c r="I454" t="s">
        <v>8557</v>
      </c>
      <c r="K454" t="s">
        <v>164</v>
      </c>
      <c r="N454" t="str">
        <f t="shared" si="19"/>
        <v>Szanowna Pani</v>
      </c>
      <c r="O454" s="19" t="s">
        <v>9776</v>
      </c>
      <c r="U454" t="str">
        <f t="shared" si="21"/>
        <v>tak</v>
      </c>
    </row>
    <row r="455" spans="1:21">
      <c r="A455">
        <v>499</v>
      </c>
      <c r="B455" t="s">
        <v>2334</v>
      </c>
      <c r="C455" t="s">
        <v>2362</v>
      </c>
      <c r="D455" t="s">
        <v>2482</v>
      </c>
      <c r="E455" t="s">
        <v>2481</v>
      </c>
      <c r="F455" t="s">
        <v>2480</v>
      </c>
      <c r="G455" t="s">
        <v>2479</v>
      </c>
      <c r="H455" t="s">
        <v>2478</v>
      </c>
      <c r="I455" t="s">
        <v>8557</v>
      </c>
      <c r="K455" t="s">
        <v>165</v>
      </c>
      <c r="N455" t="str">
        <f t="shared" si="19"/>
        <v>Szanowna Pani</v>
      </c>
      <c r="P455" s="19" t="s">
        <v>9776</v>
      </c>
      <c r="U455" t="str">
        <f t="shared" si="21"/>
        <v>tak</v>
      </c>
    </row>
    <row r="456" spans="1:21">
      <c r="A456">
        <v>500</v>
      </c>
      <c r="B456" t="s">
        <v>2334</v>
      </c>
      <c r="C456" t="s">
        <v>2363</v>
      </c>
      <c r="D456" t="s">
        <v>251</v>
      </c>
      <c r="E456" t="s">
        <v>167</v>
      </c>
      <c r="F456" t="s">
        <v>2485</v>
      </c>
      <c r="G456" t="s">
        <v>2484</v>
      </c>
      <c r="H456" t="s">
        <v>2483</v>
      </c>
      <c r="I456" t="s">
        <v>8558</v>
      </c>
      <c r="K456" t="s">
        <v>164</v>
      </c>
      <c r="N456" t="str">
        <f t="shared" si="19"/>
        <v>Szanowna Pani</v>
      </c>
      <c r="O456" s="19" t="s">
        <v>9776</v>
      </c>
      <c r="U456" t="str">
        <f t="shared" si="21"/>
        <v>tak</v>
      </c>
    </row>
    <row r="457" spans="1:21">
      <c r="A457">
        <v>501</v>
      </c>
      <c r="B457" t="s">
        <v>2334</v>
      </c>
      <c r="C457" t="s">
        <v>2363</v>
      </c>
      <c r="D457" t="s">
        <v>2486</v>
      </c>
      <c r="E457" t="s">
        <v>167</v>
      </c>
      <c r="F457" t="s">
        <v>2485</v>
      </c>
      <c r="G457" t="s">
        <v>2484</v>
      </c>
      <c r="H457" t="s">
        <v>2483</v>
      </c>
      <c r="I457" t="s">
        <v>8558</v>
      </c>
      <c r="K457" t="s">
        <v>224</v>
      </c>
      <c r="N457" t="str">
        <f t="shared" si="19"/>
        <v>Szanowna Pani</v>
      </c>
      <c r="Q457" s="19" t="s">
        <v>9776</v>
      </c>
      <c r="U457" t="str">
        <f t="shared" si="21"/>
        <v>tak</v>
      </c>
    </row>
    <row r="458" spans="1:21">
      <c r="A458">
        <v>502</v>
      </c>
      <c r="B458" t="s">
        <v>2334</v>
      </c>
      <c r="C458" t="s">
        <v>2363</v>
      </c>
      <c r="D458" t="s">
        <v>2486</v>
      </c>
      <c r="E458" t="s">
        <v>167</v>
      </c>
      <c r="F458" t="s">
        <v>2485</v>
      </c>
      <c r="G458" t="s">
        <v>2484</v>
      </c>
      <c r="H458" t="s">
        <v>2483</v>
      </c>
      <c r="I458" t="s">
        <v>8558</v>
      </c>
      <c r="K458" t="s">
        <v>165</v>
      </c>
      <c r="N458" t="str">
        <f t="shared" si="19"/>
        <v>Szanowna Pani</v>
      </c>
      <c r="P458" s="19" t="s">
        <v>9776</v>
      </c>
      <c r="U458" t="str">
        <f t="shared" si="21"/>
        <v>tak</v>
      </c>
    </row>
    <row r="459" spans="1:21">
      <c r="A459">
        <v>503</v>
      </c>
      <c r="B459" t="s">
        <v>2334</v>
      </c>
      <c r="C459" t="s">
        <v>2363</v>
      </c>
      <c r="D459" t="s">
        <v>2486</v>
      </c>
      <c r="E459" t="s">
        <v>167</v>
      </c>
      <c r="F459" t="s">
        <v>2485</v>
      </c>
      <c r="G459" t="s">
        <v>2484</v>
      </c>
      <c r="H459" t="s">
        <v>2483</v>
      </c>
      <c r="I459" t="s">
        <v>8558</v>
      </c>
      <c r="K459" t="s">
        <v>2554</v>
      </c>
      <c r="L459" t="s">
        <v>9606</v>
      </c>
      <c r="N459" t="str">
        <f t="shared" si="19"/>
        <v>Szanowna Pani</v>
      </c>
      <c r="Q459" s="19" t="s">
        <v>9776</v>
      </c>
      <c r="U459" t="str">
        <f t="shared" si="21"/>
        <v>tak</v>
      </c>
    </row>
    <row r="460" spans="1:21">
      <c r="A460">
        <v>504</v>
      </c>
      <c r="B460" t="s">
        <v>2334</v>
      </c>
      <c r="C460" t="s">
        <v>2364</v>
      </c>
      <c r="D460" t="s">
        <v>2490</v>
      </c>
      <c r="E460" t="s">
        <v>2489</v>
      </c>
      <c r="F460" t="s">
        <v>2480</v>
      </c>
      <c r="G460" t="s">
        <v>2488</v>
      </c>
      <c r="H460" t="s">
        <v>2487</v>
      </c>
      <c r="I460" t="s">
        <v>8559</v>
      </c>
      <c r="K460" t="s">
        <v>164</v>
      </c>
      <c r="N460" t="str">
        <f t="shared" si="19"/>
        <v>Szanowna Pani</v>
      </c>
      <c r="O460" s="19" t="s">
        <v>9776</v>
      </c>
      <c r="U460" t="str">
        <f t="shared" si="21"/>
        <v>tak</v>
      </c>
    </row>
    <row r="461" spans="1:21">
      <c r="A461">
        <v>505</v>
      </c>
      <c r="B461" t="s">
        <v>2334</v>
      </c>
      <c r="C461" t="s">
        <v>2364</v>
      </c>
      <c r="D461" t="s">
        <v>2490</v>
      </c>
      <c r="E461" t="s">
        <v>2489</v>
      </c>
      <c r="F461" t="s">
        <v>2480</v>
      </c>
      <c r="G461" t="s">
        <v>2491</v>
      </c>
      <c r="H461" t="s">
        <v>2487</v>
      </c>
      <c r="I461" t="s">
        <v>8559</v>
      </c>
      <c r="K461" t="s">
        <v>165</v>
      </c>
      <c r="N461" t="str">
        <f t="shared" si="19"/>
        <v>Szanowna Pani</v>
      </c>
      <c r="P461" s="19" t="s">
        <v>9776</v>
      </c>
      <c r="U461" t="str">
        <f t="shared" si="21"/>
        <v>tak</v>
      </c>
    </row>
    <row r="462" spans="1:21">
      <c r="A462">
        <v>506</v>
      </c>
      <c r="B462" t="s">
        <v>2334</v>
      </c>
      <c r="C462" t="s">
        <v>2365</v>
      </c>
      <c r="D462" t="s">
        <v>2496</v>
      </c>
      <c r="E462" t="s">
        <v>2495</v>
      </c>
      <c r="F462" t="s">
        <v>2494</v>
      </c>
      <c r="G462" t="s">
        <v>2493</v>
      </c>
      <c r="H462" t="s">
        <v>2492</v>
      </c>
      <c r="I462" t="s">
        <v>8560</v>
      </c>
      <c r="K462" t="s">
        <v>165</v>
      </c>
      <c r="N462" t="str">
        <f t="shared" si="19"/>
        <v>Szanowna Pani</v>
      </c>
      <c r="P462" s="19" t="s">
        <v>9776</v>
      </c>
      <c r="U462" t="str">
        <f t="shared" si="21"/>
        <v>tak</v>
      </c>
    </row>
    <row r="463" spans="1:21">
      <c r="A463">
        <v>507</v>
      </c>
      <c r="B463" t="s">
        <v>2334</v>
      </c>
      <c r="C463" t="s">
        <v>2366</v>
      </c>
      <c r="D463" t="s">
        <v>2367</v>
      </c>
      <c r="E463" t="s">
        <v>2368</v>
      </c>
      <c r="F463" t="s">
        <v>2339</v>
      </c>
      <c r="G463" t="s">
        <v>2497</v>
      </c>
      <c r="H463" t="s">
        <v>2405</v>
      </c>
      <c r="I463" t="s">
        <v>8535</v>
      </c>
      <c r="K463" t="s">
        <v>224</v>
      </c>
      <c r="N463" t="str">
        <f t="shared" si="19"/>
        <v>Szanowna Pani</v>
      </c>
      <c r="Q463" s="19" t="s">
        <v>9776</v>
      </c>
      <c r="U463" t="str">
        <f t="shared" si="21"/>
        <v>tak</v>
      </c>
    </row>
    <row r="464" spans="1:21">
      <c r="A464">
        <v>508</v>
      </c>
      <c r="B464" t="s">
        <v>2334</v>
      </c>
      <c r="C464" t="s">
        <v>2369</v>
      </c>
      <c r="D464" t="s">
        <v>2501</v>
      </c>
      <c r="F464" t="s">
        <v>2500</v>
      </c>
      <c r="G464" t="s">
        <v>2499</v>
      </c>
      <c r="H464" t="s">
        <v>2498</v>
      </c>
      <c r="I464" t="s">
        <v>8561</v>
      </c>
      <c r="K464" t="s">
        <v>164</v>
      </c>
      <c r="N464" t="str">
        <f t="shared" si="19"/>
        <v>Szanowna Pani</v>
      </c>
      <c r="O464" s="19" t="s">
        <v>9776</v>
      </c>
      <c r="U464" t="str">
        <f t="shared" si="21"/>
        <v>tak</v>
      </c>
    </row>
    <row r="465" spans="1:21">
      <c r="A465">
        <v>509</v>
      </c>
      <c r="B465" t="s">
        <v>2334</v>
      </c>
      <c r="C465" t="s">
        <v>2369</v>
      </c>
      <c r="D465" t="s">
        <v>2501</v>
      </c>
      <c r="F465" t="s">
        <v>2500</v>
      </c>
      <c r="G465" t="s">
        <v>2499</v>
      </c>
      <c r="H465" t="s">
        <v>2498</v>
      </c>
      <c r="I465" t="s">
        <v>8561</v>
      </c>
      <c r="K465" t="s">
        <v>224</v>
      </c>
      <c r="N465" t="str">
        <f t="shared" si="19"/>
        <v>Szanowna Pani</v>
      </c>
      <c r="Q465" s="19" t="s">
        <v>9776</v>
      </c>
      <c r="U465" t="str">
        <f t="shared" si="21"/>
        <v>tak</v>
      </c>
    </row>
    <row r="466" spans="1:21">
      <c r="A466">
        <v>510</v>
      </c>
      <c r="B466" t="s">
        <v>2334</v>
      </c>
      <c r="C466" t="s">
        <v>2370</v>
      </c>
      <c r="D466" t="s">
        <v>2505</v>
      </c>
      <c r="F466" t="s">
        <v>2504</v>
      </c>
      <c r="G466" t="s">
        <v>2503</v>
      </c>
      <c r="H466" t="s">
        <v>2502</v>
      </c>
      <c r="I466" t="s">
        <v>8562</v>
      </c>
      <c r="K466" t="s">
        <v>164</v>
      </c>
      <c r="N466" t="str">
        <f t="shared" si="19"/>
        <v>Szanowna Pani</v>
      </c>
      <c r="O466" s="19" t="s">
        <v>9776</v>
      </c>
      <c r="U466" t="str">
        <f t="shared" si="21"/>
        <v>tak</v>
      </c>
    </row>
    <row r="467" spans="1:21">
      <c r="A467">
        <v>511</v>
      </c>
      <c r="B467" t="s">
        <v>2334</v>
      </c>
      <c r="C467" t="s">
        <v>2370</v>
      </c>
      <c r="D467" t="s">
        <v>2505</v>
      </c>
      <c r="F467" t="s">
        <v>2504</v>
      </c>
      <c r="G467" t="s">
        <v>2503</v>
      </c>
      <c r="H467" t="s">
        <v>2506</v>
      </c>
      <c r="I467" t="s">
        <v>8562</v>
      </c>
      <c r="K467" t="s">
        <v>224</v>
      </c>
      <c r="N467" t="str">
        <f t="shared" si="19"/>
        <v>Szanowna Pani</v>
      </c>
      <c r="Q467" s="19" t="s">
        <v>9776</v>
      </c>
      <c r="U467" t="str">
        <f t="shared" si="21"/>
        <v>tak</v>
      </c>
    </row>
    <row r="468" spans="1:21">
      <c r="A468">
        <v>512</v>
      </c>
      <c r="B468" t="s">
        <v>2334</v>
      </c>
      <c r="C468" t="s">
        <v>2371</v>
      </c>
      <c r="D468" t="s">
        <v>2565</v>
      </c>
      <c r="E468" t="s">
        <v>2564</v>
      </c>
      <c r="F468" t="s">
        <v>2480</v>
      </c>
      <c r="G468">
        <v>697747548</v>
      </c>
      <c r="H468" t="s">
        <v>2507</v>
      </c>
      <c r="I468" t="s">
        <v>8563</v>
      </c>
      <c r="K468" t="s">
        <v>164</v>
      </c>
      <c r="N468" t="str">
        <f t="shared" si="19"/>
        <v>Szanowna Pani</v>
      </c>
      <c r="O468" s="19" t="s">
        <v>9776</v>
      </c>
      <c r="U468" t="str">
        <f t="shared" si="21"/>
        <v>tak</v>
      </c>
    </row>
    <row r="469" spans="1:21">
      <c r="A469">
        <v>513</v>
      </c>
      <c r="B469" t="s">
        <v>2334</v>
      </c>
      <c r="C469" t="s">
        <v>2371</v>
      </c>
      <c r="D469" t="s">
        <v>2565</v>
      </c>
      <c r="E469" t="s">
        <v>2564</v>
      </c>
      <c r="F469" t="s">
        <v>2480</v>
      </c>
      <c r="G469">
        <v>697747548</v>
      </c>
      <c r="H469" t="s">
        <v>2507</v>
      </c>
      <c r="I469" t="s">
        <v>8563</v>
      </c>
      <c r="K469" t="s">
        <v>165</v>
      </c>
      <c r="N469" t="str">
        <f t="shared" si="19"/>
        <v>Szanowna Pani</v>
      </c>
      <c r="P469" s="19" t="s">
        <v>9776</v>
      </c>
      <c r="U469" t="str">
        <f t="shared" si="21"/>
        <v>tak</v>
      </c>
    </row>
    <row r="470" spans="1:21">
      <c r="A470">
        <v>514</v>
      </c>
      <c r="B470" t="s">
        <v>2334</v>
      </c>
      <c r="C470" t="s">
        <v>2372</v>
      </c>
      <c r="D470" t="s">
        <v>2511</v>
      </c>
      <c r="E470" t="s">
        <v>2510</v>
      </c>
      <c r="F470" t="s">
        <v>2509</v>
      </c>
      <c r="G470">
        <v>957571343</v>
      </c>
      <c r="H470" t="s">
        <v>2508</v>
      </c>
      <c r="I470" t="s">
        <v>8564</v>
      </c>
      <c r="K470" t="s">
        <v>164</v>
      </c>
      <c r="N470" t="str">
        <f t="shared" si="19"/>
        <v>Szanowna Pani</v>
      </c>
      <c r="O470" s="19" t="s">
        <v>9776</v>
      </c>
      <c r="U470" t="str">
        <f t="shared" si="21"/>
        <v>tak</v>
      </c>
    </row>
    <row r="471" spans="1:21">
      <c r="A471">
        <v>515</v>
      </c>
      <c r="B471" t="s">
        <v>2334</v>
      </c>
      <c r="C471" t="s">
        <v>2373</v>
      </c>
      <c r="D471" t="s">
        <v>166</v>
      </c>
      <c r="E471" t="s">
        <v>2515</v>
      </c>
      <c r="F471" t="s">
        <v>2514</v>
      </c>
      <c r="G471" t="s">
        <v>2513</v>
      </c>
      <c r="H471" t="s">
        <v>2512</v>
      </c>
      <c r="I471" t="s">
        <v>8565</v>
      </c>
      <c r="K471" t="s">
        <v>164</v>
      </c>
      <c r="N471" t="str">
        <f t="shared" ref="N471:N534" si="22">IF(ISERROR(FIND(",",H471)),IF(MID(H471,FIND(" ",H471)-1,1)="a","Szanowna Pani","Szanowny Pan"), "Szanowne Panie")</f>
        <v>Szanowna Pani</v>
      </c>
      <c r="O471" s="19" t="s">
        <v>9776</v>
      </c>
      <c r="U471" t="str">
        <f t="shared" si="21"/>
        <v>tak</v>
      </c>
    </row>
    <row r="472" spans="1:21">
      <c r="A472">
        <v>516</v>
      </c>
      <c r="B472" t="s">
        <v>2334</v>
      </c>
      <c r="C472" t="s">
        <v>2374</v>
      </c>
      <c r="D472" t="s">
        <v>2375</v>
      </c>
      <c r="E472" t="s">
        <v>2376</v>
      </c>
      <c r="F472" t="s">
        <v>2377</v>
      </c>
      <c r="G472" t="s">
        <v>2398</v>
      </c>
      <c r="H472" t="s">
        <v>2397</v>
      </c>
      <c r="I472" t="s">
        <v>8536</v>
      </c>
      <c r="K472" t="s">
        <v>165</v>
      </c>
      <c r="N472" t="str">
        <f t="shared" si="22"/>
        <v>Szanowna Pani</v>
      </c>
      <c r="P472" s="19" t="s">
        <v>9776</v>
      </c>
      <c r="U472" t="str">
        <f t="shared" si="21"/>
        <v>tak</v>
      </c>
    </row>
    <row r="473" spans="1:21">
      <c r="A473">
        <v>517</v>
      </c>
      <c r="B473" t="s">
        <v>2334</v>
      </c>
      <c r="C473" t="s">
        <v>2378</v>
      </c>
      <c r="D473" t="s">
        <v>2520</v>
      </c>
      <c r="E473" t="s">
        <v>2519</v>
      </c>
      <c r="F473" t="s">
        <v>2518</v>
      </c>
      <c r="G473" t="s">
        <v>2517</v>
      </c>
      <c r="H473" t="s">
        <v>2516</v>
      </c>
      <c r="I473" t="s">
        <v>8560</v>
      </c>
      <c r="K473" t="s">
        <v>164</v>
      </c>
      <c r="N473" t="str">
        <f t="shared" si="22"/>
        <v>Szanowna Pani</v>
      </c>
      <c r="O473" s="19" t="s">
        <v>9776</v>
      </c>
      <c r="U473" t="str">
        <f t="shared" si="21"/>
        <v>tak</v>
      </c>
    </row>
    <row r="474" spans="1:21">
      <c r="A474">
        <v>518</v>
      </c>
      <c r="B474" t="s">
        <v>2334</v>
      </c>
      <c r="C474" t="s">
        <v>2379</v>
      </c>
      <c r="D474" t="s">
        <v>2524</v>
      </c>
      <c r="E474" t="s">
        <v>2523</v>
      </c>
      <c r="F474" t="s">
        <v>2522</v>
      </c>
      <c r="G474">
        <v>957582372</v>
      </c>
      <c r="H474" t="s">
        <v>2521</v>
      </c>
      <c r="I474" t="s">
        <v>8566</v>
      </c>
      <c r="K474" t="s">
        <v>165</v>
      </c>
      <c r="N474" t="str">
        <f t="shared" si="22"/>
        <v>Szanowna Pani</v>
      </c>
      <c r="P474" s="19" t="s">
        <v>9776</v>
      </c>
      <c r="U474" t="str">
        <f t="shared" si="21"/>
        <v>tak</v>
      </c>
    </row>
    <row r="475" spans="1:21">
      <c r="A475">
        <v>519</v>
      </c>
      <c r="B475" t="s">
        <v>2334</v>
      </c>
      <c r="C475" t="s">
        <v>2379</v>
      </c>
      <c r="D475" t="s">
        <v>2524</v>
      </c>
      <c r="E475" t="s">
        <v>2523</v>
      </c>
      <c r="F475" t="s">
        <v>2522</v>
      </c>
      <c r="G475">
        <v>957582372</v>
      </c>
      <c r="H475" t="s">
        <v>2525</v>
      </c>
      <c r="I475" t="s">
        <v>8566</v>
      </c>
      <c r="K475" t="s">
        <v>164</v>
      </c>
      <c r="N475" t="str">
        <f t="shared" si="22"/>
        <v>Szanowna Pani</v>
      </c>
      <c r="O475" s="19" t="s">
        <v>9776</v>
      </c>
      <c r="U475" t="str">
        <f t="shared" si="21"/>
        <v>tak</v>
      </c>
    </row>
    <row r="476" spans="1:21">
      <c r="A476">
        <v>520</v>
      </c>
      <c r="B476" t="s">
        <v>2334</v>
      </c>
      <c r="C476" t="s">
        <v>2380</v>
      </c>
      <c r="D476" t="s">
        <v>2381</v>
      </c>
      <c r="E476" t="s">
        <v>2382</v>
      </c>
      <c r="F476" t="s">
        <v>2383</v>
      </c>
      <c r="G476">
        <v>957615070</v>
      </c>
      <c r="H476" t="s">
        <v>2526</v>
      </c>
      <c r="I476" t="s">
        <v>8567</v>
      </c>
      <c r="K476" t="s">
        <v>164</v>
      </c>
      <c r="N476" t="str">
        <f t="shared" si="22"/>
        <v>Szanowna Pani</v>
      </c>
      <c r="O476" s="19" t="s">
        <v>9776</v>
      </c>
      <c r="U476" t="str">
        <f t="shared" si="21"/>
        <v>tak</v>
      </c>
    </row>
    <row r="477" spans="1:21">
      <c r="A477">
        <v>521</v>
      </c>
      <c r="B477" t="s">
        <v>2334</v>
      </c>
      <c r="C477" t="s">
        <v>2384</v>
      </c>
      <c r="D477" t="s">
        <v>161</v>
      </c>
      <c r="E477" t="s">
        <v>2529</v>
      </c>
      <c r="F477" t="s">
        <v>2528</v>
      </c>
      <c r="G477" t="s">
        <v>2527</v>
      </c>
      <c r="H477" t="s">
        <v>2555</v>
      </c>
      <c r="I477" t="s">
        <v>8568</v>
      </c>
      <c r="K477" t="s">
        <v>164</v>
      </c>
      <c r="N477" t="str">
        <f t="shared" si="22"/>
        <v>Szanowna Pani</v>
      </c>
      <c r="O477" s="19" t="s">
        <v>9776</v>
      </c>
      <c r="U477" t="str">
        <f t="shared" si="21"/>
        <v>tak</v>
      </c>
    </row>
    <row r="478" spans="1:21">
      <c r="A478">
        <v>522</v>
      </c>
      <c r="B478" t="s">
        <v>2334</v>
      </c>
      <c r="C478" t="s">
        <v>2385</v>
      </c>
      <c r="D478" t="s">
        <v>2534</v>
      </c>
      <c r="E478" t="s">
        <v>2533</v>
      </c>
      <c r="F478" t="s">
        <v>2532</v>
      </c>
      <c r="G478" t="s">
        <v>2531</v>
      </c>
      <c r="H478" t="s">
        <v>2530</v>
      </c>
      <c r="I478" t="s">
        <v>8569</v>
      </c>
      <c r="K478" t="s">
        <v>164</v>
      </c>
      <c r="N478" t="str">
        <f t="shared" si="22"/>
        <v>Szanowna Pani</v>
      </c>
      <c r="O478" s="19" t="s">
        <v>9776</v>
      </c>
      <c r="U478" t="str">
        <f t="shared" si="21"/>
        <v>tak</v>
      </c>
    </row>
    <row r="479" spans="1:21">
      <c r="A479">
        <v>523</v>
      </c>
      <c r="B479" t="s">
        <v>2334</v>
      </c>
      <c r="C479" t="s">
        <v>2386</v>
      </c>
      <c r="D479" t="s">
        <v>2539</v>
      </c>
      <c r="E479" t="s">
        <v>2538</v>
      </c>
      <c r="F479" t="s">
        <v>2537</v>
      </c>
      <c r="G479" t="s">
        <v>2536</v>
      </c>
      <c r="H479" t="s">
        <v>2535</v>
      </c>
      <c r="I479" t="s">
        <v>8570</v>
      </c>
      <c r="K479" t="s">
        <v>164</v>
      </c>
      <c r="N479" t="str">
        <f t="shared" si="22"/>
        <v>Szanowna Pani</v>
      </c>
      <c r="O479" s="19" t="s">
        <v>9776</v>
      </c>
      <c r="U479" t="str">
        <f t="shared" si="21"/>
        <v>tak</v>
      </c>
    </row>
    <row r="480" spans="1:21">
      <c r="A480">
        <v>524</v>
      </c>
      <c r="B480" t="s">
        <v>2334</v>
      </c>
      <c r="C480" t="s">
        <v>2387</v>
      </c>
      <c r="D480" t="s">
        <v>2544</v>
      </c>
      <c r="E480" t="s">
        <v>2543</v>
      </c>
      <c r="F480" t="s">
        <v>2542</v>
      </c>
      <c r="G480" t="s">
        <v>2541</v>
      </c>
      <c r="H480" t="s">
        <v>2540</v>
      </c>
      <c r="I480" t="s">
        <v>8571</v>
      </c>
      <c r="K480" t="s">
        <v>164</v>
      </c>
      <c r="N480" t="str">
        <f t="shared" si="22"/>
        <v>Szanowna Pani</v>
      </c>
      <c r="O480" s="19" t="s">
        <v>9776</v>
      </c>
      <c r="U480" t="str">
        <f t="shared" ref="U480:U515" si="23">+O480 &amp;P480&amp;Q480</f>
        <v>tak</v>
      </c>
    </row>
    <row r="481" spans="1:21">
      <c r="A481">
        <v>525</v>
      </c>
      <c r="B481" t="s">
        <v>2334</v>
      </c>
      <c r="C481" t="s">
        <v>2388</v>
      </c>
      <c r="D481" t="s">
        <v>2389</v>
      </c>
      <c r="E481" t="s">
        <v>261</v>
      </c>
      <c r="F481" t="s">
        <v>2546</v>
      </c>
      <c r="G481" t="s">
        <v>2527</v>
      </c>
      <c r="H481" t="s">
        <v>2545</v>
      </c>
      <c r="I481" t="s">
        <v>8572</v>
      </c>
      <c r="K481" t="s">
        <v>165</v>
      </c>
      <c r="N481" t="str">
        <f t="shared" si="22"/>
        <v>Szanowna Pani</v>
      </c>
      <c r="P481" s="19" t="s">
        <v>9776</v>
      </c>
      <c r="U481" t="str">
        <f t="shared" si="23"/>
        <v>tak</v>
      </c>
    </row>
    <row r="482" spans="1:21">
      <c r="A482">
        <v>526</v>
      </c>
      <c r="B482" t="s">
        <v>2334</v>
      </c>
      <c r="C482" t="s">
        <v>2390</v>
      </c>
      <c r="D482" t="s">
        <v>2391</v>
      </c>
      <c r="E482" t="s">
        <v>2392</v>
      </c>
      <c r="F482" t="s">
        <v>2393</v>
      </c>
      <c r="G482" t="s">
        <v>2548</v>
      </c>
      <c r="H482" t="s">
        <v>2547</v>
      </c>
      <c r="I482" t="s">
        <v>8573</v>
      </c>
      <c r="K482" t="s">
        <v>224</v>
      </c>
      <c r="N482" t="str">
        <f t="shared" si="22"/>
        <v>Szanowny Pan</v>
      </c>
      <c r="Q482" s="19" t="s">
        <v>9776</v>
      </c>
      <c r="U482" t="str">
        <f t="shared" si="23"/>
        <v>tak</v>
      </c>
    </row>
    <row r="483" spans="1:21">
      <c r="A483">
        <v>527</v>
      </c>
      <c r="B483" t="s">
        <v>2334</v>
      </c>
      <c r="C483" t="s">
        <v>2390</v>
      </c>
      <c r="D483" t="s">
        <v>2391</v>
      </c>
      <c r="E483" t="s">
        <v>2392</v>
      </c>
      <c r="F483" t="s">
        <v>2393</v>
      </c>
      <c r="G483" t="s">
        <v>2548</v>
      </c>
      <c r="H483" t="s">
        <v>2547</v>
      </c>
      <c r="I483" t="s">
        <v>8573</v>
      </c>
      <c r="K483" t="s">
        <v>165</v>
      </c>
      <c r="N483" t="str">
        <f t="shared" si="22"/>
        <v>Szanowny Pan</v>
      </c>
      <c r="P483" s="19" t="s">
        <v>9776</v>
      </c>
      <c r="U483" t="str">
        <f t="shared" si="23"/>
        <v>tak</v>
      </c>
    </row>
    <row r="484" spans="1:21">
      <c r="A484">
        <v>528</v>
      </c>
      <c r="B484" t="s">
        <v>2334</v>
      </c>
      <c r="C484" t="s">
        <v>2390</v>
      </c>
      <c r="D484" t="s">
        <v>2391</v>
      </c>
      <c r="E484" t="s">
        <v>2392</v>
      </c>
      <c r="F484" t="s">
        <v>2393</v>
      </c>
      <c r="G484" t="s">
        <v>2548</v>
      </c>
      <c r="H484" t="s">
        <v>2547</v>
      </c>
      <c r="I484" t="s">
        <v>8573</v>
      </c>
      <c r="K484" t="s">
        <v>164</v>
      </c>
      <c r="N484" t="str">
        <f t="shared" si="22"/>
        <v>Szanowny Pan</v>
      </c>
      <c r="O484" s="19" t="s">
        <v>9776</v>
      </c>
      <c r="U484" t="str">
        <f t="shared" si="23"/>
        <v>tak</v>
      </c>
    </row>
    <row r="485" spans="1:21">
      <c r="A485">
        <v>529</v>
      </c>
      <c r="B485" t="s">
        <v>2334</v>
      </c>
      <c r="C485" t="s">
        <v>2394</v>
      </c>
      <c r="D485" t="s">
        <v>166</v>
      </c>
      <c r="E485" t="s">
        <v>2395</v>
      </c>
      <c r="F485" t="s">
        <v>2396</v>
      </c>
      <c r="G485" t="s">
        <v>2467</v>
      </c>
      <c r="H485" t="s">
        <v>2549</v>
      </c>
      <c r="I485" t="s">
        <v>8574</v>
      </c>
      <c r="K485" t="s">
        <v>164</v>
      </c>
      <c r="N485" t="str">
        <f t="shared" si="22"/>
        <v>Szanowna Pani</v>
      </c>
      <c r="O485" s="19" t="s">
        <v>9776</v>
      </c>
      <c r="U485" t="str">
        <f t="shared" si="23"/>
        <v>tak</v>
      </c>
    </row>
    <row r="486" spans="1:21">
      <c r="A486">
        <v>530</v>
      </c>
      <c r="B486" t="s">
        <v>2638</v>
      </c>
      <c r="C486" t="s">
        <v>2566</v>
      </c>
      <c r="D486" t="s">
        <v>166</v>
      </c>
      <c r="E486" t="s">
        <v>2567</v>
      </c>
      <c r="F486" t="s">
        <v>2568</v>
      </c>
      <c r="G486" t="s">
        <v>2789</v>
      </c>
      <c r="H486" t="s">
        <v>2788</v>
      </c>
      <c r="I486" t="s">
        <v>8575</v>
      </c>
      <c r="K486" t="s">
        <v>164</v>
      </c>
      <c r="N486" t="str">
        <f t="shared" si="22"/>
        <v>Szanowna Pani</v>
      </c>
      <c r="O486" s="19" t="s">
        <v>9776</v>
      </c>
      <c r="U486" t="str">
        <f t="shared" si="23"/>
        <v>tak</v>
      </c>
    </row>
    <row r="487" spans="1:21">
      <c r="A487">
        <v>531</v>
      </c>
      <c r="B487" t="s">
        <v>2638</v>
      </c>
      <c r="C487" t="s">
        <v>2569</v>
      </c>
      <c r="D487" t="s">
        <v>2570</v>
      </c>
      <c r="E487" t="s">
        <v>2571</v>
      </c>
      <c r="F487" t="s">
        <v>2568</v>
      </c>
      <c r="G487" t="s">
        <v>2791</v>
      </c>
      <c r="H487" t="s">
        <v>2790</v>
      </c>
      <c r="I487" t="s">
        <v>8576</v>
      </c>
      <c r="K487" t="s">
        <v>164</v>
      </c>
      <c r="N487" t="str">
        <f t="shared" si="22"/>
        <v>Szanowna Pani</v>
      </c>
      <c r="O487" s="19" t="s">
        <v>9776</v>
      </c>
      <c r="U487" t="str">
        <f t="shared" si="23"/>
        <v>tak</v>
      </c>
    </row>
    <row r="488" spans="1:21">
      <c r="A488">
        <v>532</v>
      </c>
      <c r="B488" t="s">
        <v>2638</v>
      </c>
      <c r="C488" t="s">
        <v>2572</v>
      </c>
      <c r="D488" t="s">
        <v>345</v>
      </c>
      <c r="E488" t="s">
        <v>9641</v>
      </c>
      <c r="F488" t="s">
        <v>2573</v>
      </c>
      <c r="G488" t="s">
        <v>2793</v>
      </c>
      <c r="H488" t="s">
        <v>2792</v>
      </c>
      <c r="I488" t="s">
        <v>8577</v>
      </c>
      <c r="K488" t="s">
        <v>165</v>
      </c>
      <c r="N488" t="str">
        <f t="shared" si="22"/>
        <v>Szanowna Pani</v>
      </c>
      <c r="P488" s="19" t="s">
        <v>9776</v>
      </c>
      <c r="U488" t="str">
        <f t="shared" si="23"/>
        <v>tak</v>
      </c>
    </row>
    <row r="489" spans="1:21">
      <c r="A489">
        <v>533</v>
      </c>
      <c r="B489" t="s">
        <v>2638</v>
      </c>
      <c r="C489" t="s">
        <v>2572</v>
      </c>
      <c r="D489" t="s">
        <v>345</v>
      </c>
      <c r="E489" t="s">
        <v>9641</v>
      </c>
      <c r="F489" t="s">
        <v>2573</v>
      </c>
      <c r="G489" t="s">
        <v>2801</v>
      </c>
      <c r="H489" t="s">
        <v>2800</v>
      </c>
      <c r="I489" t="s">
        <v>8578</v>
      </c>
      <c r="K489" t="s">
        <v>164</v>
      </c>
      <c r="N489" t="str">
        <f t="shared" si="22"/>
        <v>Szanowna Pani</v>
      </c>
      <c r="O489" s="19" t="s">
        <v>9776</v>
      </c>
      <c r="U489" t="str">
        <f t="shared" si="23"/>
        <v>tak</v>
      </c>
    </row>
    <row r="490" spans="1:21">
      <c r="A490">
        <v>534</v>
      </c>
      <c r="B490" t="s">
        <v>2638</v>
      </c>
      <c r="C490" t="s">
        <v>2574</v>
      </c>
      <c r="D490" t="s">
        <v>2794</v>
      </c>
      <c r="E490" t="s">
        <v>2805</v>
      </c>
      <c r="F490" t="s">
        <v>2804</v>
      </c>
      <c r="G490" t="s">
        <v>2803</v>
      </c>
      <c r="H490" t="s">
        <v>2802</v>
      </c>
      <c r="I490" t="s">
        <v>8579</v>
      </c>
      <c r="K490" t="s">
        <v>565</v>
      </c>
      <c r="N490" t="str">
        <f t="shared" si="22"/>
        <v>Szanowna Pani</v>
      </c>
      <c r="P490" s="19" t="s">
        <v>9776</v>
      </c>
      <c r="Q490" s="19" t="s">
        <v>9776</v>
      </c>
      <c r="U490" t="str">
        <f t="shared" si="23"/>
        <v>taktak</v>
      </c>
    </row>
    <row r="491" spans="1:21">
      <c r="A491">
        <v>535</v>
      </c>
      <c r="B491" t="s">
        <v>2638</v>
      </c>
      <c r="C491" t="s">
        <v>2574</v>
      </c>
      <c r="D491" t="s">
        <v>9611</v>
      </c>
      <c r="E491" t="s">
        <v>9612</v>
      </c>
      <c r="F491" t="s">
        <v>9610</v>
      </c>
      <c r="G491" t="s">
        <v>2817</v>
      </c>
      <c r="H491" t="s">
        <v>2816</v>
      </c>
      <c r="I491" s="15" t="s">
        <v>8584</v>
      </c>
      <c r="K491" t="s">
        <v>164</v>
      </c>
      <c r="N491" t="str">
        <f t="shared" si="22"/>
        <v>Szanowna Pani</v>
      </c>
      <c r="O491" s="19" t="s">
        <v>9776</v>
      </c>
      <c r="U491" t="str">
        <f t="shared" si="23"/>
        <v>tak</v>
      </c>
    </row>
    <row r="492" spans="1:21">
      <c r="A492">
        <v>536</v>
      </c>
      <c r="B492" t="s">
        <v>2638</v>
      </c>
      <c r="C492" t="s">
        <v>2574</v>
      </c>
      <c r="D492" t="s">
        <v>9608</v>
      </c>
      <c r="E492" t="s">
        <v>9609</v>
      </c>
      <c r="F492" t="s">
        <v>9610</v>
      </c>
      <c r="G492" t="s">
        <v>2814</v>
      </c>
      <c r="H492" t="s">
        <v>2813</v>
      </c>
      <c r="I492" t="s">
        <v>8583</v>
      </c>
      <c r="K492" t="s">
        <v>164</v>
      </c>
      <c r="N492" t="str">
        <f t="shared" si="22"/>
        <v>Szanowny Pan</v>
      </c>
      <c r="O492" s="19" t="s">
        <v>9776</v>
      </c>
      <c r="U492" t="str">
        <f t="shared" si="23"/>
        <v>tak</v>
      </c>
    </row>
    <row r="493" spans="1:21">
      <c r="A493">
        <v>537</v>
      </c>
      <c r="B493" t="s">
        <v>2638</v>
      </c>
      <c r="C493" t="s">
        <v>2574</v>
      </c>
      <c r="D493" t="s">
        <v>2794</v>
      </c>
      <c r="E493" t="s">
        <v>2805</v>
      </c>
      <c r="F493" t="s">
        <v>2804</v>
      </c>
      <c r="G493" t="s">
        <v>2803</v>
      </c>
      <c r="H493" t="s">
        <v>2806</v>
      </c>
      <c r="I493" t="s">
        <v>8580</v>
      </c>
      <c r="K493" t="s">
        <v>2575</v>
      </c>
      <c r="L493" t="s">
        <v>164</v>
      </c>
      <c r="N493" t="str">
        <f t="shared" si="22"/>
        <v>Szanowny Pan</v>
      </c>
      <c r="O493" s="19" t="s">
        <v>9776</v>
      </c>
      <c r="U493" t="str">
        <f t="shared" si="23"/>
        <v>tak</v>
      </c>
    </row>
    <row r="494" spans="1:21">
      <c r="A494">
        <v>538</v>
      </c>
      <c r="B494" t="s">
        <v>2638</v>
      </c>
      <c r="C494" t="s">
        <v>2574</v>
      </c>
      <c r="D494" t="s">
        <v>2795</v>
      </c>
      <c r="E494" t="s">
        <v>2809</v>
      </c>
      <c r="F494" t="s">
        <v>2804</v>
      </c>
      <c r="G494" t="s">
        <v>2808</v>
      </c>
      <c r="H494" t="s">
        <v>2807</v>
      </c>
      <c r="I494" t="s">
        <v>8581</v>
      </c>
      <c r="K494" t="s">
        <v>2576</v>
      </c>
      <c r="L494" t="s">
        <v>165</v>
      </c>
      <c r="M494" t="s">
        <v>164</v>
      </c>
      <c r="N494" t="str">
        <f t="shared" si="22"/>
        <v>Szanowna Pani</v>
      </c>
      <c r="O494" s="19" t="s">
        <v>9776</v>
      </c>
      <c r="P494" s="19" t="s">
        <v>9776</v>
      </c>
      <c r="U494" t="str">
        <f t="shared" si="23"/>
        <v>taktak</v>
      </c>
    </row>
    <row r="495" spans="1:21">
      <c r="A495">
        <v>539</v>
      </c>
      <c r="B495" t="s">
        <v>2638</v>
      </c>
      <c r="C495" t="s">
        <v>2574</v>
      </c>
      <c r="D495" t="s">
        <v>2796</v>
      </c>
      <c r="E495" t="s">
        <v>2812</v>
      </c>
      <c r="F495" t="s">
        <v>2804</v>
      </c>
      <c r="G495" t="s">
        <v>2811</v>
      </c>
      <c r="H495" t="s">
        <v>2810</v>
      </c>
      <c r="I495" t="s">
        <v>8582</v>
      </c>
      <c r="K495" t="s">
        <v>164</v>
      </c>
      <c r="N495" t="str">
        <f t="shared" si="22"/>
        <v>Szanowna Pani</v>
      </c>
      <c r="O495" s="19" t="s">
        <v>9776</v>
      </c>
      <c r="U495" t="str">
        <f t="shared" si="23"/>
        <v>tak</v>
      </c>
    </row>
    <row r="496" spans="1:21">
      <c r="A496">
        <v>540</v>
      </c>
      <c r="B496" t="s">
        <v>2638</v>
      </c>
      <c r="C496" t="s">
        <v>2574</v>
      </c>
      <c r="D496" t="s">
        <v>2797</v>
      </c>
      <c r="E496" t="s">
        <v>2815</v>
      </c>
      <c r="F496" t="s">
        <v>2804</v>
      </c>
      <c r="G496" t="s">
        <v>2814</v>
      </c>
      <c r="H496" t="s">
        <v>2813</v>
      </c>
      <c r="I496" t="s">
        <v>8583</v>
      </c>
      <c r="K496" t="s">
        <v>2577</v>
      </c>
      <c r="L496" t="s">
        <v>164</v>
      </c>
      <c r="N496" t="str">
        <f t="shared" si="22"/>
        <v>Szanowny Pan</v>
      </c>
      <c r="O496" s="19" t="s">
        <v>9776</v>
      </c>
      <c r="U496" t="str">
        <f t="shared" si="23"/>
        <v>tak</v>
      </c>
    </row>
    <row r="497" spans="1:21">
      <c r="A497">
        <v>541</v>
      </c>
      <c r="B497" t="s">
        <v>2638</v>
      </c>
      <c r="C497" t="s">
        <v>2574</v>
      </c>
      <c r="D497" t="s">
        <v>2798</v>
      </c>
      <c r="E497" t="s">
        <v>2818</v>
      </c>
      <c r="F497" t="s">
        <v>2804</v>
      </c>
      <c r="G497" t="s">
        <v>2817</v>
      </c>
      <c r="H497" t="s">
        <v>2816</v>
      </c>
      <c r="I497" t="s">
        <v>8584</v>
      </c>
      <c r="K497" t="s">
        <v>164</v>
      </c>
      <c r="N497" t="str">
        <f t="shared" si="22"/>
        <v>Szanowna Pani</v>
      </c>
      <c r="O497" s="19" t="s">
        <v>9776</v>
      </c>
      <c r="U497" t="str">
        <f t="shared" si="23"/>
        <v>tak</v>
      </c>
    </row>
    <row r="498" spans="1:21">
      <c r="A498">
        <v>542</v>
      </c>
      <c r="B498" t="s">
        <v>2638</v>
      </c>
      <c r="C498" t="s">
        <v>2574</v>
      </c>
      <c r="D498" t="s">
        <v>2578</v>
      </c>
      <c r="E498" t="s">
        <v>2821</v>
      </c>
      <c r="F498" t="s">
        <v>2804</v>
      </c>
      <c r="G498" t="s">
        <v>2820</v>
      </c>
      <c r="H498" t="s">
        <v>2819</v>
      </c>
      <c r="I498" t="s">
        <v>8585</v>
      </c>
      <c r="K498" t="s">
        <v>164</v>
      </c>
      <c r="N498" t="str">
        <f t="shared" si="22"/>
        <v>Szanowny Pan</v>
      </c>
      <c r="O498" s="19" t="s">
        <v>9776</v>
      </c>
      <c r="U498" t="str">
        <f t="shared" si="23"/>
        <v>tak</v>
      </c>
    </row>
    <row r="499" spans="1:21">
      <c r="A499">
        <v>543</v>
      </c>
      <c r="B499" t="s">
        <v>2638</v>
      </c>
      <c r="C499" t="s">
        <v>2574</v>
      </c>
      <c r="D499" t="s">
        <v>2799</v>
      </c>
      <c r="E499" t="s">
        <v>2824</v>
      </c>
      <c r="F499" t="s">
        <v>2804</v>
      </c>
      <c r="G499" t="s">
        <v>2823</v>
      </c>
      <c r="H499" t="s">
        <v>2822</v>
      </c>
      <c r="I499" t="s">
        <v>8586</v>
      </c>
      <c r="K499" t="s">
        <v>164</v>
      </c>
      <c r="N499" t="str">
        <f t="shared" si="22"/>
        <v>Szanowna Pani</v>
      </c>
      <c r="O499" s="19" t="s">
        <v>9776</v>
      </c>
      <c r="U499" t="str">
        <f t="shared" si="23"/>
        <v>tak</v>
      </c>
    </row>
    <row r="500" spans="1:21">
      <c r="A500">
        <v>544</v>
      </c>
      <c r="B500" t="s">
        <v>2638</v>
      </c>
      <c r="C500" t="s">
        <v>2579</v>
      </c>
      <c r="D500" t="s">
        <v>166</v>
      </c>
      <c r="E500" t="s">
        <v>2580</v>
      </c>
      <c r="F500" t="s">
        <v>2581</v>
      </c>
      <c r="G500" t="s">
        <v>2826</v>
      </c>
      <c r="H500" t="s">
        <v>2825</v>
      </c>
      <c r="I500" t="s">
        <v>8587</v>
      </c>
      <c r="K500" t="s">
        <v>164</v>
      </c>
      <c r="N500" t="str">
        <f t="shared" si="22"/>
        <v>Szanowna Pani</v>
      </c>
      <c r="O500" s="19" t="s">
        <v>9776</v>
      </c>
      <c r="U500" t="str">
        <f t="shared" si="23"/>
        <v>tak</v>
      </c>
    </row>
    <row r="501" spans="1:21">
      <c r="A501">
        <v>545</v>
      </c>
      <c r="B501" t="s">
        <v>2638</v>
      </c>
      <c r="C501" t="s">
        <v>2582</v>
      </c>
      <c r="D501" t="s">
        <v>166</v>
      </c>
      <c r="E501" t="s">
        <v>2583</v>
      </c>
      <c r="F501" t="s">
        <v>2584</v>
      </c>
      <c r="G501" t="s">
        <v>2828</v>
      </c>
      <c r="H501" t="s">
        <v>2827</v>
      </c>
      <c r="I501" t="s">
        <v>8588</v>
      </c>
      <c r="K501" t="s">
        <v>164</v>
      </c>
      <c r="N501" t="str">
        <f t="shared" si="22"/>
        <v>Szanowna Pani</v>
      </c>
      <c r="O501" s="19" t="s">
        <v>9776</v>
      </c>
      <c r="U501" t="str">
        <f t="shared" si="23"/>
        <v>tak</v>
      </c>
    </row>
    <row r="502" spans="1:21">
      <c r="A502">
        <v>546</v>
      </c>
      <c r="B502" t="s">
        <v>2638</v>
      </c>
      <c r="C502" t="s">
        <v>2585</v>
      </c>
      <c r="D502" t="s">
        <v>251</v>
      </c>
      <c r="E502" t="s">
        <v>9642</v>
      </c>
      <c r="F502" t="s">
        <v>2586</v>
      </c>
      <c r="G502" t="s">
        <v>2831</v>
      </c>
      <c r="H502" t="s">
        <v>2830</v>
      </c>
      <c r="I502" t="s">
        <v>8589</v>
      </c>
      <c r="K502" t="s">
        <v>2829</v>
      </c>
      <c r="L502" t="s">
        <v>165</v>
      </c>
      <c r="N502" t="str">
        <f t="shared" si="22"/>
        <v>Szanowna Pani</v>
      </c>
      <c r="P502" s="19" t="s">
        <v>9776</v>
      </c>
      <c r="U502" t="str">
        <f t="shared" si="23"/>
        <v>tak</v>
      </c>
    </row>
    <row r="503" spans="1:21">
      <c r="A503">
        <v>547</v>
      </c>
      <c r="B503" t="s">
        <v>2638</v>
      </c>
      <c r="C503" t="s">
        <v>2585</v>
      </c>
      <c r="D503" t="s">
        <v>251</v>
      </c>
      <c r="E503" t="s">
        <v>9642</v>
      </c>
      <c r="F503" t="s">
        <v>2586</v>
      </c>
      <c r="G503" t="s">
        <v>2833</v>
      </c>
      <c r="H503" t="s">
        <v>2832</v>
      </c>
      <c r="I503" t="s">
        <v>8590</v>
      </c>
      <c r="K503" t="s">
        <v>164</v>
      </c>
      <c r="N503" t="str">
        <f t="shared" si="22"/>
        <v>Szanowna Pani</v>
      </c>
      <c r="O503" s="19" t="s">
        <v>9776</v>
      </c>
      <c r="U503" t="str">
        <f t="shared" si="23"/>
        <v>tak</v>
      </c>
    </row>
    <row r="504" spans="1:21">
      <c r="A504">
        <v>548</v>
      </c>
      <c r="B504" t="s">
        <v>2638</v>
      </c>
      <c r="C504" t="s">
        <v>2585</v>
      </c>
      <c r="D504" t="s">
        <v>2587</v>
      </c>
      <c r="E504" t="s">
        <v>2588</v>
      </c>
      <c r="F504" t="s">
        <v>2586</v>
      </c>
      <c r="G504" t="s">
        <v>2836</v>
      </c>
      <c r="H504" t="s">
        <v>2835</v>
      </c>
      <c r="I504" t="s">
        <v>8591</v>
      </c>
      <c r="K504" t="s">
        <v>2834</v>
      </c>
      <c r="L504" t="s">
        <v>164</v>
      </c>
      <c r="N504" t="str">
        <f t="shared" si="22"/>
        <v>Szanowna Pani</v>
      </c>
      <c r="O504" s="19" t="s">
        <v>9776</v>
      </c>
      <c r="U504" t="str">
        <f t="shared" si="23"/>
        <v>tak</v>
      </c>
    </row>
    <row r="505" spans="1:21">
      <c r="A505">
        <v>549</v>
      </c>
      <c r="B505" t="s">
        <v>2638</v>
      </c>
      <c r="C505" t="s">
        <v>2589</v>
      </c>
      <c r="D505" t="s">
        <v>251</v>
      </c>
      <c r="E505" t="s">
        <v>2590</v>
      </c>
      <c r="F505" t="s">
        <v>2591</v>
      </c>
      <c r="G505" t="s">
        <v>2838</v>
      </c>
      <c r="H505" t="s">
        <v>2837</v>
      </c>
      <c r="I505" t="s">
        <v>8592</v>
      </c>
      <c r="K505" t="s">
        <v>164</v>
      </c>
      <c r="N505" t="str">
        <f t="shared" si="22"/>
        <v>Szanowne Panie</v>
      </c>
      <c r="O505" s="19" t="s">
        <v>9776</v>
      </c>
      <c r="U505" t="str">
        <f t="shared" si="23"/>
        <v>tak</v>
      </c>
    </row>
    <row r="506" spans="1:21">
      <c r="A506">
        <v>550</v>
      </c>
      <c r="B506" t="s">
        <v>2638</v>
      </c>
      <c r="C506" t="s">
        <v>2592</v>
      </c>
      <c r="D506" t="s">
        <v>2593</v>
      </c>
      <c r="E506" t="s">
        <v>2594</v>
      </c>
      <c r="F506" t="s">
        <v>2595</v>
      </c>
      <c r="G506" t="s">
        <v>2840</v>
      </c>
      <c r="H506" t="s">
        <v>2839</v>
      </c>
      <c r="I506" t="s">
        <v>8593</v>
      </c>
      <c r="K506" t="s">
        <v>164</v>
      </c>
      <c r="N506" t="str">
        <f t="shared" si="22"/>
        <v>Szanowna Pani</v>
      </c>
      <c r="O506" s="19" t="s">
        <v>9776</v>
      </c>
      <c r="U506" t="str">
        <f t="shared" si="23"/>
        <v>tak</v>
      </c>
    </row>
    <row r="507" spans="1:21">
      <c r="A507">
        <v>551</v>
      </c>
      <c r="B507" t="s">
        <v>2638</v>
      </c>
      <c r="C507" t="s">
        <v>2596</v>
      </c>
      <c r="D507" t="s">
        <v>251</v>
      </c>
      <c r="E507" t="s">
        <v>2597</v>
      </c>
      <c r="F507" t="s">
        <v>2598</v>
      </c>
      <c r="G507" t="s">
        <v>2843</v>
      </c>
      <c r="H507" t="s">
        <v>2842</v>
      </c>
      <c r="I507" t="s">
        <v>8594</v>
      </c>
      <c r="K507" t="s">
        <v>2841</v>
      </c>
      <c r="L507" t="s">
        <v>224</v>
      </c>
      <c r="N507" t="str">
        <f t="shared" si="22"/>
        <v>Szanowna Pani</v>
      </c>
      <c r="Q507" s="19" t="s">
        <v>9776</v>
      </c>
      <c r="U507" t="str">
        <f t="shared" si="23"/>
        <v>tak</v>
      </c>
    </row>
    <row r="508" spans="1:21">
      <c r="A508">
        <v>552</v>
      </c>
      <c r="B508" t="s">
        <v>2638</v>
      </c>
      <c r="C508" t="s">
        <v>2596</v>
      </c>
      <c r="D508" t="s">
        <v>251</v>
      </c>
      <c r="E508" t="s">
        <v>2597</v>
      </c>
      <c r="F508" t="s">
        <v>2598</v>
      </c>
      <c r="G508" t="s">
        <v>2845</v>
      </c>
      <c r="H508" t="s">
        <v>2844</v>
      </c>
      <c r="I508" t="s">
        <v>8595</v>
      </c>
      <c r="K508" t="s">
        <v>164</v>
      </c>
      <c r="N508" t="str">
        <f t="shared" si="22"/>
        <v>Szanowna Pani</v>
      </c>
      <c r="O508" s="19" t="s">
        <v>9776</v>
      </c>
      <c r="U508" t="str">
        <f t="shared" si="23"/>
        <v>tak</v>
      </c>
    </row>
    <row r="509" spans="1:21">
      <c r="A509">
        <v>553</v>
      </c>
      <c r="B509" t="s">
        <v>2638</v>
      </c>
      <c r="C509" t="s">
        <v>2599</v>
      </c>
      <c r="D509" t="s">
        <v>290</v>
      </c>
      <c r="E509" t="s">
        <v>2849</v>
      </c>
      <c r="F509" t="s">
        <v>2848</v>
      </c>
      <c r="G509" t="s">
        <v>2847</v>
      </c>
      <c r="H509" t="s">
        <v>2846</v>
      </c>
      <c r="I509" t="s">
        <v>8596</v>
      </c>
      <c r="K509" t="s">
        <v>165</v>
      </c>
      <c r="N509" t="str">
        <f t="shared" si="22"/>
        <v>Szanowna Pani</v>
      </c>
      <c r="P509" s="19" t="s">
        <v>9776</v>
      </c>
      <c r="U509" t="str">
        <f t="shared" si="23"/>
        <v>tak</v>
      </c>
    </row>
    <row r="510" spans="1:21">
      <c r="A510">
        <v>554</v>
      </c>
      <c r="B510" t="s">
        <v>2638</v>
      </c>
      <c r="C510" t="s">
        <v>2600</v>
      </c>
      <c r="D510" t="s">
        <v>290</v>
      </c>
      <c r="E510" t="s">
        <v>2601</v>
      </c>
      <c r="F510" t="s">
        <v>2602</v>
      </c>
      <c r="G510" t="s">
        <v>2851</v>
      </c>
      <c r="H510" t="s">
        <v>2850</v>
      </c>
      <c r="I510" t="s">
        <v>8597</v>
      </c>
      <c r="K510" t="s">
        <v>164</v>
      </c>
      <c r="N510" t="str">
        <f t="shared" si="22"/>
        <v>Szanowna Pani</v>
      </c>
      <c r="O510" s="19" t="s">
        <v>9776</v>
      </c>
      <c r="U510" t="str">
        <f t="shared" si="23"/>
        <v>tak</v>
      </c>
    </row>
    <row r="511" spans="1:21">
      <c r="A511">
        <v>555</v>
      </c>
      <c r="B511" t="s">
        <v>2638</v>
      </c>
      <c r="C511" t="s">
        <v>2600</v>
      </c>
      <c r="D511" t="s">
        <v>290</v>
      </c>
      <c r="E511" t="s">
        <v>2601</v>
      </c>
      <c r="F511" t="s">
        <v>2602</v>
      </c>
      <c r="G511" t="s">
        <v>2854</v>
      </c>
      <c r="H511" t="s">
        <v>2853</v>
      </c>
      <c r="I511" t="s">
        <v>8598</v>
      </c>
      <c r="K511" t="s">
        <v>2852</v>
      </c>
      <c r="L511" t="s">
        <v>165</v>
      </c>
      <c r="N511" t="str">
        <f t="shared" si="22"/>
        <v>Szanowna Pani</v>
      </c>
      <c r="P511" s="19" t="s">
        <v>9776</v>
      </c>
      <c r="U511" t="str">
        <f t="shared" si="23"/>
        <v>tak</v>
      </c>
    </row>
    <row r="512" spans="1:21">
      <c r="A512">
        <v>556</v>
      </c>
      <c r="B512" t="s">
        <v>2638</v>
      </c>
      <c r="C512" t="s">
        <v>2600</v>
      </c>
      <c r="D512" t="s">
        <v>290</v>
      </c>
      <c r="E512" t="s">
        <v>2601</v>
      </c>
      <c r="F512" t="s">
        <v>2602</v>
      </c>
      <c r="G512" t="s">
        <v>2857</v>
      </c>
      <c r="H512" t="s">
        <v>2856</v>
      </c>
      <c r="I512" t="s">
        <v>8599</v>
      </c>
      <c r="K512" t="s">
        <v>2855</v>
      </c>
      <c r="L512" t="s">
        <v>224</v>
      </c>
      <c r="N512" t="str">
        <f t="shared" si="22"/>
        <v>Szanowna Pani</v>
      </c>
      <c r="Q512" s="19" t="s">
        <v>9776</v>
      </c>
      <c r="U512" t="str">
        <f t="shared" si="23"/>
        <v>tak</v>
      </c>
    </row>
    <row r="513" spans="1:21">
      <c r="A513">
        <v>557</v>
      </c>
      <c r="B513" t="s">
        <v>2638</v>
      </c>
      <c r="C513" t="s">
        <v>2600</v>
      </c>
      <c r="D513" t="s">
        <v>290</v>
      </c>
      <c r="E513" t="s">
        <v>2601</v>
      </c>
      <c r="F513" t="s">
        <v>2602</v>
      </c>
      <c r="G513" t="s">
        <v>2860</v>
      </c>
      <c r="H513" t="s">
        <v>2859</v>
      </c>
      <c r="I513" t="s">
        <v>8600</v>
      </c>
      <c r="K513" t="s">
        <v>2858</v>
      </c>
      <c r="L513" t="s">
        <v>224</v>
      </c>
      <c r="N513" t="str">
        <f t="shared" si="22"/>
        <v>Szanowne Panie</v>
      </c>
      <c r="Q513" s="19" t="s">
        <v>9776</v>
      </c>
      <c r="U513" t="str">
        <f t="shared" si="23"/>
        <v>tak</v>
      </c>
    </row>
    <row r="514" spans="1:21">
      <c r="A514">
        <v>558</v>
      </c>
      <c r="B514" t="s">
        <v>2638</v>
      </c>
      <c r="C514" t="s">
        <v>2600</v>
      </c>
      <c r="D514" t="s">
        <v>290</v>
      </c>
      <c r="E514" t="s">
        <v>2601</v>
      </c>
      <c r="F514" t="s">
        <v>2602</v>
      </c>
      <c r="G514" t="s">
        <v>2863</v>
      </c>
      <c r="H514" t="s">
        <v>2862</v>
      </c>
      <c r="I514" t="s">
        <v>8601</v>
      </c>
      <c r="K514" t="s">
        <v>2861</v>
      </c>
      <c r="L514" t="s">
        <v>164</v>
      </c>
      <c r="N514" t="str">
        <f t="shared" si="22"/>
        <v>Szanowne Panie</v>
      </c>
      <c r="O514" s="19" t="s">
        <v>9776</v>
      </c>
      <c r="U514" t="str">
        <f t="shared" si="23"/>
        <v>tak</v>
      </c>
    </row>
    <row r="515" spans="1:21">
      <c r="A515">
        <v>559</v>
      </c>
      <c r="B515" t="s">
        <v>2638</v>
      </c>
      <c r="C515" t="s">
        <v>2603</v>
      </c>
      <c r="D515" t="s">
        <v>251</v>
      </c>
      <c r="E515" t="s">
        <v>2604</v>
      </c>
      <c r="F515" t="s">
        <v>2605</v>
      </c>
      <c r="G515" t="s">
        <v>2865</v>
      </c>
      <c r="H515" t="s">
        <v>2864</v>
      </c>
      <c r="I515" t="s">
        <v>8602</v>
      </c>
      <c r="K515" t="s">
        <v>164</v>
      </c>
      <c r="N515" t="str">
        <f t="shared" si="22"/>
        <v>Szanowny Pan</v>
      </c>
      <c r="O515" s="19" t="s">
        <v>9776</v>
      </c>
      <c r="U515" t="str">
        <f t="shared" si="23"/>
        <v>tak</v>
      </c>
    </row>
    <row r="516" spans="1:21">
      <c r="A516">
        <v>560</v>
      </c>
      <c r="B516" t="s">
        <v>2638</v>
      </c>
      <c r="C516" t="s">
        <v>2603</v>
      </c>
      <c r="D516" t="s">
        <v>2606</v>
      </c>
      <c r="E516" t="s">
        <v>2607</v>
      </c>
      <c r="F516" t="s">
        <v>2608</v>
      </c>
      <c r="G516" t="s">
        <v>2867</v>
      </c>
      <c r="H516" t="s">
        <v>2866</v>
      </c>
      <c r="I516" t="s">
        <v>8603</v>
      </c>
      <c r="K516" t="s">
        <v>165</v>
      </c>
      <c r="N516" t="str">
        <f t="shared" si="22"/>
        <v>Szanowna Pani</v>
      </c>
      <c r="P516" s="19" t="s">
        <v>9776</v>
      </c>
      <c r="U516" t="str">
        <f t="shared" ref="U516:U551" si="24">+O516 &amp;P516&amp;Q516</f>
        <v>tak</v>
      </c>
    </row>
    <row r="517" spans="1:21">
      <c r="A517">
        <v>561</v>
      </c>
      <c r="B517" t="s">
        <v>2638</v>
      </c>
      <c r="C517" t="s">
        <v>2603</v>
      </c>
      <c r="D517" t="s">
        <v>1012</v>
      </c>
      <c r="E517" t="s">
        <v>2871</v>
      </c>
      <c r="F517" t="s">
        <v>2870</v>
      </c>
      <c r="G517" t="s">
        <v>2869</v>
      </c>
      <c r="H517" t="s">
        <v>2868</v>
      </c>
      <c r="I517" t="s">
        <v>8604</v>
      </c>
      <c r="K517" t="s">
        <v>165</v>
      </c>
      <c r="N517" t="str">
        <f t="shared" si="22"/>
        <v>Szanowna Pani</v>
      </c>
      <c r="P517" s="19" t="s">
        <v>9776</v>
      </c>
      <c r="U517" t="str">
        <f t="shared" si="24"/>
        <v>tak</v>
      </c>
    </row>
    <row r="518" spans="1:21">
      <c r="A518">
        <v>562</v>
      </c>
      <c r="B518" t="s">
        <v>2638</v>
      </c>
      <c r="C518" t="s">
        <v>2609</v>
      </c>
      <c r="D518" t="s">
        <v>2610</v>
      </c>
      <c r="E518" t="s">
        <v>2611</v>
      </c>
      <c r="F518" t="s">
        <v>2612</v>
      </c>
      <c r="G518" t="s">
        <v>2873</v>
      </c>
      <c r="H518" t="s">
        <v>2872</v>
      </c>
      <c r="I518" t="s">
        <v>8605</v>
      </c>
      <c r="K518" t="s">
        <v>164</v>
      </c>
      <c r="N518" t="str">
        <f t="shared" si="22"/>
        <v>Szanowna Pani</v>
      </c>
      <c r="O518" s="19" t="s">
        <v>9776</v>
      </c>
      <c r="U518" t="str">
        <f t="shared" si="24"/>
        <v>tak</v>
      </c>
    </row>
    <row r="519" spans="1:21">
      <c r="A519">
        <v>563</v>
      </c>
      <c r="B519" t="s">
        <v>2638</v>
      </c>
      <c r="C519" t="s">
        <v>2609</v>
      </c>
      <c r="D519" t="s">
        <v>2613</v>
      </c>
      <c r="E519" t="s">
        <v>2614</v>
      </c>
      <c r="F519" t="s">
        <v>2615</v>
      </c>
      <c r="G519" t="s">
        <v>2875</v>
      </c>
      <c r="H519" t="s">
        <v>2874</v>
      </c>
      <c r="I519" t="s">
        <v>8606</v>
      </c>
      <c r="K519" t="s">
        <v>164</v>
      </c>
      <c r="N519" t="str">
        <f t="shared" si="22"/>
        <v>Szanowna Pani</v>
      </c>
      <c r="O519" s="19" t="s">
        <v>9776</v>
      </c>
      <c r="U519" t="str">
        <f t="shared" si="24"/>
        <v>tak</v>
      </c>
    </row>
    <row r="520" spans="1:21">
      <c r="A520">
        <v>564</v>
      </c>
      <c r="B520" t="s">
        <v>2638</v>
      </c>
      <c r="C520" t="s">
        <v>2609</v>
      </c>
      <c r="D520" t="s">
        <v>2616</v>
      </c>
      <c r="E520" t="s">
        <v>2617</v>
      </c>
      <c r="F520" t="s">
        <v>2618</v>
      </c>
      <c r="G520" t="s">
        <v>2877</v>
      </c>
      <c r="H520" t="s">
        <v>2876</v>
      </c>
      <c r="I520" t="s">
        <v>8607</v>
      </c>
      <c r="K520" t="s">
        <v>165</v>
      </c>
      <c r="N520" t="str">
        <f t="shared" si="22"/>
        <v>Szanowna Pani</v>
      </c>
      <c r="P520" s="19" t="s">
        <v>9776</v>
      </c>
      <c r="U520" t="str">
        <f t="shared" si="24"/>
        <v>tak</v>
      </c>
    </row>
    <row r="521" spans="1:21">
      <c r="A521">
        <v>565</v>
      </c>
      <c r="B521" t="s">
        <v>2638</v>
      </c>
      <c r="C521" t="s">
        <v>2619</v>
      </c>
      <c r="D521" t="s">
        <v>2620</v>
      </c>
      <c r="E521" t="s">
        <v>2621</v>
      </c>
      <c r="F521" t="s">
        <v>2622</v>
      </c>
      <c r="G521" t="s">
        <v>2879</v>
      </c>
      <c r="H521" t="s">
        <v>2878</v>
      </c>
      <c r="I521" t="s">
        <v>8608</v>
      </c>
      <c r="K521" t="s">
        <v>164</v>
      </c>
      <c r="N521" t="str">
        <f t="shared" si="22"/>
        <v>Szanowna Pani</v>
      </c>
      <c r="O521" s="19" t="s">
        <v>9776</v>
      </c>
      <c r="U521" t="str">
        <f t="shared" si="24"/>
        <v>tak</v>
      </c>
    </row>
    <row r="522" spans="1:21">
      <c r="A522">
        <v>566</v>
      </c>
      <c r="B522" t="s">
        <v>2638</v>
      </c>
      <c r="C522" t="s">
        <v>2623</v>
      </c>
      <c r="D522" t="s">
        <v>2624</v>
      </c>
      <c r="E522" t="s">
        <v>2625</v>
      </c>
      <c r="F522" t="s">
        <v>2568</v>
      </c>
      <c r="G522" t="s">
        <v>2881</v>
      </c>
      <c r="H522" t="s">
        <v>2880</v>
      </c>
      <c r="I522" t="s">
        <v>8609</v>
      </c>
      <c r="K522" t="s">
        <v>165</v>
      </c>
      <c r="N522" t="str">
        <f t="shared" si="22"/>
        <v>Szanowna Pani</v>
      </c>
      <c r="P522" s="19" t="s">
        <v>9776</v>
      </c>
      <c r="U522" t="str">
        <f t="shared" si="24"/>
        <v>tak</v>
      </c>
    </row>
    <row r="523" spans="1:21">
      <c r="A523">
        <v>567</v>
      </c>
      <c r="B523" t="s">
        <v>2638</v>
      </c>
      <c r="C523" t="s">
        <v>2626</v>
      </c>
      <c r="D523" t="s">
        <v>2627</v>
      </c>
      <c r="E523" t="s">
        <v>2628</v>
      </c>
      <c r="F523" t="s">
        <v>2629</v>
      </c>
      <c r="G523" t="s">
        <v>2883</v>
      </c>
      <c r="H523" t="s">
        <v>2882</v>
      </c>
      <c r="I523" t="s">
        <v>8610</v>
      </c>
      <c r="K523" t="s">
        <v>164</v>
      </c>
      <c r="N523" t="str">
        <f t="shared" si="22"/>
        <v>Szanowna Pani</v>
      </c>
      <c r="O523" s="19" t="s">
        <v>9776</v>
      </c>
      <c r="U523" t="str">
        <f t="shared" si="24"/>
        <v>tak</v>
      </c>
    </row>
    <row r="524" spans="1:21">
      <c r="A524">
        <v>568</v>
      </c>
      <c r="B524" t="s">
        <v>2638</v>
      </c>
      <c r="C524" t="s">
        <v>2630</v>
      </c>
      <c r="D524" t="s">
        <v>251</v>
      </c>
      <c r="E524" t="s">
        <v>2887</v>
      </c>
      <c r="F524" t="s">
        <v>2886</v>
      </c>
      <c r="G524" t="s">
        <v>2885</v>
      </c>
      <c r="H524" t="s">
        <v>2884</v>
      </c>
      <c r="I524" t="s">
        <v>8611</v>
      </c>
      <c r="K524" t="s">
        <v>2783</v>
      </c>
      <c r="N524" t="str">
        <f t="shared" si="22"/>
        <v>Szanowna Pani</v>
      </c>
      <c r="O524" s="19" t="s">
        <v>9776</v>
      </c>
      <c r="U524" t="str">
        <f t="shared" si="24"/>
        <v>tak</v>
      </c>
    </row>
    <row r="525" spans="1:21">
      <c r="A525">
        <v>569</v>
      </c>
      <c r="B525" t="s">
        <v>2638</v>
      </c>
      <c r="C525" t="s">
        <v>2630</v>
      </c>
      <c r="D525" t="s">
        <v>251</v>
      </c>
      <c r="E525" t="s">
        <v>2887</v>
      </c>
      <c r="F525" t="s">
        <v>2886</v>
      </c>
      <c r="G525" t="s">
        <v>2885</v>
      </c>
      <c r="H525" t="s">
        <v>2884</v>
      </c>
      <c r="I525" t="s">
        <v>8611</v>
      </c>
      <c r="K525" t="s">
        <v>164</v>
      </c>
      <c r="N525" t="str">
        <f t="shared" si="22"/>
        <v>Szanowna Pani</v>
      </c>
      <c r="O525" s="19" t="s">
        <v>9776</v>
      </c>
      <c r="U525" t="str">
        <f t="shared" si="24"/>
        <v>tak</v>
      </c>
    </row>
    <row r="526" spans="1:21">
      <c r="A526">
        <v>570</v>
      </c>
      <c r="B526" t="s">
        <v>2638</v>
      </c>
      <c r="C526" t="s">
        <v>2631</v>
      </c>
      <c r="D526" t="s">
        <v>251</v>
      </c>
      <c r="E526" t="s">
        <v>2632</v>
      </c>
      <c r="F526" t="s">
        <v>2633</v>
      </c>
      <c r="G526" t="s">
        <v>2889</v>
      </c>
      <c r="H526" t="s">
        <v>2888</v>
      </c>
      <c r="I526" t="s">
        <v>8612</v>
      </c>
      <c r="K526" t="s">
        <v>224</v>
      </c>
      <c r="N526" t="str">
        <f t="shared" si="22"/>
        <v>Szanowna Pani</v>
      </c>
      <c r="Q526" s="19" t="s">
        <v>9776</v>
      </c>
      <c r="U526" t="str">
        <f t="shared" si="24"/>
        <v>tak</v>
      </c>
    </row>
    <row r="527" spans="1:21">
      <c r="A527">
        <v>571</v>
      </c>
      <c r="B527" t="s">
        <v>2638</v>
      </c>
      <c r="C527" t="s">
        <v>2634</v>
      </c>
      <c r="D527" t="s">
        <v>2635</v>
      </c>
      <c r="E527" t="s">
        <v>2636</v>
      </c>
      <c r="F527" t="s">
        <v>2637</v>
      </c>
      <c r="G527" t="s">
        <v>2890</v>
      </c>
      <c r="H527" t="s">
        <v>1294</v>
      </c>
      <c r="I527" t="s">
        <v>8613</v>
      </c>
      <c r="K527" t="s">
        <v>164</v>
      </c>
      <c r="N527" t="str">
        <f t="shared" si="22"/>
        <v>Szanowna Pani</v>
      </c>
      <c r="O527" s="19" t="s">
        <v>9776</v>
      </c>
      <c r="U527" t="str">
        <f t="shared" si="24"/>
        <v>tak</v>
      </c>
    </row>
    <row r="528" spans="1:21">
      <c r="A528">
        <v>572</v>
      </c>
      <c r="B528" t="s">
        <v>2638</v>
      </c>
      <c r="C528" t="s">
        <v>2638</v>
      </c>
      <c r="D528" t="s">
        <v>2639</v>
      </c>
      <c r="E528" t="s">
        <v>2640</v>
      </c>
      <c r="F528" t="s">
        <v>2641</v>
      </c>
      <c r="G528" t="s">
        <v>2892</v>
      </c>
      <c r="H528" t="s">
        <v>2891</v>
      </c>
      <c r="I528" t="s">
        <v>8614</v>
      </c>
      <c r="K528" t="s">
        <v>2784</v>
      </c>
      <c r="N528" t="str">
        <f t="shared" si="22"/>
        <v>Szanowna Pani</v>
      </c>
      <c r="O528" s="19" t="s">
        <v>9776</v>
      </c>
      <c r="S528" t="s">
        <v>9740</v>
      </c>
      <c r="U528" t="str">
        <f t="shared" si="24"/>
        <v>tak</v>
      </c>
    </row>
    <row r="529" spans="1:21">
      <c r="A529">
        <v>573</v>
      </c>
      <c r="B529" t="s">
        <v>2638</v>
      </c>
      <c r="C529" t="s">
        <v>2638</v>
      </c>
      <c r="D529" t="s">
        <v>2639</v>
      </c>
      <c r="E529" t="s">
        <v>2640</v>
      </c>
      <c r="F529" t="s">
        <v>2641</v>
      </c>
      <c r="G529" t="s">
        <v>2894</v>
      </c>
      <c r="H529" t="s">
        <v>2893</v>
      </c>
      <c r="I529" t="s">
        <v>8615</v>
      </c>
      <c r="K529" t="s">
        <v>165</v>
      </c>
      <c r="N529" t="str">
        <f t="shared" si="22"/>
        <v>Szanowna Pani</v>
      </c>
      <c r="P529" s="19" t="s">
        <v>9776</v>
      </c>
      <c r="U529" t="str">
        <f t="shared" si="24"/>
        <v>tak</v>
      </c>
    </row>
    <row r="530" spans="1:21">
      <c r="A530">
        <v>574</v>
      </c>
      <c r="B530" t="s">
        <v>2638</v>
      </c>
      <c r="C530" t="s">
        <v>2638</v>
      </c>
      <c r="D530" t="s">
        <v>2642</v>
      </c>
      <c r="E530" t="s">
        <v>2643</v>
      </c>
      <c r="F530" t="s">
        <v>2644</v>
      </c>
      <c r="G530" t="s">
        <v>2896</v>
      </c>
      <c r="H530" t="s">
        <v>2895</v>
      </c>
      <c r="I530" t="s">
        <v>8616</v>
      </c>
      <c r="K530" t="s">
        <v>164</v>
      </c>
      <c r="N530" t="str">
        <f t="shared" si="22"/>
        <v>Szanowna Pani</v>
      </c>
      <c r="O530" s="19" t="s">
        <v>9776</v>
      </c>
      <c r="U530" t="str">
        <f t="shared" si="24"/>
        <v>tak</v>
      </c>
    </row>
    <row r="531" spans="1:21">
      <c r="A531">
        <v>575</v>
      </c>
      <c r="B531" t="s">
        <v>2638</v>
      </c>
      <c r="C531" t="s">
        <v>2638</v>
      </c>
      <c r="D531" t="s">
        <v>318</v>
      </c>
      <c r="E531" t="s">
        <v>2645</v>
      </c>
      <c r="F531" t="s">
        <v>2646</v>
      </c>
      <c r="G531" t="s">
        <v>2898</v>
      </c>
      <c r="H531" t="s">
        <v>2897</v>
      </c>
      <c r="I531" t="s">
        <v>8617</v>
      </c>
      <c r="K531" t="s">
        <v>224</v>
      </c>
      <c r="N531" t="str">
        <f t="shared" si="22"/>
        <v>Szanowna Pani</v>
      </c>
      <c r="Q531" s="19" t="s">
        <v>9776</v>
      </c>
      <c r="U531" t="str">
        <f t="shared" si="24"/>
        <v>tak</v>
      </c>
    </row>
    <row r="532" spans="1:21">
      <c r="A532">
        <v>576</v>
      </c>
      <c r="B532" t="s">
        <v>2638</v>
      </c>
      <c r="C532" t="s">
        <v>2638</v>
      </c>
      <c r="D532" t="s">
        <v>2616</v>
      </c>
      <c r="E532" t="s">
        <v>2647</v>
      </c>
      <c r="F532" t="s">
        <v>2646</v>
      </c>
      <c r="G532" t="s">
        <v>2900</v>
      </c>
      <c r="H532" t="s">
        <v>2899</v>
      </c>
      <c r="I532" t="s">
        <v>8618</v>
      </c>
      <c r="K532" t="s">
        <v>164</v>
      </c>
      <c r="N532" t="str">
        <f t="shared" si="22"/>
        <v>Szanowna Pani</v>
      </c>
      <c r="O532" s="19" t="s">
        <v>9776</v>
      </c>
      <c r="U532" t="str">
        <f t="shared" si="24"/>
        <v>tak</v>
      </c>
    </row>
    <row r="533" spans="1:21">
      <c r="A533">
        <v>577</v>
      </c>
      <c r="B533" t="s">
        <v>2638</v>
      </c>
      <c r="C533" t="s">
        <v>2638</v>
      </c>
      <c r="D533" t="s">
        <v>2648</v>
      </c>
      <c r="E533" t="s">
        <v>2649</v>
      </c>
      <c r="F533" t="s">
        <v>2650</v>
      </c>
      <c r="G533" t="s">
        <v>2902</v>
      </c>
      <c r="H533" t="s">
        <v>2901</v>
      </c>
      <c r="I533" t="s">
        <v>8619</v>
      </c>
      <c r="K533" t="s">
        <v>165</v>
      </c>
      <c r="N533" t="str">
        <f t="shared" si="22"/>
        <v>Szanowna Pani</v>
      </c>
      <c r="P533" s="19" t="s">
        <v>9776</v>
      </c>
      <c r="U533" t="str">
        <f t="shared" si="24"/>
        <v>tak</v>
      </c>
    </row>
    <row r="534" spans="1:21">
      <c r="A534">
        <v>578</v>
      </c>
      <c r="B534" t="s">
        <v>2638</v>
      </c>
      <c r="C534" t="s">
        <v>2638</v>
      </c>
      <c r="D534" t="s">
        <v>2651</v>
      </c>
      <c r="E534" t="s">
        <v>2652</v>
      </c>
      <c r="F534" t="s">
        <v>2653</v>
      </c>
      <c r="G534" t="s">
        <v>2904</v>
      </c>
      <c r="H534" t="s">
        <v>2903</v>
      </c>
      <c r="I534" t="s">
        <v>8620</v>
      </c>
      <c r="K534" t="s">
        <v>165</v>
      </c>
      <c r="N534" t="str">
        <f t="shared" si="22"/>
        <v>Szanowna Pani</v>
      </c>
      <c r="P534" s="19" t="s">
        <v>9776</v>
      </c>
      <c r="U534" t="str">
        <f t="shared" si="24"/>
        <v>tak</v>
      </c>
    </row>
    <row r="535" spans="1:21">
      <c r="A535">
        <v>579</v>
      </c>
      <c r="B535" t="s">
        <v>2638</v>
      </c>
      <c r="C535" t="s">
        <v>2638</v>
      </c>
      <c r="D535" t="s">
        <v>2613</v>
      </c>
      <c r="E535" t="s">
        <v>2654</v>
      </c>
      <c r="F535" t="s">
        <v>2655</v>
      </c>
      <c r="G535" t="s">
        <v>2906</v>
      </c>
      <c r="H535" t="s">
        <v>2905</v>
      </c>
      <c r="I535" t="s">
        <v>8621</v>
      </c>
      <c r="K535" t="s">
        <v>165</v>
      </c>
      <c r="N535" t="str">
        <f t="shared" ref="N535:N598" si="25">IF(ISERROR(FIND(",",H535)),IF(MID(H535,FIND(" ",H535)-1,1)="a","Szanowna Pani","Szanowny Pan"), "Szanowne Panie")</f>
        <v>Szanowna Pani</v>
      </c>
      <c r="P535" s="19" t="s">
        <v>9776</v>
      </c>
      <c r="U535" t="str">
        <f t="shared" si="24"/>
        <v>tak</v>
      </c>
    </row>
    <row r="536" spans="1:21">
      <c r="A536">
        <v>580</v>
      </c>
      <c r="B536" t="s">
        <v>2638</v>
      </c>
      <c r="C536" t="s">
        <v>2638</v>
      </c>
      <c r="D536" t="s">
        <v>2656</v>
      </c>
      <c r="E536" t="s">
        <v>2657</v>
      </c>
      <c r="F536" t="s">
        <v>2658</v>
      </c>
      <c r="G536" t="s">
        <v>2908</v>
      </c>
      <c r="H536" t="s">
        <v>2907</v>
      </c>
      <c r="I536" t="s">
        <v>8622</v>
      </c>
      <c r="K536" t="s">
        <v>165</v>
      </c>
      <c r="N536" t="str">
        <f t="shared" si="25"/>
        <v>Szanowna Pani</v>
      </c>
      <c r="P536" s="19" t="s">
        <v>9776</v>
      </c>
      <c r="U536" t="str">
        <f t="shared" si="24"/>
        <v>tak</v>
      </c>
    </row>
    <row r="537" spans="1:21">
      <c r="A537">
        <v>581</v>
      </c>
      <c r="B537" t="s">
        <v>2638</v>
      </c>
      <c r="C537" t="s">
        <v>2638</v>
      </c>
      <c r="D537" t="s">
        <v>2659</v>
      </c>
      <c r="E537" t="s">
        <v>2660</v>
      </c>
      <c r="F537" t="s">
        <v>2661</v>
      </c>
      <c r="G537" t="s">
        <v>2910</v>
      </c>
      <c r="H537" t="s">
        <v>2909</v>
      </c>
      <c r="I537" t="s">
        <v>8623</v>
      </c>
      <c r="K537" t="s">
        <v>164</v>
      </c>
      <c r="N537" t="str">
        <f t="shared" si="25"/>
        <v>Szanowna Pani</v>
      </c>
      <c r="O537" s="19" t="s">
        <v>9776</v>
      </c>
      <c r="U537" t="str">
        <f t="shared" si="24"/>
        <v>tak</v>
      </c>
    </row>
    <row r="538" spans="1:21">
      <c r="A538">
        <v>582</v>
      </c>
      <c r="B538" t="s">
        <v>2638</v>
      </c>
      <c r="C538" t="s">
        <v>2638</v>
      </c>
      <c r="D538" t="s">
        <v>2662</v>
      </c>
      <c r="E538" t="s">
        <v>2663</v>
      </c>
      <c r="F538" t="s">
        <v>2664</v>
      </c>
      <c r="G538" t="s">
        <v>2912</v>
      </c>
      <c r="H538" t="s">
        <v>2911</v>
      </c>
      <c r="I538" t="s">
        <v>8624</v>
      </c>
      <c r="K538" t="s">
        <v>164</v>
      </c>
      <c r="N538" t="str">
        <f t="shared" si="25"/>
        <v>Szanowna Pani</v>
      </c>
      <c r="O538" s="19" t="s">
        <v>9776</v>
      </c>
      <c r="U538" t="str">
        <f t="shared" si="24"/>
        <v>tak</v>
      </c>
    </row>
    <row r="539" spans="1:21">
      <c r="A539">
        <v>583</v>
      </c>
      <c r="B539" t="s">
        <v>2638</v>
      </c>
      <c r="C539" t="s">
        <v>2638</v>
      </c>
      <c r="D539" t="s">
        <v>2665</v>
      </c>
      <c r="E539" t="s">
        <v>2666</v>
      </c>
      <c r="F539" t="s">
        <v>2667</v>
      </c>
      <c r="G539" t="s">
        <v>2914</v>
      </c>
      <c r="H539" t="s">
        <v>2913</v>
      </c>
      <c r="I539" t="s">
        <v>8625</v>
      </c>
      <c r="K539" t="s">
        <v>165</v>
      </c>
      <c r="N539" t="str">
        <f t="shared" si="25"/>
        <v>Szanowny Pan</v>
      </c>
      <c r="P539" s="19" t="s">
        <v>9776</v>
      </c>
      <c r="U539" t="str">
        <f t="shared" si="24"/>
        <v>tak</v>
      </c>
    </row>
    <row r="540" spans="1:21">
      <c r="A540">
        <v>584</v>
      </c>
      <c r="B540" t="s">
        <v>2638</v>
      </c>
      <c r="C540" t="s">
        <v>2668</v>
      </c>
      <c r="D540" t="s">
        <v>2669</v>
      </c>
      <c r="E540" t="s">
        <v>2670</v>
      </c>
      <c r="F540" t="s">
        <v>2671</v>
      </c>
      <c r="G540" t="s">
        <v>2916</v>
      </c>
      <c r="H540" t="s">
        <v>2915</v>
      </c>
      <c r="I540" t="s">
        <v>8626</v>
      </c>
      <c r="K540" t="s">
        <v>164</v>
      </c>
      <c r="N540" t="str">
        <f t="shared" si="25"/>
        <v>Szanowna Pani</v>
      </c>
      <c r="O540" s="19" t="s">
        <v>9776</v>
      </c>
      <c r="U540" t="str">
        <f t="shared" si="24"/>
        <v>tak</v>
      </c>
    </row>
    <row r="541" spans="1:21">
      <c r="A541">
        <v>585</v>
      </c>
      <c r="B541" t="s">
        <v>2638</v>
      </c>
      <c r="C541" t="s">
        <v>2672</v>
      </c>
      <c r="D541" t="s">
        <v>1197</v>
      </c>
      <c r="E541" t="s">
        <v>2673</v>
      </c>
      <c r="F541" t="s">
        <v>2674</v>
      </c>
      <c r="G541" t="s">
        <v>2918</v>
      </c>
      <c r="H541" t="s">
        <v>2917</v>
      </c>
      <c r="I541" t="s">
        <v>8627</v>
      </c>
      <c r="K541" t="s">
        <v>165</v>
      </c>
      <c r="N541" t="str">
        <f t="shared" si="25"/>
        <v>Szanowna Pani</v>
      </c>
      <c r="P541" s="19" t="s">
        <v>9776</v>
      </c>
      <c r="U541" t="str">
        <f t="shared" si="24"/>
        <v>tak</v>
      </c>
    </row>
    <row r="542" spans="1:21">
      <c r="A542">
        <v>586</v>
      </c>
      <c r="B542" t="s">
        <v>2638</v>
      </c>
      <c r="C542" t="s">
        <v>2675</v>
      </c>
      <c r="D542" t="s">
        <v>166</v>
      </c>
      <c r="E542" t="s">
        <v>2676</v>
      </c>
      <c r="F542" t="s">
        <v>2677</v>
      </c>
      <c r="G542" t="s">
        <v>2920</v>
      </c>
      <c r="H542" t="s">
        <v>2919</v>
      </c>
      <c r="I542" t="s">
        <v>8628</v>
      </c>
      <c r="K542" t="s">
        <v>2785</v>
      </c>
      <c r="N542" t="str">
        <f t="shared" si="25"/>
        <v>Szanowna Pani</v>
      </c>
      <c r="P542" s="19" t="s">
        <v>9776</v>
      </c>
      <c r="Q542" s="19" t="s">
        <v>9776</v>
      </c>
      <c r="U542" t="str">
        <f t="shared" si="24"/>
        <v>taktak</v>
      </c>
    </row>
    <row r="543" spans="1:21">
      <c r="A543">
        <v>587</v>
      </c>
      <c r="B543" t="s">
        <v>2638</v>
      </c>
      <c r="C543" t="s">
        <v>2678</v>
      </c>
      <c r="D543" t="s">
        <v>166</v>
      </c>
      <c r="E543" t="s">
        <v>2679</v>
      </c>
      <c r="F543" t="s">
        <v>2680</v>
      </c>
      <c r="G543" t="s">
        <v>2922</v>
      </c>
      <c r="H543" t="s">
        <v>2921</v>
      </c>
      <c r="I543" t="s">
        <v>8629</v>
      </c>
      <c r="K543" t="s">
        <v>164</v>
      </c>
      <c r="N543" t="str">
        <f t="shared" si="25"/>
        <v>Szanowna Pani</v>
      </c>
      <c r="O543" s="19" t="s">
        <v>9776</v>
      </c>
      <c r="U543" t="str">
        <f t="shared" si="24"/>
        <v>tak</v>
      </c>
    </row>
    <row r="544" spans="1:21">
      <c r="A544">
        <v>588</v>
      </c>
      <c r="B544" t="s">
        <v>2638</v>
      </c>
      <c r="C544" t="s">
        <v>2681</v>
      </c>
      <c r="D544" t="s">
        <v>251</v>
      </c>
      <c r="E544" t="s">
        <v>2682</v>
      </c>
      <c r="F544" t="s">
        <v>2683</v>
      </c>
      <c r="G544" t="s">
        <v>2924</v>
      </c>
      <c r="H544" t="s">
        <v>2923</v>
      </c>
      <c r="I544" t="s">
        <v>8630</v>
      </c>
      <c r="K544" t="s">
        <v>164</v>
      </c>
      <c r="N544" t="str">
        <f t="shared" si="25"/>
        <v>Szanowny Pan</v>
      </c>
      <c r="O544" s="19" t="s">
        <v>9776</v>
      </c>
      <c r="U544" t="str">
        <f t="shared" si="24"/>
        <v>tak</v>
      </c>
    </row>
    <row r="545" spans="1:21">
      <c r="A545">
        <v>589</v>
      </c>
      <c r="B545" t="s">
        <v>2638</v>
      </c>
      <c r="C545" t="s">
        <v>2684</v>
      </c>
      <c r="D545" t="s">
        <v>166</v>
      </c>
      <c r="E545" t="s">
        <v>2928</v>
      </c>
      <c r="F545" t="s">
        <v>2927</v>
      </c>
      <c r="G545" t="s">
        <v>2926</v>
      </c>
      <c r="H545" t="s">
        <v>2925</v>
      </c>
      <c r="I545" t="s">
        <v>8631</v>
      </c>
      <c r="K545" t="s">
        <v>164</v>
      </c>
      <c r="N545" t="str">
        <f t="shared" si="25"/>
        <v>Szanowna Pani</v>
      </c>
      <c r="O545" s="19" t="s">
        <v>9776</v>
      </c>
      <c r="U545" t="str">
        <f t="shared" si="24"/>
        <v>tak</v>
      </c>
    </row>
    <row r="546" spans="1:21">
      <c r="A546">
        <v>590</v>
      </c>
      <c r="B546" t="s">
        <v>2638</v>
      </c>
      <c r="C546" t="s">
        <v>2685</v>
      </c>
      <c r="D546" t="s">
        <v>161</v>
      </c>
      <c r="E546" t="s">
        <v>2686</v>
      </c>
      <c r="F546" t="s">
        <v>2687</v>
      </c>
      <c r="G546" t="s">
        <v>2930</v>
      </c>
      <c r="H546" t="s">
        <v>2929</v>
      </c>
      <c r="I546" t="s">
        <v>8632</v>
      </c>
      <c r="K546" t="s">
        <v>164</v>
      </c>
      <c r="N546" t="str">
        <f t="shared" si="25"/>
        <v>Szanowna Pani</v>
      </c>
      <c r="O546" s="19" t="s">
        <v>9776</v>
      </c>
      <c r="U546" t="str">
        <f t="shared" si="24"/>
        <v>tak</v>
      </c>
    </row>
    <row r="547" spans="1:21">
      <c r="A547">
        <v>591</v>
      </c>
      <c r="B547" t="s">
        <v>2638</v>
      </c>
      <c r="C547" t="s">
        <v>2688</v>
      </c>
      <c r="D547" t="s">
        <v>2689</v>
      </c>
      <c r="E547" t="s">
        <v>2690</v>
      </c>
      <c r="F547" t="s">
        <v>2691</v>
      </c>
      <c r="G547" t="s">
        <v>2932</v>
      </c>
      <c r="H547" t="s">
        <v>2931</v>
      </c>
      <c r="I547" t="s">
        <v>8633</v>
      </c>
      <c r="K547" t="s">
        <v>164</v>
      </c>
      <c r="N547" t="str">
        <f t="shared" si="25"/>
        <v>Szanowna Pani</v>
      </c>
      <c r="O547" s="19" t="s">
        <v>9776</v>
      </c>
      <c r="U547" t="str">
        <f t="shared" si="24"/>
        <v>tak</v>
      </c>
    </row>
    <row r="548" spans="1:21">
      <c r="A548">
        <v>592</v>
      </c>
      <c r="B548" t="s">
        <v>2638</v>
      </c>
      <c r="C548" t="s">
        <v>2692</v>
      </c>
      <c r="D548" t="s">
        <v>2693</v>
      </c>
      <c r="E548" t="s">
        <v>2694</v>
      </c>
      <c r="F548" t="s">
        <v>2695</v>
      </c>
      <c r="G548" t="s">
        <v>2934</v>
      </c>
      <c r="H548" t="s">
        <v>2933</v>
      </c>
      <c r="I548" t="s">
        <v>8634</v>
      </c>
      <c r="K548" t="s">
        <v>164</v>
      </c>
      <c r="N548" t="str">
        <f t="shared" si="25"/>
        <v>Szanowna Pani</v>
      </c>
      <c r="O548" s="19" t="s">
        <v>9776</v>
      </c>
      <c r="U548" t="str">
        <f t="shared" si="24"/>
        <v>tak</v>
      </c>
    </row>
    <row r="549" spans="1:21">
      <c r="A549">
        <v>593</v>
      </c>
      <c r="B549" t="s">
        <v>2638</v>
      </c>
      <c r="C549" t="s">
        <v>2696</v>
      </c>
      <c r="D549" t="s">
        <v>251</v>
      </c>
      <c r="E549" t="s">
        <v>2697</v>
      </c>
      <c r="F549" t="s">
        <v>2698</v>
      </c>
      <c r="G549" t="s">
        <v>2936</v>
      </c>
      <c r="H549" t="s">
        <v>2935</v>
      </c>
      <c r="I549" t="s">
        <v>8635</v>
      </c>
      <c r="K549" t="s">
        <v>164</v>
      </c>
      <c r="N549" t="str">
        <f t="shared" si="25"/>
        <v>Szanowna Pani</v>
      </c>
      <c r="O549" s="19" t="s">
        <v>9776</v>
      </c>
      <c r="U549" t="str">
        <f t="shared" si="24"/>
        <v>tak</v>
      </c>
    </row>
    <row r="550" spans="1:21">
      <c r="A550">
        <v>594</v>
      </c>
      <c r="B550" t="s">
        <v>2638</v>
      </c>
      <c r="C550" t="s">
        <v>2699</v>
      </c>
      <c r="D550" t="s">
        <v>246</v>
      </c>
      <c r="E550" t="s">
        <v>2700</v>
      </c>
      <c r="F550" t="s">
        <v>2701</v>
      </c>
      <c r="G550" t="s">
        <v>2938</v>
      </c>
      <c r="H550" t="s">
        <v>2937</v>
      </c>
      <c r="I550" t="s">
        <v>8636</v>
      </c>
      <c r="K550" t="s">
        <v>164</v>
      </c>
      <c r="N550" t="str">
        <f t="shared" si="25"/>
        <v>Szanowna Pani</v>
      </c>
      <c r="O550" s="19" t="s">
        <v>9776</v>
      </c>
      <c r="U550" t="str">
        <f t="shared" si="24"/>
        <v>tak</v>
      </c>
    </row>
    <row r="551" spans="1:21">
      <c r="A551">
        <v>595</v>
      </c>
      <c r="B551" t="s">
        <v>2638</v>
      </c>
      <c r="C551" t="s">
        <v>2702</v>
      </c>
      <c r="D551" t="s">
        <v>166</v>
      </c>
      <c r="E551" t="s">
        <v>2703</v>
      </c>
      <c r="F551" t="s">
        <v>2704</v>
      </c>
      <c r="G551" t="s">
        <v>2940</v>
      </c>
      <c r="H551" t="s">
        <v>2939</v>
      </c>
      <c r="I551" t="s">
        <v>8637</v>
      </c>
      <c r="K551" t="s">
        <v>164</v>
      </c>
      <c r="N551" t="str">
        <f t="shared" si="25"/>
        <v>Szanowna Pani</v>
      </c>
      <c r="O551" s="19" t="s">
        <v>9776</v>
      </c>
      <c r="S551" t="s">
        <v>9740</v>
      </c>
      <c r="U551" t="str">
        <f t="shared" si="24"/>
        <v>tak</v>
      </c>
    </row>
    <row r="552" spans="1:21">
      <c r="A552">
        <v>596</v>
      </c>
      <c r="B552" t="s">
        <v>2638</v>
      </c>
      <c r="C552" t="s">
        <v>2705</v>
      </c>
      <c r="D552" t="s">
        <v>251</v>
      </c>
      <c r="E552" t="s">
        <v>2706</v>
      </c>
      <c r="F552" t="s">
        <v>2707</v>
      </c>
      <c r="G552" t="s">
        <v>2942</v>
      </c>
      <c r="H552" t="s">
        <v>2941</v>
      </c>
      <c r="I552" t="s">
        <v>8638</v>
      </c>
      <c r="K552" t="s">
        <v>164</v>
      </c>
      <c r="N552" t="str">
        <f t="shared" si="25"/>
        <v>Szanowna Pani</v>
      </c>
      <c r="O552" s="19" t="s">
        <v>9776</v>
      </c>
      <c r="U552" t="str">
        <f t="shared" ref="U552:U579" si="26">+O552 &amp;P552&amp;Q552</f>
        <v>tak</v>
      </c>
    </row>
    <row r="553" spans="1:21">
      <c r="A553">
        <v>597</v>
      </c>
      <c r="B553" t="s">
        <v>2638</v>
      </c>
      <c r="C553" t="s">
        <v>2708</v>
      </c>
      <c r="D553" t="s">
        <v>2709</v>
      </c>
      <c r="E553" t="s">
        <v>2710</v>
      </c>
      <c r="F553" t="s">
        <v>2711</v>
      </c>
      <c r="G553" t="s">
        <v>2944</v>
      </c>
      <c r="H553" t="s">
        <v>2943</v>
      </c>
      <c r="I553" t="s">
        <v>8639</v>
      </c>
      <c r="K553" t="s">
        <v>164</v>
      </c>
      <c r="N553" t="str">
        <f t="shared" si="25"/>
        <v>Szanowna Pani</v>
      </c>
      <c r="O553" s="19" t="s">
        <v>9776</v>
      </c>
      <c r="U553" t="str">
        <f t="shared" si="26"/>
        <v>tak</v>
      </c>
    </row>
    <row r="554" spans="1:21">
      <c r="A554">
        <v>598</v>
      </c>
      <c r="B554" t="s">
        <v>2638</v>
      </c>
      <c r="C554" t="s">
        <v>2712</v>
      </c>
      <c r="D554" t="s">
        <v>166</v>
      </c>
      <c r="E554" t="s">
        <v>2713</v>
      </c>
      <c r="F554" t="s">
        <v>2714</v>
      </c>
      <c r="G554" t="s">
        <v>2946</v>
      </c>
      <c r="H554" t="s">
        <v>2945</v>
      </c>
      <c r="I554" t="s">
        <v>8640</v>
      </c>
      <c r="K554" t="s">
        <v>164</v>
      </c>
      <c r="N554" t="str">
        <f t="shared" si="25"/>
        <v>Szanowna Pani</v>
      </c>
      <c r="O554" s="19" t="s">
        <v>9776</v>
      </c>
      <c r="U554" t="str">
        <f t="shared" si="26"/>
        <v>tak</v>
      </c>
    </row>
    <row r="555" spans="1:21">
      <c r="A555">
        <v>599</v>
      </c>
      <c r="B555" t="s">
        <v>2638</v>
      </c>
      <c r="C555" t="s">
        <v>2715</v>
      </c>
      <c r="D555" t="s">
        <v>2949</v>
      </c>
      <c r="F555" t="s">
        <v>2716</v>
      </c>
      <c r="G555" t="s">
        <v>2948</v>
      </c>
      <c r="H555" t="s">
        <v>2947</v>
      </c>
      <c r="I555" t="s">
        <v>8641</v>
      </c>
      <c r="K555" t="s">
        <v>164</v>
      </c>
      <c r="N555" t="str">
        <f t="shared" si="25"/>
        <v>Szanowna Pani</v>
      </c>
      <c r="O555" s="19" t="s">
        <v>9776</v>
      </c>
      <c r="U555" t="str">
        <f t="shared" si="26"/>
        <v>tak</v>
      </c>
    </row>
    <row r="556" spans="1:21">
      <c r="A556">
        <v>600</v>
      </c>
      <c r="B556" t="s">
        <v>2638</v>
      </c>
      <c r="C556" t="s">
        <v>2717</v>
      </c>
      <c r="D556" t="s">
        <v>345</v>
      </c>
      <c r="E556" t="s">
        <v>2718</v>
      </c>
      <c r="F556" t="s">
        <v>2719</v>
      </c>
      <c r="G556" t="s">
        <v>2951</v>
      </c>
      <c r="H556" t="s">
        <v>2950</v>
      </c>
      <c r="I556" t="s">
        <v>8642</v>
      </c>
      <c r="K556" t="s">
        <v>224</v>
      </c>
      <c r="N556" t="str">
        <f t="shared" si="25"/>
        <v>Szanowna Pani</v>
      </c>
      <c r="Q556" s="19" t="s">
        <v>9776</v>
      </c>
      <c r="U556" t="str">
        <f t="shared" si="26"/>
        <v>tak</v>
      </c>
    </row>
    <row r="557" spans="1:21">
      <c r="A557">
        <v>601</v>
      </c>
      <c r="B557" t="s">
        <v>2638</v>
      </c>
      <c r="C557" t="s">
        <v>2717</v>
      </c>
      <c r="D557" t="s">
        <v>345</v>
      </c>
      <c r="E557" t="s">
        <v>2718</v>
      </c>
      <c r="F557" t="s">
        <v>2719</v>
      </c>
      <c r="G557" t="s">
        <v>2953</v>
      </c>
      <c r="H557" t="s">
        <v>2952</v>
      </c>
      <c r="I557" t="s">
        <v>8643</v>
      </c>
      <c r="K557" t="s">
        <v>164</v>
      </c>
      <c r="N557" t="str">
        <f t="shared" si="25"/>
        <v>Szanowna Pani</v>
      </c>
      <c r="O557" s="19" t="s">
        <v>9776</v>
      </c>
      <c r="U557" t="str">
        <f t="shared" si="26"/>
        <v>tak</v>
      </c>
    </row>
    <row r="558" spans="1:21">
      <c r="A558">
        <v>602</v>
      </c>
      <c r="B558" t="s">
        <v>2638</v>
      </c>
      <c r="C558" t="s">
        <v>2720</v>
      </c>
      <c r="D558" t="s">
        <v>2613</v>
      </c>
      <c r="E558" t="s">
        <v>2721</v>
      </c>
      <c r="F558" t="s">
        <v>2722</v>
      </c>
      <c r="G558" t="s">
        <v>2955</v>
      </c>
      <c r="H558" t="s">
        <v>2954</v>
      </c>
      <c r="I558" t="s">
        <v>8644</v>
      </c>
      <c r="K558" t="s">
        <v>2786</v>
      </c>
      <c r="N558" t="str">
        <f t="shared" si="25"/>
        <v>Szanowna Pani</v>
      </c>
      <c r="O558" s="19" t="s">
        <v>9776</v>
      </c>
      <c r="U558" t="str">
        <f t="shared" si="26"/>
        <v>tak</v>
      </c>
    </row>
    <row r="559" spans="1:21">
      <c r="A559">
        <v>603</v>
      </c>
      <c r="B559" t="s">
        <v>2638</v>
      </c>
      <c r="C559" t="s">
        <v>2720</v>
      </c>
      <c r="D559" t="s">
        <v>2613</v>
      </c>
      <c r="E559" t="s">
        <v>2721</v>
      </c>
      <c r="F559" t="s">
        <v>2722</v>
      </c>
      <c r="G559" t="s">
        <v>2955</v>
      </c>
      <c r="H559" t="s">
        <v>2954</v>
      </c>
      <c r="I559" t="s">
        <v>8644</v>
      </c>
      <c r="K559" t="s">
        <v>2787</v>
      </c>
      <c r="N559" t="str">
        <f t="shared" si="25"/>
        <v>Szanowna Pani</v>
      </c>
      <c r="O559" s="19" t="s">
        <v>9776</v>
      </c>
      <c r="U559" t="str">
        <f t="shared" si="26"/>
        <v>tak</v>
      </c>
    </row>
    <row r="560" spans="1:21">
      <c r="A560">
        <v>604</v>
      </c>
      <c r="B560" t="s">
        <v>2638</v>
      </c>
      <c r="C560" t="s">
        <v>2723</v>
      </c>
      <c r="D560" t="s">
        <v>267</v>
      </c>
      <c r="E560" t="s">
        <v>2724</v>
      </c>
      <c r="F560" t="s">
        <v>2725</v>
      </c>
      <c r="G560" t="s">
        <v>2957</v>
      </c>
      <c r="H560" t="s">
        <v>2956</v>
      </c>
      <c r="I560" t="s">
        <v>8645</v>
      </c>
      <c r="K560" t="s">
        <v>164</v>
      </c>
      <c r="N560" t="str">
        <f t="shared" si="25"/>
        <v>Szanowna Pani</v>
      </c>
      <c r="O560" s="19" t="s">
        <v>9776</v>
      </c>
      <c r="U560" t="str">
        <f t="shared" si="26"/>
        <v>tak</v>
      </c>
    </row>
    <row r="561" spans="1:21">
      <c r="A561">
        <v>605</v>
      </c>
      <c r="B561" t="s">
        <v>2638</v>
      </c>
      <c r="C561" t="s">
        <v>2723</v>
      </c>
      <c r="D561" t="s">
        <v>2726</v>
      </c>
      <c r="E561" t="s">
        <v>2727</v>
      </c>
      <c r="F561" t="s">
        <v>2728</v>
      </c>
      <c r="G561" t="s">
        <v>2959</v>
      </c>
      <c r="H561" t="s">
        <v>2958</v>
      </c>
      <c r="I561" t="s">
        <v>8646</v>
      </c>
      <c r="K561" t="s">
        <v>164</v>
      </c>
      <c r="N561" t="str">
        <f t="shared" si="25"/>
        <v>Szanowna Pani</v>
      </c>
      <c r="O561" s="19" t="s">
        <v>9776</v>
      </c>
      <c r="U561" t="str">
        <f t="shared" si="26"/>
        <v>tak</v>
      </c>
    </row>
    <row r="562" spans="1:21">
      <c r="A562">
        <v>606</v>
      </c>
      <c r="B562" t="s">
        <v>2638</v>
      </c>
      <c r="C562" t="s">
        <v>2729</v>
      </c>
      <c r="D562" t="s">
        <v>251</v>
      </c>
      <c r="E562" t="s">
        <v>2730</v>
      </c>
      <c r="F562" t="s">
        <v>2731</v>
      </c>
      <c r="G562" t="s">
        <v>2961</v>
      </c>
      <c r="H562" t="s">
        <v>2960</v>
      </c>
      <c r="I562" t="s">
        <v>8647</v>
      </c>
      <c r="K562" t="s">
        <v>164</v>
      </c>
      <c r="N562" t="str">
        <f t="shared" si="25"/>
        <v>Szanowna Pani</v>
      </c>
      <c r="O562" s="19" t="s">
        <v>9776</v>
      </c>
      <c r="U562" t="str">
        <f t="shared" si="26"/>
        <v>tak</v>
      </c>
    </row>
    <row r="563" spans="1:21">
      <c r="A563">
        <v>607</v>
      </c>
      <c r="B563" t="s">
        <v>2638</v>
      </c>
      <c r="C563" t="s">
        <v>2729</v>
      </c>
      <c r="D563" t="s">
        <v>2732</v>
      </c>
      <c r="E563" t="s">
        <v>2733</v>
      </c>
      <c r="F563" t="s">
        <v>2731</v>
      </c>
      <c r="G563" t="s">
        <v>2963</v>
      </c>
      <c r="H563" t="s">
        <v>2962</v>
      </c>
      <c r="I563" t="s">
        <v>8648</v>
      </c>
      <c r="K563" t="s">
        <v>165</v>
      </c>
      <c r="N563" t="str">
        <f t="shared" si="25"/>
        <v>Szanowna Pani</v>
      </c>
      <c r="P563" s="19" t="s">
        <v>9776</v>
      </c>
      <c r="U563" t="str">
        <f t="shared" si="26"/>
        <v>tak</v>
      </c>
    </row>
    <row r="564" spans="1:21">
      <c r="A564">
        <v>608</v>
      </c>
      <c r="B564" t="s">
        <v>2638</v>
      </c>
      <c r="C564" t="s">
        <v>2729</v>
      </c>
      <c r="D564" t="s">
        <v>9643</v>
      </c>
      <c r="E564" t="s">
        <v>9644</v>
      </c>
      <c r="F564" t="s">
        <v>2734</v>
      </c>
      <c r="G564" t="s">
        <v>2965</v>
      </c>
      <c r="H564" t="s">
        <v>2964</v>
      </c>
      <c r="I564" t="s">
        <v>8649</v>
      </c>
      <c r="K564" t="s">
        <v>165</v>
      </c>
      <c r="N564" t="str">
        <f t="shared" si="25"/>
        <v>Szanowne Panie</v>
      </c>
      <c r="P564" s="19" t="s">
        <v>9776</v>
      </c>
      <c r="U564" t="str">
        <f t="shared" si="26"/>
        <v>tak</v>
      </c>
    </row>
    <row r="565" spans="1:21">
      <c r="A565">
        <v>609</v>
      </c>
      <c r="B565" t="s">
        <v>2638</v>
      </c>
      <c r="C565" t="s">
        <v>2735</v>
      </c>
      <c r="D565" t="s">
        <v>251</v>
      </c>
      <c r="E565" t="s">
        <v>2736</v>
      </c>
      <c r="F565" t="s">
        <v>2737</v>
      </c>
      <c r="G565" t="s">
        <v>2967</v>
      </c>
      <c r="H565" t="s">
        <v>2966</v>
      </c>
      <c r="I565" t="s">
        <v>8650</v>
      </c>
      <c r="K565" t="s">
        <v>164</v>
      </c>
      <c r="N565" t="str">
        <f t="shared" si="25"/>
        <v>Szanowna Pani</v>
      </c>
      <c r="O565" s="19" t="s">
        <v>9776</v>
      </c>
      <c r="U565" t="str">
        <f t="shared" si="26"/>
        <v>tak</v>
      </c>
    </row>
    <row r="566" spans="1:21">
      <c r="A566">
        <v>610</v>
      </c>
      <c r="B566" t="s">
        <v>2638</v>
      </c>
      <c r="C566" t="s">
        <v>2738</v>
      </c>
      <c r="D566" t="s">
        <v>251</v>
      </c>
      <c r="E566" t="s">
        <v>2739</v>
      </c>
      <c r="F566" t="s">
        <v>2740</v>
      </c>
      <c r="G566" t="s">
        <v>2969</v>
      </c>
      <c r="H566" t="s">
        <v>2968</v>
      </c>
      <c r="I566" t="s">
        <v>8651</v>
      </c>
      <c r="K566" t="s">
        <v>164</v>
      </c>
      <c r="N566" t="str">
        <f t="shared" si="25"/>
        <v>Szanowna Pani</v>
      </c>
      <c r="O566" s="19" t="s">
        <v>9776</v>
      </c>
      <c r="U566" t="str">
        <f t="shared" si="26"/>
        <v>tak</v>
      </c>
    </row>
    <row r="567" spans="1:21">
      <c r="A567">
        <v>611</v>
      </c>
      <c r="B567" t="s">
        <v>2638</v>
      </c>
      <c r="C567" t="s">
        <v>2738</v>
      </c>
      <c r="D567" t="s">
        <v>2741</v>
      </c>
      <c r="E567" t="s">
        <v>2739</v>
      </c>
      <c r="F567" t="s">
        <v>2740</v>
      </c>
      <c r="G567" t="s">
        <v>2972</v>
      </c>
      <c r="H567" t="s">
        <v>2971</v>
      </c>
      <c r="I567" t="s">
        <v>8652</v>
      </c>
      <c r="K567" t="s">
        <v>2970</v>
      </c>
      <c r="L567" t="s">
        <v>164</v>
      </c>
      <c r="N567" t="str">
        <f t="shared" si="25"/>
        <v>Szanowne Panie</v>
      </c>
      <c r="O567" s="19" t="s">
        <v>9776</v>
      </c>
      <c r="U567" t="str">
        <f t="shared" si="26"/>
        <v>tak</v>
      </c>
    </row>
    <row r="568" spans="1:21">
      <c r="A568">
        <v>612</v>
      </c>
      <c r="B568" t="s">
        <v>2638</v>
      </c>
      <c r="C568" t="s">
        <v>2738</v>
      </c>
      <c r="D568" t="s">
        <v>2742</v>
      </c>
      <c r="E568" t="s">
        <v>2743</v>
      </c>
      <c r="F568" t="s">
        <v>2744</v>
      </c>
      <c r="G568" t="s">
        <v>2974</v>
      </c>
      <c r="H568" t="s">
        <v>2973</v>
      </c>
      <c r="I568" t="s">
        <v>8653</v>
      </c>
      <c r="K568" t="s">
        <v>224</v>
      </c>
      <c r="N568" t="str">
        <f t="shared" si="25"/>
        <v>Szanowna Pani</v>
      </c>
      <c r="Q568" s="19" t="s">
        <v>9776</v>
      </c>
      <c r="U568" t="str">
        <f t="shared" si="26"/>
        <v>tak</v>
      </c>
    </row>
    <row r="569" spans="1:21">
      <c r="A569">
        <v>613</v>
      </c>
      <c r="B569" t="s">
        <v>2638</v>
      </c>
      <c r="C569" t="s">
        <v>2745</v>
      </c>
      <c r="D569" t="s">
        <v>246</v>
      </c>
      <c r="E569" t="s">
        <v>2746</v>
      </c>
      <c r="F569" t="s">
        <v>2747</v>
      </c>
      <c r="G569" t="s">
        <v>2976</v>
      </c>
      <c r="H569" t="s">
        <v>2975</v>
      </c>
      <c r="I569" t="s">
        <v>8654</v>
      </c>
      <c r="K569" t="s">
        <v>164</v>
      </c>
      <c r="N569" t="str">
        <f t="shared" si="25"/>
        <v>Szanowna Pani</v>
      </c>
      <c r="O569" s="19" t="s">
        <v>9776</v>
      </c>
      <c r="U569" t="str">
        <f t="shared" si="26"/>
        <v>tak</v>
      </c>
    </row>
    <row r="570" spans="1:21">
      <c r="A570">
        <v>614</v>
      </c>
      <c r="B570" t="s">
        <v>2638</v>
      </c>
      <c r="C570" t="s">
        <v>2748</v>
      </c>
      <c r="D570" t="s">
        <v>166</v>
      </c>
      <c r="E570" t="s">
        <v>2749</v>
      </c>
      <c r="F570" t="s">
        <v>2750</v>
      </c>
      <c r="G570" t="s">
        <v>2978</v>
      </c>
      <c r="H570" t="s">
        <v>2977</v>
      </c>
      <c r="I570" t="s">
        <v>8655</v>
      </c>
      <c r="K570" t="s">
        <v>164</v>
      </c>
      <c r="N570" t="str">
        <f t="shared" si="25"/>
        <v>Szanowna Pani</v>
      </c>
      <c r="O570" s="19" t="s">
        <v>9776</v>
      </c>
      <c r="U570" t="str">
        <f t="shared" si="26"/>
        <v>tak</v>
      </c>
    </row>
    <row r="571" spans="1:21">
      <c r="A571">
        <v>615</v>
      </c>
      <c r="B571" t="s">
        <v>2638</v>
      </c>
      <c r="C571" t="s">
        <v>2751</v>
      </c>
      <c r="D571" t="s">
        <v>251</v>
      </c>
      <c r="E571" t="s">
        <v>2752</v>
      </c>
      <c r="F571" t="s">
        <v>2753</v>
      </c>
      <c r="G571" t="s">
        <v>2980</v>
      </c>
      <c r="H571" t="s">
        <v>2979</v>
      </c>
      <c r="I571" t="s">
        <v>8656</v>
      </c>
      <c r="K571" t="s">
        <v>164</v>
      </c>
      <c r="N571" t="str">
        <f t="shared" si="25"/>
        <v>Szanowna Pani</v>
      </c>
      <c r="O571" s="19" t="s">
        <v>9776</v>
      </c>
      <c r="U571" t="str">
        <f t="shared" si="26"/>
        <v>tak</v>
      </c>
    </row>
    <row r="572" spans="1:21">
      <c r="A572">
        <v>616</v>
      </c>
      <c r="B572" t="s">
        <v>2638</v>
      </c>
      <c r="C572" t="s">
        <v>2754</v>
      </c>
      <c r="D572" t="s">
        <v>251</v>
      </c>
      <c r="E572" t="s">
        <v>2755</v>
      </c>
      <c r="F572" t="s">
        <v>2756</v>
      </c>
      <c r="G572" t="s">
        <v>2982</v>
      </c>
      <c r="H572" t="s">
        <v>2981</v>
      </c>
      <c r="I572" t="s">
        <v>8657</v>
      </c>
      <c r="K572" t="s">
        <v>165</v>
      </c>
      <c r="N572" t="str">
        <f t="shared" si="25"/>
        <v>Szanowna Pani</v>
      </c>
      <c r="P572" s="19" t="s">
        <v>9776</v>
      </c>
      <c r="U572" t="str">
        <f t="shared" si="26"/>
        <v>tak</v>
      </c>
    </row>
    <row r="573" spans="1:21">
      <c r="A573">
        <v>617</v>
      </c>
      <c r="B573" t="s">
        <v>2638</v>
      </c>
      <c r="C573" t="s">
        <v>2754</v>
      </c>
      <c r="D573" t="s">
        <v>251</v>
      </c>
      <c r="E573" t="s">
        <v>2755</v>
      </c>
      <c r="F573" t="s">
        <v>2756</v>
      </c>
      <c r="G573" t="s">
        <v>2984</v>
      </c>
      <c r="H573" t="s">
        <v>2983</v>
      </c>
      <c r="I573" t="s">
        <v>8658</v>
      </c>
      <c r="K573" t="s">
        <v>164</v>
      </c>
      <c r="N573" t="str">
        <f t="shared" si="25"/>
        <v>Szanowna Pani</v>
      </c>
      <c r="O573" s="19" t="s">
        <v>9776</v>
      </c>
      <c r="U573" t="str">
        <f t="shared" si="26"/>
        <v>tak</v>
      </c>
    </row>
    <row r="574" spans="1:21">
      <c r="A574">
        <v>618</v>
      </c>
      <c r="B574" t="s">
        <v>2638</v>
      </c>
      <c r="C574" t="s">
        <v>2754</v>
      </c>
      <c r="D574" t="s">
        <v>2642</v>
      </c>
      <c r="E574" t="s">
        <v>2757</v>
      </c>
      <c r="F574" t="s">
        <v>2756</v>
      </c>
      <c r="G574" t="s">
        <v>2986</v>
      </c>
      <c r="H574" t="s">
        <v>2985</v>
      </c>
      <c r="I574" t="s">
        <v>8659</v>
      </c>
      <c r="K574" t="s">
        <v>164</v>
      </c>
      <c r="N574" t="str">
        <f t="shared" si="25"/>
        <v>Szanowna Pani</v>
      </c>
      <c r="O574" s="19" t="s">
        <v>9776</v>
      </c>
      <c r="U574" t="str">
        <f t="shared" si="26"/>
        <v>tak</v>
      </c>
    </row>
    <row r="575" spans="1:21">
      <c r="A575">
        <v>619</v>
      </c>
      <c r="B575" t="s">
        <v>2638</v>
      </c>
      <c r="C575" t="s">
        <v>2758</v>
      </c>
      <c r="D575" t="s">
        <v>251</v>
      </c>
      <c r="E575" t="s">
        <v>2759</v>
      </c>
      <c r="F575" t="s">
        <v>2760</v>
      </c>
      <c r="G575" t="s">
        <v>2988</v>
      </c>
      <c r="H575" t="s">
        <v>2987</v>
      </c>
      <c r="I575" t="s">
        <v>8660</v>
      </c>
      <c r="K575" t="s">
        <v>164</v>
      </c>
      <c r="N575" t="str">
        <f t="shared" si="25"/>
        <v>Szanowna Pani</v>
      </c>
      <c r="O575" s="19" t="s">
        <v>9776</v>
      </c>
      <c r="U575" t="str">
        <f t="shared" si="26"/>
        <v>tak</v>
      </c>
    </row>
    <row r="576" spans="1:21">
      <c r="A576">
        <v>620</v>
      </c>
      <c r="B576" t="s">
        <v>2638</v>
      </c>
      <c r="C576" t="s">
        <v>2761</v>
      </c>
      <c r="D576" t="s">
        <v>2762</v>
      </c>
      <c r="E576" t="s">
        <v>2763</v>
      </c>
      <c r="F576" t="s">
        <v>2764</v>
      </c>
      <c r="G576" t="s">
        <v>2990</v>
      </c>
      <c r="H576" t="s">
        <v>2989</v>
      </c>
      <c r="I576" t="s">
        <v>8661</v>
      </c>
      <c r="K576" t="s">
        <v>164</v>
      </c>
      <c r="N576" t="str">
        <f t="shared" si="25"/>
        <v>Szanowna Pani</v>
      </c>
      <c r="O576" s="19" t="s">
        <v>9776</v>
      </c>
      <c r="U576" t="str">
        <f t="shared" si="26"/>
        <v>tak</v>
      </c>
    </row>
    <row r="577" spans="1:21">
      <c r="A577">
        <v>621</v>
      </c>
      <c r="B577" t="s">
        <v>2638</v>
      </c>
      <c r="C577" t="s">
        <v>2761</v>
      </c>
      <c r="D577" t="s">
        <v>2762</v>
      </c>
      <c r="E577" t="s">
        <v>2763</v>
      </c>
      <c r="F577" t="s">
        <v>2764</v>
      </c>
      <c r="G577" t="s">
        <v>2990</v>
      </c>
      <c r="H577" t="s">
        <v>2989</v>
      </c>
      <c r="I577" t="s">
        <v>8661</v>
      </c>
      <c r="K577" t="s">
        <v>165</v>
      </c>
      <c r="N577" t="str">
        <f t="shared" si="25"/>
        <v>Szanowna Pani</v>
      </c>
      <c r="P577" s="19" t="s">
        <v>9776</v>
      </c>
      <c r="U577" t="str">
        <f t="shared" si="26"/>
        <v>tak</v>
      </c>
    </row>
    <row r="578" spans="1:21">
      <c r="A578">
        <v>622</v>
      </c>
      <c r="B578" t="s">
        <v>2638</v>
      </c>
      <c r="C578" t="s">
        <v>2765</v>
      </c>
      <c r="D578" t="s">
        <v>166</v>
      </c>
      <c r="E578" t="s">
        <v>2766</v>
      </c>
      <c r="F578" t="s">
        <v>2767</v>
      </c>
      <c r="G578" t="s">
        <v>2992</v>
      </c>
      <c r="H578" t="s">
        <v>2991</v>
      </c>
      <c r="I578" t="s">
        <v>8662</v>
      </c>
      <c r="K578" t="s">
        <v>164</v>
      </c>
      <c r="N578" t="str">
        <f t="shared" si="25"/>
        <v>Szanowna Pani</v>
      </c>
      <c r="O578" s="19" t="s">
        <v>9776</v>
      </c>
      <c r="U578" t="str">
        <f t="shared" si="26"/>
        <v>tak</v>
      </c>
    </row>
    <row r="579" spans="1:21">
      <c r="A579">
        <v>623</v>
      </c>
      <c r="B579" t="s">
        <v>2638</v>
      </c>
      <c r="C579" t="s">
        <v>2768</v>
      </c>
      <c r="D579" t="s">
        <v>345</v>
      </c>
      <c r="E579" t="s">
        <v>2769</v>
      </c>
      <c r="F579" t="s">
        <v>2770</v>
      </c>
      <c r="G579" t="s">
        <v>2994</v>
      </c>
      <c r="H579" t="s">
        <v>2993</v>
      </c>
      <c r="I579" t="s">
        <v>8663</v>
      </c>
      <c r="K579" t="s">
        <v>164</v>
      </c>
      <c r="N579" t="str">
        <f t="shared" si="25"/>
        <v>Szanowna Pani</v>
      </c>
      <c r="O579" s="19" t="s">
        <v>9776</v>
      </c>
      <c r="U579" t="str">
        <f t="shared" si="26"/>
        <v>tak</v>
      </c>
    </row>
    <row r="580" spans="1:21">
      <c r="A580">
        <v>624</v>
      </c>
      <c r="B580" t="s">
        <v>2638</v>
      </c>
      <c r="C580" t="s">
        <v>2771</v>
      </c>
      <c r="D580" t="s">
        <v>251</v>
      </c>
      <c r="E580" t="s">
        <v>2772</v>
      </c>
      <c r="F580" t="s">
        <v>2773</v>
      </c>
      <c r="G580" t="s">
        <v>2996</v>
      </c>
      <c r="H580" t="s">
        <v>2995</v>
      </c>
      <c r="I580" t="s">
        <v>8664</v>
      </c>
      <c r="K580" t="s">
        <v>164</v>
      </c>
      <c r="N580" t="str">
        <f t="shared" si="25"/>
        <v>Szanowna Pani</v>
      </c>
      <c r="O580" s="19" t="s">
        <v>9776</v>
      </c>
      <c r="U580" t="str">
        <f t="shared" ref="U580:U612" si="27">+O580 &amp;P580&amp;Q580</f>
        <v>tak</v>
      </c>
    </row>
    <row r="581" spans="1:21">
      <c r="A581">
        <v>625</v>
      </c>
      <c r="B581" t="s">
        <v>2638</v>
      </c>
      <c r="C581" t="s">
        <v>2771</v>
      </c>
      <c r="D581" t="s">
        <v>2774</v>
      </c>
      <c r="E581" t="s">
        <v>2772</v>
      </c>
      <c r="F581" t="s">
        <v>2773</v>
      </c>
      <c r="G581" t="s">
        <v>2998</v>
      </c>
      <c r="H581" t="s">
        <v>2997</v>
      </c>
      <c r="I581" t="s">
        <v>8665</v>
      </c>
      <c r="K581" t="s">
        <v>165</v>
      </c>
      <c r="N581" t="str">
        <f t="shared" si="25"/>
        <v>Szanowna Pani</v>
      </c>
      <c r="P581" s="19" t="s">
        <v>9776</v>
      </c>
      <c r="U581" t="str">
        <f t="shared" si="27"/>
        <v>tak</v>
      </c>
    </row>
    <row r="582" spans="1:21">
      <c r="A582">
        <v>626</v>
      </c>
      <c r="B582" t="s">
        <v>2638</v>
      </c>
      <c r="C582" t="s">
        <v>2775</v>
      </c>
      <c r="D582" t="s">
        <v>345</v>
      </c>
      <c r="E582" t="s">
        <v>2776</v>
      </c>
      <c r="F582" t="s">
        <v>2777</v>
      </c>
      <c r="G582" t="s">
        <v>3000</v>
      </c>
      <c r="H582" t="s">
        <v>2999</v>
      </c>
      <c r="I582" t="s">
        <v>8666</v>
      </c>
      <c r="K582" t="s">
        <v>164</v>
      </c>
      <c r="N582" t="str">
        <f t="shared" si="25"/>
        <v>Szanowna Pani</v>
      </c>
      <c r="O582" s="19" t="s">
        <v>9776</v>
      </c>
      <c r="U582" t="str">
        <f t="shared" si="27"/>
        <v>tak</v>
      </c>
    </row>
    <row r="583" spans="1:21">
      <c r="A583">
        <v>627</v>
      </c>
      <c r="B583" t="s">
        <v>2638</v>
      </c>
      <c r="C583" t="s">
        <v>2775</v>
      </c>
      <c r="D583" t="s">
        <v>345</v>
      </c>
      <c r="E583" t="s">
        <v>2776</v>
      </c>
      <c r="F583" t="s">
        <v>2777</v>
      </c>
      <c r="G583" t="s">
        <v>3000</v>
      </c>
      <c r="H583" t="s">
        <v>2999</v>
      </c>
      <c r="I583" t="s">
        <v>8666</v>
      </c>
      <c r="K583" t="s">
        <v>165</v>
      </c>
      <c r="N583" t="str">
        <f t="shared" si="25"/>
        <v>Szanowna Pani</v>
      </c>
      <c r="P583" s="19" t="s">
        <v>9776</v>
      </c>
      <c r="U583" t="str">
        <f t="shared" si="27"/>
        <v>tak</v>
      </c>
    </row>
    <row r="584" spans="1:21">
      <c r="A584">
        <v>628</v>
      </c>
      <c r="B584" t="s">
        <v>2638</v>
      </c>
      <c r="C584" t="s">
        <v>2778</v>
      </c>
      <c r="D584" t="s">
        <v>2779</v>
      </c>
      <c r="E584" t="s">
        <v>1429</v>
      </c>
      <c r="F584" t="s">
        <v>2780</v>
      </c>
      <c r="G584" t="s">
        <v>3002</v>
      </c>
      <c r="H584" t="s">
        <v>3001</v>
      </c>
      <c r="I584" t="s">
        <v>8667</v>
      </c>
      <c r="K584" t="s">
        <v>165</v>
      </c>
      <c r="N584" t="str">
        <f t="shared" si="25"/>
        <v>Szanowna Pani</v>
      </c>
      <c r="P584" s="19" t="s">
        <v>9776</v>
      </c>
      <c r="U584" t="str">
        <f t="shared" si="27"/>
        <v>tak</v>
      </c>
    </row>
    <row r="585" spans="1:21">
      <c r="A585">
        <v>629</v>
      </c>
      <c r="B585" t="s">
        <v>2638</v>
      </c>
      <c r="C585" t="s">
        <v>2781</v>
      </c>
      <c r="D585" t="s">
        <v>251</v>
      </c>
      <c r="E585" t="s">
        <v>9645</v>
      </c>
      <c r="F585" t="s">
        <v>2782</v>
      </c>
      <c r="G585" t="s">
        <v>3004</v>
      </c>
      <c r="H585" t="s">
        <v>3003</v>
      </c>
      <c r="I585" t="s">
        <v>8668</v>
      </c>
      <c r="K585" t="s">
        <v>164</v>
      </c>
      <c r="N585" t="str">
        <f t="shared" si="25"/>
        <v>Szanowna Pani</v>
      </c>
      <c r="O585" s="19" t="s">
        <v>9776</v>
      </c>
      <c r="U585" t="str">
        <f t="shared" si="27"/>
        <v>tak</v>
      </c>
    </row>
    <row r="586" spans="1:21">
      <c r="A586">
        <v>630</v>
      </c>
      <c r="B586" t="s">
        <v>2638</v>
      </c>
      <c r="C586" t="s">
        <v>2781</v>
      </c>
      <c r="D586" t="s">
        <v>318</v>
      </c>
      <c r="E586" t="s">
        <v>9646</v>
      </c>
      <c r="F586" t="s">
        <v>2782</v>
      </c>
      <c r="G586" t="s">
        <v>3005</v>
      </c>
      <c r="H586" t="s">
        <v>3003</v>
      </c>
      <c r="I586" t="s">
        <v>8669</v>
      </c>
      <c r="K586" t="s">
        <v>164</v>
      </c>
      <c r="N586" t="str">
        <f t="shared" si="25"/>
        <v>Szanowna Pani</v>
      </c>
      <c r="O586" s="19" t="s">
        <v>9776</v>
      </c>
      <c r="U586" t="str">
        <f t="shared" si="27"/>
        <v>tak</v>
      </c>
    </row>
    <row r="587" spans="1:21">
      <c r="A587">
        <v>631</v>
      </c>
      <c r="B587" t="s">
        <v>3076</v>
      </c>
      <c r="C587" t="s">
        <v>3023</v>
      </c>
      <c r="D587" t="s">
        <v>166</v>
      </c>
      <c r="E587" t="s">
        <v>3080</v>
      </c>
      <c r="F587" t="s">
        <v>3079</v>
      </c>
      <c r="G587" t="s">
        <v>3078</v>
      </c>
      <c r="H587" t="s">
        <v>3077</v>
      </c>
      <c r="I587" t="s">
        <v>8670</v>
      </c>
      <c r="K587" t="s">
        <v>164</v>
      </c>
      <c r="N587" t="str">
        <f t="shared" si="25"/>
        <v>Szanowne Panie</v>
      </c>
      <c r="O587" s="19" t="s">
        <v>9776</v>
      </c>
      <c r="U587" t="str">
        <f t="shared" si="27"/>
        <v>tak</v>
      </c>
    </row>
    <row r="588" spans="1:21">
      <c r="A588">
        <v>632</v>
      </c>
      <c r="B588" t="s">
        <v>3076</v>
      </c>
      <c r="C588" t="s">
        <v>3006</v>
      </c>
      <c r="D588" t="s">
        <v>3007</v>
      </c>
      <c r="E588" t="s">
        <v>3008</v>
      </c>
      <c r="F588" t="s">
        <v>3009</v>
      </c>
      <c r="G588" t="s">
        <v>3082</v>
      </c>
      <c r="H588" t="s">
        <v>3081</v>
      </c>
      <c r="I588" t="s">
        <v>8671</v>
      </c>
      <c r="K588" t="s">
        <v>164</v>
      </c>
      <c r="N588" t="str">
        <f t="shared" si="25"/>
        <v>Szanowna Pani</v>
      </c>
      <c r="O588" s="19" t="s">
        <v>9776</v>
      </c>
      <c r="U588" t="str">
        <f t="shared" si="27"/>
        <v>tak</v>
      </c>
    </row>
    <row r="589" spans="1:21">
      <c r="A589">
        <v>633</v>
      </c>
      <c r="B589" t="s">
        <v>3076</v>
      </c>
      <c r="C589" t="s">
        <v>3020</v>
      </c>
      <c r="D589" t="s">
        <v>3087</v>
      </c>
      <c r="E589" t="s">
        <v>3086</v>
      </c>
      <c r="F589" t="s">
        <v>3085</v>
      </c>
      <c r="G589" t="s">
        <v>3084</v>
      </c>
      <c r="H589" t="s">
        <v>3083</v>
      </c>
      <c r="I589" t="s">
        <v>9782</v>
      </c>
      <c r="K589" t="s">
        <v>164</v>
      </c>
      <c r="N589" t="str">
        <f t="shared" si="25"/>
        <v>Szanowna Pani</v>
      </c>
      <c r="O589" s="19" t="s">
        <v>9776</v>
      </c>
      <c r="U589" t="str">
        <f t="shared" si="27"/>
        <v>tak</v>
      </c>
    </row>
    <row r="590" spans="1:21">
      <c r="A590">
        <v>634</v>
      </c>
      <c r="B590" t="s">
        <v>3076</v>
      </c>
      <c r="C590" t="s">
        <v>3021</v>
      </c>
      <c r="D590" t="s">
        <v>3092</v>
      </c>
      <c r="E590" t="s">
        <v>3091</v>
      </c>
      <c r="F590" t="s">
        <v>3090</v>
      </c>
      <c r="G590" t="s">
        <v>3089</v>
      </c>
      <c r="H590" t="s">
        <v>3088</v>
      </c>
      <c r="I590" t="s">
        <v>8672</v>
      </c>
      <c r="K590" t="s">
        <v>164</v>
      </c>
      <c r="N590" t="str">
        <f t="shared" si="25"/>
        <v>Szanowna Pani</v>
      </c>
      <c r="O590" s="19" t="s">
        <v>9776</v>
      </c>
      <c r="U590" t="str">
        <f t="shared" si="27"/>
        <v>tak</v>
      </c>
    </row>
    <row r="591" spans="1:21">
      <c r="A591">
        <v>635</v>
      </c>
      <c r="B591" t="s">
        <v>3076</v>
      </c>
      <c r="C591" t="s">
        <v>3022</v>
      </c>
      <c r="D591" t="s">
        <v>3097</v>
      </c>
      <c r="E591" t="s">
        <v>3096</v>
      </c>
      <c r="F591" t="s">
        <v>3095</v>
      </c>
      <c r="G591" t="s">
        <v>3094</v>
      </c>
      <c r="H591" t="s">
        <v>3093</v>
      </c>
      <c r="I591" t="s">
        <v>8673</v>
      </c>
      <c r="K591" t="s">
        <v>164</v>
      </c>
      <c r="N591" t="str">
        <f t="shared" si="25"/>
        <v>Szanowna Pani</v>
      </c>
      <c r="O591" s="19" t="s">
        <v>9776</v>
      </c>
      <c r="U591" t="str">
        <f t="shared" si="27"/>
        <v>tak</v>
      </c>
    </row>
    <row r="592" spans="1:21">
      <c r="A592">
        <v>636</v>
      </c>
      <c r="B592" t="s">
        <v>3076</v>
      </c>
      <c r="C592" t="s">
        <v>3024</v>
      </c>
      <c r="D592" t="s">
        <v>3102</v>
      </c>
      <c r="E592" t="s">
        <v>3101</v>
      </c>
      <c r="F592" t="s">
        <v>3100</v>
      </c>
      <c r="G592" t="s">
        <v>3099</v>
      </c>
      <c r="H592" t="s">
        <v>3098</v>
      </c>
      <c r="I592" t="s">
        <v>9741</v>
      </c>
      <c r="K592" t="s">
        <v>164</v>
      </c>
      <c r="N592" t="str">
        <f t="shared" si="25"/>
        <v>Szanowna Pani</v>
      </c>
      <c r="O592" s="19" t="s">
        <v>9776</v>
      </c>
      <c r="U592" t="str">
        <f t="shared" si="27"/>
        <v>tak</v>
      </c>
    </row>
    <row r="593" spans="1:21">
      <c r="A593">
        <v>637</v>
      </c>
      <c r="B593" t="s">
        <v>3076</v>
      </c>
      <c r="C593" t="s">
        <v>3025</v>
      </c>
      <c r="D593" t="s">
        <v>3102</v>
      </c>
      <c r="E593" t="s">
        <v>3107</v>
      </c>
      <c r="F593" t="s">
        <v>3106</v>
      </c>
      <c r="G593" t="s">
        <v>3105</v>
      </c>
      <c r="H593" t="s">
        <v>3104</v>
      </c>
      <c r="I593" t="s">
        <v>8674</v>
      </c>
      <c r="K593" t="s">
        <v>3103</v>
      </c>
      <c r="N593" t="str">
        <f t="shared" si="25"/>
        <v>Szanowna Pani</v>
      </c>
      <c r="O593" s="19" t="s">
        <v>9776</v>
      </c>
      <c r="U593" t="str">
        <f t="shared" si="27"/>
        <v>tak</v>
      </c>
    </row>
    <row r="594" spans="1:21">
      <c r="A594">
        <v>638</v>
      </c>
      <c r="B594" t="s">
        <v>3076</v>
      </c>
      <c r="C594" t="s">
        <v>3026</v>
      </c>
      <c r="D594" t="s">
        <v>3112</v>
      </c>
      <c r="E594" t="s">
        <v>3111</v>
      </c>
      <c r="F594" t="s">
        <v>3110</v>
      </c>
      <c r="G594" t="s">
        <v>3109</v>
      </c>
      <c r="H594" t="s">
        <v>3108</v>
      </c>
      <c r="I594" t="s">
        <v>8675</v>
      </c>
      <c r="K594" t="s">
        <v>164</v>
      </c>
      <c r="N594" t="str">
        <f t="shared" si="25"/>
        <v>Szanowna Pani</v>
      </c>
      <c r="O594" s="19" t="s">
        <v>9776</v>
      </c>
      <c r="U594" t="str">
        <f t="shared" si="27"/>
        <v>tak</v>
      </c>
    </row>
    <row r="595" spans="1:21">
      <c r="A595">
        <v>639</v>
      </c>
      <c r="B595" t="s">
        <v>3076</v>
      </c>
      <c r="C595" t="s">
        <v>3027</v>
      </c>
      <c r="D595" t="s">
        <v>3117</v>
      </c>
      <c r="E595" t="s">
        <v>3116</v>
      </c>
      <c r="F595" t="s">
        <v>3115</v>
      </c>
      <c r="G595" t="s">
        <v>3114</v>
      </c>
      <c r="H595" t="s">
        <v>3113</v>
      </c>
      <c r="I595" t="s">
        <v>8676</v>
      </c>
      <c r="K595" t="s">
        <v>164</v>
      </c>
      <c r="N595" t="str">
        <f t="shared" si="25"/>
        <v>Szanowna Pani</v>
      </c>
      <c r="O595" s="19" t="s">
        <v>9776</v>
      </c>
      <c r="U595" t="str">
        <f t="shared" si="27"/>
        <v>tak</v>
      </c>
    </row>
    <row r="596" spans="1:21">
      <c r="A596">
        <v>640</v>
      </c>
      <c r="B596" t="s">
        <v>3076</v>
      </c>
      <c r="C596" t="s">
        <v>3028</v>
      </c>
      <c r="D596" t="s">
        <v>3122</v>
      </c>
      <c r="E596" t="s">
        <v>3121</v>
      </c>
      <c r="F596" t="s">
        <v>3120</v>
      </c>
      <c r="G596" t="s">
        <v>3119</v>
      </c>
      <c r="H596" t="s">
        <v>3118</v>
      </c>
      <c r="I596" t="s">
        <v>8677</v>
      </c>
      <c r="K596" t="s">
        <v>164</v>
      </c>
      <c r="N596" t="str">
        <f t="shared" si="25"/>
        <v>Szanowna Pani</v>
      </c>
      <c r="O596" s="19" t="s">
        <v>9776</v>
      </c>
      <c r="U596" t="str">
        <f t="shared" si="27"/>
        <v>tak</v>
      </c>
    </row>
    <row r="597" spans="1:21">
      <c r="A597">
        <v>641</v>
      </c>
      <c r="B597" t="s">
        <v>3076</v>
      </c>
      <c r="C597" t="s">
        <v>3029</v>
      </c>
      <c r="D597" t="s">
        <v>3127</v>
      </c>
      <c r="E597" t="s">
        <v>3126</v>
      </c>
      <c r="F597" t="s">
        <v>3125</v>
      </c>
      <c r="G597" t="s">
        <v>3124</v>
      </c>
      <c r="H597" t="s">
        <v>3123</v>
      </c>
      <c r="I597" t="s">
        <v>8678</v>
      </c>
      <c r="K597" t="s">
        <v>164</v>
      </c>
      <c r="N597" t="str">
        <f t="shared" si="25"/>
        <v>Szanowna Pani</v>
      </c>
      <c r="O597" s="19" t="s">
        <v>9776</v>
      </c>
      <c r="U597" t="str">
        <f t="shared" si="27"/>
        <v>tak</v>
      </c>
    </row>
    <row r="598" spans="1:21">
      <c r="A598">
        <v>642</v>
      </c>
      <c r="B598" t="s">
        <v>3076</v>
      </c>
      <c r="C598" t="s">
        <v>3030</v>
      </c>
      <c r="D598" t="s">
        <v>9647</v>
      </c>
      <c r="E598" t="s">
        <v>9648</v>
      </c>
      <c r="F598" t="s">
        <v>3130</v>
      </c>
      <c r="G598" t="s">
        <v>3129</v>
      </c>
      <c r="H598" t="s">
        <v>3128</v>
      </c>
      <c r="I598" t="s">
        <v>8679</v>
      </c>
      <c r="K598" t="s">
        <v>164</v>
      </c>
      <c r="N598" t="str">
        <f t="shared" si="25"/>
        <v>Szanowna Pani</v>
      </c>
      <c r="O598" s="19" t="s">
        <v>9776</v>
      </c>
      <c r="U598" t="str">
        <f t="shared" si="27"/>
        <v>tak</v>
      </c>
    </row>
    <row r="599" spans="1:21">
      <c r="A599">
        <v>643</v>
      </c>
      <c r="B599" t="s">
        <v>3076</v>
      </c>
      <c r="C599" t="s">
        <v>3031</v>
      </c>
      <c r="D599" t="s">
        <v>3135</v>
      </c>
      <c r="E599" t="s">
        <v>3134</v>
      </c>
      <c r="F599" t="s">
        <v>3133</v>
      </c>
      <c r="G599" t="s">
        <v>3132</v>
      </c>
      <c r="H599" t="s">
        <v>3131</v>
      </c>
      <c r="I599" t="s">
        <v>8680</v>
      </c>
      <c r="K599" t="s">
        <v>164</v>
      </c>
      <c r="N599" t="str">
        <f t="shared" ref="N599:N662" si="28">IF(ISERROR(FIND(",",H599)),IF(MID(H599,FIND(" ",H599)-1,1)="a","Szanowna Pani","Szanowny Pan"), "Szanowne Panie")</f>
        <v>Szanowne Panie</v>
      </c>
      <c r="O599" s="19" t="s">
        <v>9776</v>
      </c>
      <c r="U599" t="str">
        <f t="shared" si="27"/>
        <v>tak</v>
      </c>
    </row>
    <row r="600" spans="1:21">
      <c r="A600">
        <v>644</v>
      </c>
      <c r="B600" t="s">
        <v>3076</v>
      </c>
      <c r="C600" t="s">
        <v>3032</v>
      </c>
      <c r="D600" t="s">
        <v>3140</v>
      </c>
      <c r="E600" t="s">
        <v>3139</v>
      </c>
      <c r="F600" t="s">
        <v>3138</v>
      </c>
      <c r="G600" t="s">
        <v>3137</v>
      </c>
      <c r="H600" t="s">
        <v>3136</v>
      </c>
      <c r="I600" t="s">
        <v>8681</v>
      </c>
      <c r="K600" t="s">
        <v>164</v>
      </c>
      <c r="N600" t="str">
        <f t="shared" si="28"/>
        <v>Szanowna Pani</v>
      </c>
      <c r="O600" s="19" t="s">
        <v>9776</v>
      </c>
      <c r="U600" t="str">
        <f t="shared" si="27"/>
        <v>tak</v>
      </c>
    </row>
    <row r="601" spans="1:21">
      <c r="A601">
        <v>645</v>
      </c>
      <c r="B601" t="s">
        <v>3076</v>
      </c>
      <c r="C601" t="s">
        <v>3033</v>
      </c>
      <c r="D601" t="s">
        <v>3144</v>
      </c>
      <c r="E601" t="s">
        <v>3143</v>
      </c>
      <c r="F601" t="s">
        <v>3106</v>
      </c>
      <c r="G601" t="s">
        <v>3142</v>
      </c>
      <c r="H601" t="s">
        <v>3141</v>
      </c>
      <c r="I601" t="s">
        <v>8682</v>
      </c>
      <c r="K601" t="s">
        <v>164</v>
      </c>
      <c r="N601" t="str">
        <f t="shared" si="28"/>
        <v>Szanowna Pani</v>
      </c>
      <c r="O601" s="19" t="s">
        <v>9776</v>
      </c>
      <c r="U601" t="str">
        <f t="shared" si="27"/>
        <v>tak</v>
      </c>
    </row>
    <row r="602" spans="1:21">
      <c r="A602">
        <v>646</v>
      </c>
      <c r="B602" t="s">
        <v>3076</v>
      </c>
      <c r="C602" t="s">
        <v>3033</v>
      </c>
      <c r="D602" t="s">
        <v>3147</v>
      </c>
      <c r="E602" t="s">
        <v>3146</v>
      </c>
      <c r="F602" t="s">
        <v>3106</v>
      </c>
      <c r="G602" t="s">
        <v>3105</v>
      </c>
      <c r="H602" t="s">
        <v>3145</v>
      </c>
      <c r="I602" t="s">
        <v>8674</v>
      </c>
      <c r="K602" t="s">
        <v>224</v>
      </c>
      <c r="N602" t="str">
        <f t="shared" si="28"/>
        <v>Szanowne Panie</v>
      </c>
      <c r="Q602" s="19" t="s">
        <v>9776</v>
      </c>
      <c r="U602" t="str">
        <f t="shared" si="27"/>
        <v>tak</v>
      </c>
    </row>
    <row r="603" spans="1:21">
      <c r="A603">
        <v>647</v>
      </c>
      <c r="B603" t="s">
        <v>3076</v>
      </c>
      <c r="C603" t="s">
        <v>3034</v>
      </c>
      <c r="D603" t="s">
        <v>3152</v>
      </c>
      <c r="E603" t="s">
        <v>3151</v>
      </c>
      <c r="F603" t="s">
        <v>3150</v>
      </c>
      <c r="G603" t="s">
        <v>3149</v>
      </c>
      <c r="H603" t="s">
        <v>3148</v>
      </c>
      <c r="I603" t="s">
        <v>8683</v>
      </c>
      <c r="K603" t="s">
        <v>164</v>
      </c>
      <c r="N603" t="str">
        <f t="shared" si="28"/>
        <v>Szanowna Pani</v>
      </c>
      <c r="O603" s="19" t="s">
        <v>9776</v>
      </c>
      <c r="U603" t="str">
        <f t="shared" si="27"/>
        <v>tak</v>
      </c>
    </row>
    <row r="604" spans="1:21">
      <c r="A604">
        <v>648</v>
      </c>
      <c r="B604" t="s">
        <v>3076</v>
      </c>
      <c r="C604" t="s">
        <v>3035</v>
      </c>
      <c r="D604" t="s">
        <v>3157</v>
      </c>
      <c r="E604" t="s">
        <v>3156</v>
      </c>
      <c r="F604" t="s">
        <v>3155</v>
      </c>
      <c r="G604" t="s">
        <v>3154</v>
      </c>
      <c r="H604" t="s">
        <v>3153</v>
      </c>
      <c r="I604" t="s">
        <v>8684</v>
      </c>
      <c r="K604" t="s">
        <v>164</v>
      </c>
      <c r="N604" t="str">
        <f t="shared" si="28"/>
        <v>Szanowna Pani</v>
      </c>
      <c r="O604" s="19" t="s">
        <v>9776</v>
      </c>
      <c r="U604" t="str">
        <f t="shared" si="27"/>
        <v>tak</v>
      </c>
    </row>
    <row r="605" spans="1:21">
      <c r="A605">
        <v>649</v>
      </c>
      <c r="B605" t="s">
        <v>3076</v>
      </c>
      <c r="C605" t="s">
        <v>3035</v>
      </c>
      <c r="D605" t="s">
        <v>3157</v>
      </c>
      <c r="E605" t="s">
        <v>3156</v>
      </c>
      <c r="F605" t="s">
        <v>3155</v>
      </c>
      <c r="G605" t="s">
        <v>3154</v>
      </c>
      <c r="H605" t="s">
        <v>3158</v>
      </c>
      <c r="I605" t="s">
        <v>8685</v>
      </c>
      <c r="K605" t="s">
        <v>164</v>
      </c>
      <c r="N605" t="str">
        <f t="shared" si="28"/>
        <v>Szanowna Pani</v>
      </c>
      <c r="O605" s="19" t="s">
        <v>9776</v>
      </c>
      <c r="U605" t="str">
        <f t="shared" si="27"/>
        <v>tak</v>
      </c>
    </row>
    <row r="606" spans="1:21">
      <c r="A606">
        <v>650</v>
      </c>
      <c r="B606" t="s">
        <v>3076</v>
      </c>
      <c r="C606" t="s">
        <v>3035</v>
      </c>
      <c r="D606" t="s">
        <v>3157</v>
      </c>
      <c r="E606" t="s">
        <v>3156</v>
      </c>
      <c r="F606" t="s">
        <v>3155</v>
      </c>
      <c r="G606" t="s">
        <v>3160</v>
      </c>
      <c r="H606" t="s">
        <v>3159</v>
      </c>
      <c r="I606" t="s">
        <v>8686</v>
      </c>
      <c r="K606" t="s">
        <v>165</v>
      </c>
      <c r="N606" t="str">
        <f t="shared" si="28"/>
        <v>Szanowna Pani</v>
      </c>
      <c r="P606" s="19" t="s">
        <v>9776</v>
      </c>
      <c r="U606" t="str">
        <f t="shared" si="27"/>
        <v>tak</v>
      </c>
    </row>
    <row r="607" spans="1:21">
      <c r="A607">
        <v>651</v>
      </c>
      <c r="B607" t="s">
        <v>3076</v>
      </c>
      <c r="C607" t="s">
        <v>3035</v>
      </c>
      <c r="D607" t="s">
        <v>3157</v>
      </c>
      <c r="E607" t="s">
        <v>3165</v>
      </c>
      <c r="F607" t="s">
        <v>3164</v>
      </c>
      <c r="G607" t="s">
        <v>3163</v>
      </c>
      <c r="H607" t="s">
        <v>3162</v>
      </c>
      <c r="K607" t="s">
        <v>3161</v>
      </c>
      <c r="N607" t="str">
        <f t="shared" si="28"/>
        <v>Szanowna Pani</v>
      </c>
      <c r="O607" s="19" t="s">
        <v>9776</v>
      </c>
      <c r="U607" t="str">
        <f t="shared" si="27"/>
        <v>tak</v>
      </c>
    </row>
    <row r="608" spans="1:21">
      <c r="A608">
        <v>652</v>
      </c>
      <c r="B608" t="s">
        <v>3076</v>
      </c>
      <c r="C608" t="s">
        <v>3035</v>
      </c>
      <c r="D608" t="s">
        <v>315</v>
      </c>
      <c r="E608" t="s">
        <v>3169</v>
      </c>
      <c r="F608" t="s">
        <v>3168</v>
      </c>
      <c r="G608" t="s">
        <v>3167</v>
      </c>
      <c r="H608" t="s">
        <v>3166</v>
      </c>
      <c r="I608" t="s">
        <v>8687</v>
      </c>
      <c r="K608" t="s">
        <v>164</v>
      </c>
      <c r="N608" t="str">
        <f t="shared" si="28"/>
        <v>Szanowna Pani</v>
      </c>
      <c r="O608" s="19" t="s">
        <v>9776</v>
      </c>
      <c r="U608" t="str">
        <f t="shared" si="27"/>
        <v>tak</v>
      </c>
    </row>
    <row r="609" spans="1:21">
      <c r="A609">
        <v>653</v>
      </c>
      <c r="B609" t="s">
        <v>3076</v>
      </c>
      <c r="C609" t="s">
        <v>3035</v>
      </c>
      <c r="D609" t="s">
        <v>3036</v>
      </c>
      <c r="E609" t="s">
        <v>3173</v>
      </c>
      <c r="F609" t="s">
        <v>3172</v>
      </c>
      <c r="G609" t="s">
        <v>3171</v>
      </c>
      <c r="H609" t="s">
        <v>3170</v>
      </c>
      <c r="I609" t="s">
        <v>8688</v>
      </c>
      <c r="K609" t="s">
        <v>164</v>
      </c>
      <c r="N609" t="str">
        <f t="shared" si="28"/>
        <v>Szanowna Pani</v>
      </c>
      <c r="O609" s="19" t="s">
        <v>9776</v>
      </c>
      <c r="U609" t="str">
        <f t="shared" si="27"/>
        <v>tak</v>
      </c>
    </row>
    <row r="610" spans="1:21">
      <c r="A610">
        <v>654</v>
      </c>
      <c r="B610" t="s">
        <v>3076</v>
      </c>
      <c r="C610" t="s">
        <v>3035</v>
      </c>
      <c r="D610" t="s">
        <v>1012</v>
      </c>
      <c r="E610" t="s">
        <v>3177</v>
      </c>
      <c r="F610" t="s">
        <v>3176</v>
      </c>
      <c r="G610" t="s">
        <v>3175</v>
      </c>
      <c r="H610" t="s">
        <v>3174</v>
      </c>
      <c r="I610" t="s">
        <v>8689</v>
      </c>
      <c r="K610" t="s">
        <v>164</v>
      </c>
      <c r="N610" t="str">
        <f t="shared" si="28"/>
        <v>Szanowna Pani</v>
      </c>
      <c r="O610" s="19" t="s">
        <v>9776</v>
      </c>
      <c r="U610" t="str">
        <f t="shared" si="27"/>
        <v>tak</v>
      </c>
    </row>
    <row r="611" spans="1:21">
      <c r="A611">
        <v>655</v>
      </c>
      <c r="B611" t="s">
        <v>3076</v>
      </c>
      <c r="C611" t="s">
        <v>3035</v>
      </c>
      <c r="D611" t="s">
        <v>3182</v>
      </c>
      <c r="E611" t="s">
        <v>3181</v>
      </c>
      <c r="F611" t="s">
        <v>3180</v>
      </c>
      <c r="G611" t="s">
        <v>3179</v>
      </c>
      <c r="H611" t="s">
        <v>3178</v>
      </c>
      <c r="I611" t="s">
        <v>8690</v>
      </c>
      <c r="K611" t="s">
        <v>164</v>
      </c>
      <c r="N611" t="str">
        <f t="shared" si="28"/>
        <v>Szanowna Pani</v>
      </c>
      <c r="O611" s="19" t="s">
        <v>9776</v>
      </c>
      <c r="U611" t="str">
        <f t="shared" si="27"/>
        <v>tak</v>
      </c>
    </row>
    <row r="612" spans="1:21">
      <c r="A612">
        <v>656</v>
      </c>
      <c r="B612" t="s">
        <v>3076</v>
      </c>
      <c r="C612" t="s">
        <v>3035</v>
      </c>
      <c r="D612" t="s">
        <v>3235</v>
      </c>
      <c r="E612" t="s">
        <v>3234</v>
      </c>
      <c r="F612" t="s">
        <v>3233</v>
      </c>
      <c r="G612" t="s">
        <v>3232</v>
      </c>
      <c r="H612" t="s">
        <v>3231</v>
      </c>
      <c r="I612" t="s">
        <v>8691</v>
      </c>
      <c r="K612" t="s">
        <v>164</v>
      </c>
      <c r="N612" t="str">
        <f t="shared" si="28"/>
        <v>Szanowny Pan</v>
      </c>
      <c r="O612" s="19" t="s">
        <v>9776</v>
      </c>
      <c r="U612" t="str">
        <f t="shared" si="27"/>
        <v>tak</v>
      </c>
    </row>
    <row r="613" spans="1:21">
      <c r="A613">
        <v>657</v>
      </c>
      <c r="B613" t="s">
        <v>3076</v>
      </c>
      <c r="C613" t="s">
        <v>3035</v>
      </c>
      <c r="D613" t="s">
        <v>3187</v>
      </c>
      <c r="E613" t="s">
        <v>3186</v>
      </c>
      <c r="F613" t="s">
        <v>3185</v>
      </c>
      <c r="G613" t="s">
        <v>3184</v>
      </c>
      <c r="H613" t="s">
        <v>3183</v>
      </c>
      <c r="I613" t="s">
        <v>8692</v>
      </c>
      <c r="K613" t="s">
        <v>224</v>
      </c>
      <c r="N613" t="str">
        <f t="shared" si="28"/>
        <v>Szanowna Pani</v>
      </c>
      <c r="Q613" s="19" t="s">
        <v>9776</v>
      </c>
      <c r="U613" t="str">
        <f t="shared" ref="U613:U650" si="29">+O613 &amp;P613&amp;Q613</f>
        <v>tak</v>
      </c>
    </row>
    <row r="614" spans="1:21">
      <c r="A614">
        <v>658</v>
      </c>
      <c r="B614" t="s">
        <v>3076</v>
      </c>
      <c r="C614" t="s">
        <v>3037</v>
      </c>
      <c r="D614" t="s">
        <v>166</v>
      </c>
      <c r="E614" t="s">
        <v>3191</v>
      </c>
      <c r="F614" t="s">
        <v>3190</v>
      </c>
      <c r="G614" t="s">
        <v>3189</v>
      </c>
      <c r="H614" t="s">
        <v>3188</v>
      </c>
      <c r="I614" t="s">
        <v>8693</v>
      </c>
      <c r="K614" t="s">
        <v>164</v>
      </c>
      <c r="N614" t="str">
        <f t="shared" si="28"/>
        <v>Szanowna Pani</v>
      </c>
      <c r="O614" s="19" t="s">
        <v>9776</v>
      </c>
      <c r="U614" t="str">
        <f t="shared" si="29"/>
        <v>tak</v>
      </c>
    </row>
    <row r="615" spans="1:21">
      <c r="A615">
        <v>659</v>
      </c>
      <c r="B615" t="s">
        <v>3076</v>
      </c>
      <c r="C615" t="s">
        <v>3038</v>
      </c>
      <c r="D615" t="s">
        <v>166</v>
      </c>
      <c r="E615" t="s">
        <v>3195</v>
      </c>
      <c r="F615" t="s">
        <v>3194</v>
      </c>
      <c r="G615" t="s">
        <v>3193</v>
      </c>
      <c r="H615" t="s">
        <v>3192</v>
      </c>
      <c r="I615" t="s">
        <v>8694</v>
      </c>
      <c r="K615" t="s">
        <v>164</v>
      </c>
      <c r="N615" t="str">
        <f t="shared" si="28"/>
        <v>Szanowna Pani</v>
      </c>
      <c r="O615" s="19" t="s">
        <v>9776</v>
      </c>
      <c r="U615" t="str">
        <f t="shared" si="29"/>
        <v>tak</v>
      </c>
    </row>
    <row r="616" spans="1:21">
      <c r="A616">
        <v>660</v>
      </c>
      <c r="B616" t="s">
        <v>3076</v>
      </c>
      <c r="C616" t="s">
        <v>3039</v>
      </c>
      <c r="D616" t="s">
        <v>3197</v>
      </c>
      <c r="E616" t="s">
        <v>3196</v>
      </c>
      <c r="F616" t="s">
        <v>3120</v>
      </c>
      <c r="G616" t="s">
        <v>3119</v>
      </c>
      <c r="H616" t="s">
        <v>3118</v>
      </c>
      <c r="I616" t="s">
        <v>8677</v>
      </c>
      <c r="K616" t="s">
        <v>164</v>
      </c>
      <c r="N616" t="str">
        <f t="shared" si="28"/>
        <v>Szanowna Pani</v>
      </c>
      <c r="O616" s="19" t="s">
        <v>9776</v>
      </c>
      <c r="U616" t="str">
        <f t="shared" si="29"/>
        <v>tak</v>
      </c>
    </row>
    <row r="617" spans="1:21">
      <c r="A617">
        <v>661</v>
      </c>
      <c r="B617" t="s">
        <v>3076</v>
      </c>
      <c r="C617" t="s">
        <v>3040</v>
      </c>
      <c r="D617" t="s">
        <v>3202</v>
      </c>
      <c r="E617" t="s">
        <v>3201</v>
      </c>
      <c r="F617" t="s">
        <v>3200</v>
      </c>
      <c r="G617" t="s">
        <v>3199</v>
      </c>
      <c r="H617" t="s">
        <v>3198</v>
      </c>
      <c r="I617" t="s">
        <v>8695</v>
      </c>
      <c r="K617" t="s">
        <v>164</v>
      </c>
      <c r="N617" t="str">
        <f t="shared" si="28"/>
        <v>Szanowna Pani</v>
      </c>
      <c r="O617" s="19" t="s">
        <v>9776</v>
      </c>
      <c r="U617" t="str">
        <f t="shared" si="29"/>
        <v>tak</v>
      </c>
    </row>
    <row r="618" spans="1:21">
      <c r="A618">
        <v>662</v>
      </c>
      <c r="B618" t="s">
        <v>3076</v>
      </c>
      <c r="C618" t="s">
        <v>3041</v>
      </c>
      <c r="D618" t="s">
        <v>3207</v>
      </c>
      <c r="E618" t="s">
        <v>3206</v>
      </c>
      <c r="F618" t="s">
        <v>3205</v>
      </c>
      <c r="G618" t="s">
        <v>3204</v>
      </c>
      <c r="H618" t="s">
        <v>3203</v>
      </c>
      <c r="I618" t="s">
        <v>8696</v>
      </c>
      <c r="K618" t="s">
        <v>164</v>
      </c>
      <c r="N618" t="str">
        <f t="shared" si="28"/>
        <v>Szanowna Pani</v>
      </c>
      <c r="O618" s="19" t="s">
        <v>9776</v>
      </c>
      <c r="U618" t="str">
        <f t="shared" si="29"/>
        <v>tak</v>
      </c>
    </row>
    <row r="619" spans="1:21">
      <c r="A619">
        <v>663</v>
      </c>
      <c r="B619" t="s">
        <v>3076</v>
      </c>
      <c r="C619" t="s">
        <v>3042</v>
      </c>
      <c r="D619" t="s">
        <v>3212</v>
      </c>
      <c r="E619" t="s">
        <v>3211</v>
      </c>
      <c r="F619" t="s">
        <v>3210</v>
      </c>
      <c r="G619" t="s">
        <v>3209</v>
      </c>
      <c r="H619" t="s">
        <v>3208</v>
      </c>
      <c r="I619" t="s">
        <v>8697</v>
      </c>
      <c r="K619" t="s">
        <v>164</v>
      </c>
      <c r="N619" t="str">
        <f t="shared" si="28"/>
        <v>Szanowna Pani</v>
      </c>
      <c r="O619" s="19" t="s">
        <v>9776</v>
      </c>
      <c r="U619" t="str">
        <f t="shared" si="29"/>
        <v>tak</v>
      </c>
    </row>
    <row r="620" spans="1:21">
      <c r="A620">
        <v>664</v>
      </c>
      <c r="B620" t="s">
        <v>3076</v>
      </c>
      <c r="C620" t="s">
        <v>3043</v>
      </c>
      <c r="D620" t="s">
        <v>166</v>
      </c>
      <c r="E620" t="s">
        <v>3215</v>
      </c>
      <c r="F620" t="s">
        <v>3090</v>
      </c>
      <c r="G620" t="s">
        <v>3214</v>
      </c>
      <c r="H620" t="s">
        <v>3213</v>
      </c>
      <c r="I620" t="s">
        <v>8698</v>
      </c>
      <c r="K620" t="s">
        <v>224</v>
      </c>
      <c r="N620" t="str">
        <f t="shared" si="28"/>
        <v>Szanowna Pani</v>
      </c>
      <c r="Q620" s="19" t="s">
        <v>9776</v>
      </c>
      <c r="U620" t="str">
        <f t="shared" si="29"/>
        <v>tak</v>
      </c>
    </row>
    <row r="621" spans="1:21">
      <c r="A621">
        <v>665</v>
      </c>
      <c r="B621" t="s">
        <v>3076</v>
      </c>
      <c r="C621" t="s">
        <v>3043</v>
      </c>
      <c r="D621" t="s">
        <v>166</v>
      </c>
      <c r="E621" t="s">
        <v>3215</v>
      </c>
      <c r="F621" t="s">
        <v>3090</v>
      </c>
      <c r="G621" t="s">
        <v>3214</v>
      </c>
      <c r="H621" t="s">
        <v>3213</v>
      </c>
      <c r="I621" t="s">
        <v>8698</v>
      </c>
      <c r="K621" t="s">
        <v>165</v>
      </c>
      <c r="N621" t="str">
        <f t="shared" si="28"/>
        <v>Szanowna Pani</v>
      </c>
      <c r="P621" s="19" t="s">
        <v>9776</v>
      </c>
      <c r="U621" t="str">
        <f t="shared" si="29"/>
        <v>tak</v>
      </c>
    </row>
    <row r="622" spans="1:21">
      <c r="A622">
        <v>666</v>
      </c>
      <c r="B622" t="s">
        <v>3076</v>
      </c>
      <c r="C622" t="s">
        <v>3044</v>
      </c>
      <c r="D622" t="s">
        <v>246</v>
      </c>
      <c r="E622" t="s">
        <v>3219</v>
      </c>
      <c r="F622" t="s">
        <v>3218</v>
      </c>
      <c r="G622" t="s">
        <v>3217</v>
      </c>
      <c r="H622" t="s">
        <v>3216</v>
      </c>
      <c r="I622" t="s">
        <v>8699</v>
      </c>
      <c r="K622" t="s">
        <v>164</v>
      </c>
      <c r="N622" t="str">
        <f t="shared" si="28"/>
        <v>Szanowna Pani</v>
      </c>
      <c r="O622" s="19" t="s">
        <v>9776</v>
      </c>
      <c r="U622" t="str">
        <f t="shared" si="29"/>
        <v>tak</v>
      </c>
    </row>
    <row r="623" spans="1:21">
      <c r="A623">
        <v>667</v>
      </c>
      <c r="B623" t="s">
        <v>3076</v>
      </c>
      <c r="C623" t="s">
        <v>3045</v>
      </c>
      <c r="D623" t="s">
        <v>3224</v>
      </c>
      <c r="E623" t="s">
        <v>3223</v>
      </c>
      <c r="F623" t="s">
        <v>3222</v>
      </c>
      <c r="G623" t="s">
        <v>3221</v>
      </c>
      <c r="H623" t="s">
        <v>3220</v>
      </c>
      <c r="I623" t="s">
        <v>8700</v>
      </c>
      <c r="K623" t="s">
        <v>164</v>
      </c>
      <c r="N623" t="str">
        <f t="shared" si="28"/>
        <v>Szanowna Pani</v>
      </c>
      <c r="O623" s="19" t="s">
        <v>9776</v>
      </c>
      <c r="U623" t="str">
        <f t="shared" si="29"/>
        <v>tak</v>
      </c>
    </row>
    <row r="624" spans="1:21">
      <c r="A624">
        <v>668</v>
      </c>
      <c r="B624" t="s">
        <v>3076</v>
      </c>
      <c r="C624" t="s">
        <v>3046</v>
      </c>
      <c r="D624" t="s">
        <v>3228</v>
      </c>
      <c r="E624" t="s">
        <v>3227</v>
      </c>
      <c r="F624" t="s">
        <v>3138</v>
      </c>
      <c r="G624" t="s">
        <v>3226</v>
      </c>
      <c r="H624" t="s">
        <v>3225</v>
      </c>
      <c r="I624" t="s">
        <v>8701</v>
      </c>
      <c r="K624" t="s">
        <v>164</v>
      </c>
      <c r="N624" t="str">
        <f t="shared" si="28"/>
        <v>Szanowna Pani</v>
      </c>
      <c r="O624" s="19" t="s">
        <v>9776</v>
      </c>
      <c r="U624" t="str">
        <f t="shared" si="29"/>
        <v>tak</v>
      </c>
    </row>
    <row r="625" spans="1:21">
      <c r="A625">
        <v>669</v>
      </c>
      <c r="B625" t="s">
        <v>3076</v>
      </c>
      <c r="C625" t="s">
        <v>3047</v>
      </c>
      <c r="D625" t="s">
        <v>3238</v>
      </c>
      <c r="E625" t="s">
        <v>3237</v>
      </c>
      <c r="F625" t="s">
        <v>3236</v>
      </c>
      <c r="G625" t="s">
        <v>3229</v>
      </c>
      <c r="H625" t="s">
        <v>3230</v>
      </c>
      <c r="I625" t="s">
        <v>8702</v>
      </c>
      <c r="K625" t="s">
        <v>164</v>
      </c>
      <c r="N625" t="str">
        <f t="shared" si="28"/>
        <v>Szanowna Pani</v>
      </c>
      <c r="O625" s="19" t="s">
        <v>9776</v>
      </c>
      <c r="U625" t="str">
        <f t="shared" si="29"/>
        <v>tak</v>
      </c>
    </row>
    <row r="626" spans="1:21">
      <c r="A626">
        <v>670</v>
      </c>
      <c r="B626" t="s">
        <v>3076</v>
      </c>
      <c r="C626" t="s">
        <v>3047</v>
      </c>
      <c r="D626" t="s">
        <v>3238</v>
      </c>
      <c r="E626" t="s">
        <v>3237</v>
      </c>
      <c r="F626" t="s">
        <v>3236</v>
      </c>
      <c r="G626" t="s">
        <v>3229</v>
      </c>
      <c r="H626" t="s">
        <v>3239</v>
      </c>
      <c r="I626" t="s">
        <v>8702</v>
      </c>
      <c r="K626" t="s">
        <v>165</v>
      </c>
      <c r="N626" t="str">
        <f t="shared" si="28"/>
        <v>Szanowna Pani</v>
      </c>
      <c r="P626" s="19" t="s">
        <v>9776</v>
      </c>
      <c r="U626" t="str">
        <f t="shared" si="29"/>
        <v>tak</v>
      </c>
    </row>
    <row r="627" spans="1:21">
      <c r="A627">
        <v>671</v>
      </c>
      <c r="B627" t="s">
        <v>3076</v>
      </c>
      <c r="C627" t="s">
        <v>1517</v>
      </c>
      <c r="D627" t="s">
        <v>3241</v>
      </c>
      <c r="E627" t="s">
        <v>3240</v>
      </c>
      <c r="F627" t="s">
        <v>3110</v>
      </c>
      <c r="G627" t="s">
        <v>3109</v>
      </c>
      <c r="H627" t="s">
        <v>3108</v>
      </c>
      <c r="I627" t="s">
        <v>8675</v>
      </c>
      <c r="K627" t="s">
        <v>164</v>
      </c>
      <c r="N627" t="str">
        <f t="shared" si="28"/>
        <v>Szanowna Pani</v>
      </c>
      <c r="O627" s="19" t="s">
        <v>9776</v>
      </c>
      <c r="U627" t="str">
        <f t="shared" si="29"/>
        <v>tak</v>
      </c>
    </row>
    <row r="628" spans="1:21">
      <c r="A628">
        <v>672</v>
      </c>
      <c r="B628" t="s">
        <v>3076</v>
      </c>
      <c r="C628" t="s">
        <v>3048</v>
      </c>
      <c r="D628" t="s">
        <v>3246</v>
      </c>
      <c r="E628" t="s">
        <v>3245</v>
      </c>
      <c r="F628" t="s">
        <v>3244</v>
      </c>
      <c r="G628" t="s">
        <v>3243</v>
      </c>
      <c r="H628" t="s">
        <v>3242</v>
      </c>
      <c r="I628" t="s">
        <v>8703</v>
      </c>
      <c r="K628" t="s">
        <v>164</v>
      </c>
      <c r="N628" t="str">
        <f t="shared" si="28"/>
        <v>Szanowna Pani</v>
      </c>
      <c r="O628" s="19" t="s">
        <v>9776</v>
      </c>
      <c r="U628" t="str">
        <f t="shared" si="29"/>
        <v>tak</v>
      </c>
    </row>
    <row r="629" spans="1:21">
      <c r="A629">
        <v>673</v>
      </c>
      <c r="B629" t="s">
        <v>3076</v>
      </c>
      <c r="C629" t="s">
        <v>3049</v>
      </c>
      <c r="D629" t="s">
        <v>3250</v>
      </c>
      <c r="E629" t="s">
        <v>3249</v>
      </c>
      <c r="F629" t="s">
        <v>3090</v>
      </c>
      <c r="G629" t="s">
        <v>3248</v>
      </c>
      <c r="H629" t="s">
        <v>3247</v>
      </c>
      <c r="I629" t="s">
        <v>8704</v>
      </c>
      <c r="K629" t="s">
        <v>164</v>
      </c>
      <c r="N629" t="str">
        <f t="shared" si="28"/>
        <v>Szanowna Pani</v>
      </c>
      <c r="O629" s="19" t="s">
        <v>9776</v>
      </c>
      <c r="U629" t="str">
        <f t="shared" si="29"/>
        <v>tak</v>
      </c>
    </row>
    <row r="630" spans="1:21">
      <c r="A630">
        <v>674</v>
      </c>
      <c r="B630" t="s">
        <v>3076</v>
      </c>
      <c r="C630" t="s">
        <v>3050</v>
      </c>
      <c r="D630" t="s">
        <v>3255</v>
      </c>
      <c r="E630" t="s">
        <v>3254</v>
      </c>
      <c r="F630" t="s">
        <v>3253</v>
      </c>
      <c r="G630" t="s">
        <v>3252</v>
      </c>
      <c r="H630" t="s">
        <v>3251</v>
      </c>
      <c r="I630" t="s">
        <v>8705</v>
      </c>
      <c r="K630" t="s">
        <v>164</v>
      </c>
      <c r="N630" t="str">
        <f t="shared" si="28"/>
        <v>Szanowna Pani</v>
      </c>
      <c r="O630" s="19" t="s">
        <v>9776</v>
      </c>
      <c r="U630" t="str">
        <f t="shared" si="29"/>
        <v>tak</v>
      </c>
    </row>
    <row r="631" spans="1:21">
      <c r="A631">
        <v>675</v>
      </c>
      <c r="B631" t="s">
        <v>3076</v>
      </c>
      <c r="C631" t="s">
        <v>3050</v>
      </c>
      <c r="D631" t="s">
        <v>3255</v>
      </c>
      <c r="E631" t="s">
        <v>3254</v>
      </c>
      <c r="F631" t="s">
        <v>3253</v>
      </c>
      <c r="G631" t="s">
        <v>3252</v>
      </c>
      <c r="H631" t="s">
        <v>3256</v>
      </c>
      <c r="I631" t="s">
        <v>8705</v>
      </c>
      <c r="K631" t="s">
        <v>224</v>
      </c>
      <c r="N631" t="str">
        <f t="shared" si="28"/>
        <v>Szanowne Panie</v>
      </c>
      <c r="Q631" s="19" t="s">
        <v>9776</v>
      </c>
      <c r="U631" t="str">
        <f t="shared" si="29"/>
        <v>tak</v>
      </c>
    </row>
    <row r="632" spans="1:21">
      <c r="A632">
        <v>676</v>
      </c>
      <c r="B632" t="s">
        <v>3076</v>
      </c>
      <c r="C632" t="s">
        <v>3050</v>
      </c>
      <c r="D632" t="s">
        <v>3255</v>
      </c>
      <c r="E632" t="s">
        <v>3254</v>
      </c>
      <c r="F632" t="s">
        <v>3253</v>
      </c>
      <c r="G632" t="s">
        <v>3252</v>
      </c>
      <c r="H632" t="s">
        <v>3256</v>
      </c>
      <c r="I632" t="s">
        <v>8705</v>
      </c>
      <c r="K632" t="s">
        <v>165</v>
      </c>
      <c r="N632" t="str">
        <f t="shared" si="28"/>
        <v>Szanowne Panie</v>
      </c>
      <c r="P632" s="19" t="s">
        <v>9776</v>
      </c>
      <c r="U632" t="str">
        <f t="shared" si="29"/>
        <v>tak</v>
      </c>
    </row>
    <row r="633" spans="1:21">
      <c r="A633">
        <v>677</v>
      </c>
      <c r="B633" t="s">
        <v>3076</v>
      </c>
      <c r="C633" t="s">
        <v>3051</v>
      </c>
      <c r="D633" t="s">
        <v>3261</v>
      </c>
      <c r="E633" t="s">
        <v>3260</v>
      </c>
      <c r="F633" t="s">
        <v>3259</v>
      </c>
      <c r="G633" t="s">
        <v>3258</v>
      </c>
      <c r="H633" t="s">
        <v>3257</v>
      </c>
      <c r="I633" t="s">
        <v>8706</v>
      </c>
      <c r="K633" t="s">
        <v>164</v>
      </c>
      <c r="N633" t="str">
        <f t="shared" si="28"/>
        <v>Szanowna Pani</v>
      </c>
      <c r="O633" s="19" t="s">
        <v>9776</v>
      </c>
      <c r="U633" t="str">
        <f t="shared" si="29"/>
        <v>tak</v>
      </c>
    </row>
    <row r="634" spans="1:21">
      <c r="A634">
        <v>678</v>
      </c>
      <c r="B634" t="s">
        <v>3076</v>
      </c>
      <c r="C634" t="s">
        <v>3052</v>
      </c>
      <c r="D634" t="s">
        <v>3266</v>
      </c>
      <c r="E634" t="s">
        <v>3265</v>
      </c>
      <c r="F634" t="s">
        <v>3264</v>
      </c>
      <c r="G634" t="s">
        <v>3263</v>
      </c>
      <c r="H634" t="s">
        <v>3262</v>
      </c>
      <c r="I634" t="s">
        <v>8707</v>
      </c>
      <c r="K634" t="s">
        <v>164</v>
      </c>
      <c r="N634" t="str">
        <f t="shared" si="28"/>
        <v>Szanowna Pani</v>
      </c>
      <c r="O634" s="19" t="s">
        <v>9776</v>
      </c>
      <c r="U634" t="str">
        <f t="shared" si="29"/>
        <v>tak</v>
      </c>
    </row>
    <row r="635" spans="1:21">
      <c r="A635">
        <v>679</v>
      </c>
      <c r="B635" t="s">
        <v>3076</v>
      </c>
      <c r="C635" t="s">
        <v>3052</v>
      </c>
      <c r="D635" t="s">
        <v>3267</v>
      </c>
      <c r="E635" t="s">
        <v>3265</v>
      </c>
      <c r="F635" t="s">
        <v>3264</v>
      </c>
      <c r="G635" t="s">
        <v>3263</v>
      </c>
      <c r="H635" t="s">
        <v>3262</v>
      </c>
      <c r="I635" t="s">
        <v>8707</v>
      </c>
      <c r="K635" t="s">
        <v>224</v>
      </c>
      <c r="N635" t="str">
        <f t="shared" si="28"/>
        <v>Szanowna Pani</v>
      </c>
      <c r="Q635" s="19" t="s">
        <v>9776</v>
      </c>
      <c r="U635" t="str">
        <f t="shared" si="29"/>
        <v>tak</v>
      </c>
    </row>
    <row r="636" spans="1:21">
      <c r="A636">
        <v>680</v>
      </c>
      <c r="B636" t="s">
        <v>3076</v>
      </c>
      <c r="C636" t="s">
        <v>3053</v>
      </c>
      <c r="D636" t="s">
        <v>251</v>
      </c>
      <c r="E636" t="s">
        <v>3271</v>
      </c>
      <c r="F636" t="s">
        <v>3270</v>
      </c>
      <c r="G636" t="s">
        <v>3269</v>
      </c>
      <c r="H636" t="s">
        <v>3268</v>
      </c>
      <c r="I636" t="s">
        <v>8708</v>
      </c>
      <c r="K636" t="s">
        <v>224</v>
      </c>
      <c r="L636" t="s">
        <v>164</v>
      </c>
      <c r="N636" t="str">
        <f t="shared" si="28"/>
        <v>Szanowna Pani</v>
      </c>
      <c r="Q636" s="19" t="s">
        <v>9776</v>
      </c>
      <c r="U636" t="str">
        <f t="shared" si="29"/>
        <v>tak</v>
      </c>
    </row>
    <row r="637" spans="1:21">
      <c r="A637">
        <v>681</v>
      </c>
      <c r="B637" t="s">
        <v>3076</v>
      </c>
      <c r="C637" t="s">
        <v>3053</v>
      </c>
      <c r="D637" t="s">
        <v>251</v>
      </c>
      <c r="E637" t="s">
        <v>3271</v>
      </c>
      <c r="F637" t="s">
        <v>3270</v>
      </c>
      <c r="G637" t="s">
        <v>3269</v>
      </c>
      <c r="H637" t="s">
        <v>3268</v>
      </c>
      <c r="I637" t="s">
        <v>8708</v>
      </c>
      <c r="K637" t="s">
        <v>165</v>
      </c>
      <c r="N637" t="str">
        <f t="shared" si="28"/>
        <v>Szanowna Pani</v>
      </c>
      <c r="P637" s="19" t="s">
        <v>9776</v>
      </c>
      <c r="U637" t="str">
        <f t="shared" si="29"/>
        <v>tak</v>
      </c>
    </row>
    <row r="638" spans="1:21">
      <c r="A638">
        <v>682</v>
      </c>
      <c r="B638" t="s">
        <v>3076</v>
      </c>
      <c r="C638" t="s">
        <v>3054</v>
      </c>
      <c r="D638" t="s">
        <v>3274</v>
      </c>
      <c r="E638" t="s">
        <v>2746</v>
      </c>
      <c r="F638" t="s">
        <v>3138</v>
      </c>
      <c r="G638" t="s">
        <v>3273</v>
      </c>
      <c r="H638" t="s">
        <v>3272</v>
      </c>
      <c r="I638" t="s">
        <v>8709</v>
      </c>
      <c r="K638" t="s">
        <v>164</v>
      </c>
      <c r="N638" t="str">
        <f t="shared" si="28"/>
        <v>Szanowne Panie</v>
      </c>
      <c r="O638" s="19" t="s">
        <v>9776</v>
      </c>
      <c r="U638" t="str">
        <f t="shared" si="29"/>
        <v>tak</v>
      </c>
    </row>
    <row r="639" spans="1:21">
      <c r="A639">
        <v>683</v>
      </c>
      <c r="B639" t="s">
        <v>3076</v>
      </c>
      <c r="C639" t="s">
        <v>3055</v>
      </c>
      <c r="D639" t="s">
        <v>3279</v>
      </c>
      <c r="E639" t="s">
        <v>3278</v>
      </c>
      <c r="F639" t="s">
        <v>3277</v>
      </c>
      <c r="G639" t="s">
        <v>3276</v>
      </c>
      <c r="H639" t="s">
        <v>3275</v>
      </c>
      <c r="I639" t="s">
        <v>8710</v>
      </c>
      <c r="K639" t="s">
        <v>164</v>
      </c>
      <c r="N639" t="str">
        <f t="shared" si="28"/>
        <v>Szanowna Pani</v>
      </c>
      <c r="O639" s="19" t="s">
        <v>9776</v>
      </c>
      <c r="U639" t="str">
        <f t="shared" si="29"/>
        <v>tak</v>
      </c>
    </row>
    <row r="640" spans="1:21">
      <c r="A640">
        <v>684</v>
      </c>
      <c r="B640" t="s">
        <v>3076</v>
      </c>
      <c r="C640" t="s">
        <v>3056</v>
      </c>
      <c r="D640" t="s">
        <v>3284</v>
      </c>
      <c r="E640" t="s">
        <v>3283</v>
      </c>
      <c r="F640" t="s">
        <v>3282</v>
      </c>
      <c r="G640" t="s">
        <v>3281</v>
      </c>
      <c r="H640" t="s">
        <v>3280</v>
      </c>
      <c r="I640" t="s">
        <v>8711</v>
      </c>
      <c r="K640" t="s">
        <v>164</v>
      </c>
      <c r="N640" t="str">
        <f t="shared" si="28"/>
        <v>Szanowna Pani</v>
      </c>
      <c r="O640" s="19" t="s">
        <v>9776</v>
      </c>
      <c r="U640" t="str">
        <f t="shared" si="29"/>
        <v>tak</v>
      </c>
    </row>
    <row r="641" spans="1:21">
      <c r="A641">
        <v>685</v>
      </c>
      <c r="B641" t="s">
        <v>3076</v>
      </c>
      <c r="C641" t="s">
        <v>3057</v>
      </c>
      <c r="D641" t="s">
        <v>3289</v>
      </c>
      <c r="E641" t="s">
        <v>3288</v>
      </c>
      <c r="F641" t="s">
        <v>3287</v>
      </c>
      <c r="G641" t="s">
        <v>3286</v>
      </c>
      <c r="H641" t="s">
        <v>3285</v>
      </c>
      <c r="I641" t="s">
        <v>8712</v>
      </c>
      <c r="K641" t="s">
        <v>164</v>
      </c>
      <c r="N641" t="str">
        <f t="shared" si="28"/>
        <v>Szanowna Pani</v>
      </c>
      <c r="O641" s="19" t="s">
        <v>9776</v>
      </c>
      <c r="U641" t="str">
        <f t="shared" si="29"/>
        <v>tak</v>
      </c>
    </row>
    <row r="642" spans="1:21">
      <c r="A642">
        <v>686</v>
      </c>
      <c r="B642" t="s">
        <v>3076</v>
      </c>
      <c r="C642" t="s">
        <v>3058</v>
      </c>
      <c r="D642" t="s">
        <v>3294</v>
      </c>
      <c r="E642" t="s">
        <v>3293</v>
      </c>
      <c r="F642" t="s">
        <v>3292</v>
      </c>
      <c r="G642" t="s">
        <v>3291</v>
      </c>
      <c r="H642" t="s">
        <v>3290</v>
      </c>
      <c r="I642" t="s">
        <v>8713</v>
      </c>
      <c r="K642" t="s">
        <v>164</v>
      </c>
      <c r="N642" t="str">
        <f t="shared" si="28"/>
        <v>Szanowna Pani</v>
      </c>
      <c r="O642" s="19" t="s">
        <v>9776</v>
      </c>
      <c r="U642" t="str">
        <f t="shared" si="29"/>
        <v>tak</v>
      </c>
    </row>
    <row r="643" spans="1:21">
      <c r="A643">
        <v>687</v>
      </c>
      <c r="B643" t="s">
        <v>3076</v>
      </c>
      <c r="C643" t="s">
        <v>3059</v>
      </c>
      <c r="D643" t="s">
        <v>3299</v>
      </c>
      <c r="E643" t="s">
        <v>3298</v>
      </c>
      <c r="F643" t="s">
        <v>3297</v>
      </c>
      <c r="G643" t="s">
        <v>3296</v>
      </c>
      <c r="H643" t="s">
        <v>3295</v>
      </c>
      <c r="I643" t="s">
        <v>8714</v>
      </c>
      <c r="K643" t="s">
        <v>164</v>
      </c>
      <c r="N643" t="str">
        <f t="shared" si="28"/>
        <v>Szanowna Pani</v>
      </c>
      <c r="O643" s="19" t="s">
        <v>9776</v>
      </c>
      <c r="U643" t="str">
        <f t="shared" si="29"/>
        <v>tak</v>
      </c>
    </row>
    <row r="644" spans="1:21">
      <c r="A644">
        <v>688</v>
      </c>
      <c r="B644" t="s">
        <v>3076</v>
      </c>
      <c r="C644" t="s">
        <v>3060</v>
      </c>
      <c r="D644" t="s">
        <v>3304</v>
      </c>
      <c r="E644" t="s">
        <v>3303</v>
      </c>
      <c r="F644" t="s">
        <v>3302</v>
      </c>
      <c r="G644" t="s">
        <v>3301</v>
      </c>
      <c r="H644" t="s">
        <v>3300</v>
      </c>
      <c r="I644" t="s">
        <v>8715</v>
      </c>
      <c r="K644" t="s">
        <v>164</v>
      </c>
      <c r="N644" t="str">
        <f t="shared" si="28"/>
        <v>Szanowna Pani</v>
      </c>
      <c r="O644" s="19" t="s">
        <v>9776</v>
      </c>
      <c r="U644" t="str">
        <f t="shared" si="29"/>
        <v>tak</v>
      </c>
    </row>
    <row r="645" spans="1:21">
      <c r="A645">
        <v>689</v>
      </c>
      <c r="B645" t="s">
        <v>3076</v>
      </c>
      <c r="C645" t="s">
        <v>3060</v>
      </c>
      <c r="D645" t="s">
        <v>3304</v>
      </c>
      <c r="E645" t="s">
        <v>3303</v>
      </c>
      <c r="F645" t="s">
        <v>3302</v>
      </c>
      <c r="G645" t="s">
        <v>3301</v>
      </c>
      <c r="H645" t="s">
        <v>2290</v>
      </c>
      <c r="I645" t="s">
        <v>8715</v>
      </c>
      <c r="K645" t="s">
        <v>165</v>
      </c>
      <c r="N645" t="str">
        <f t="shared" si="28"/>
        <v>Szanowna Pani</v>
      </c>
      <c r="P645" s="19" t="s">
        <v>9776</v>
      </c>
      <c r="U645" t="str">
        <f t="shared" si="29"/>
        <v>tak</v>
      </c>
    </row>
    <row r="646" spans="1:21">
      <c r="A646">
        <v>690</v>
      </c>
      <c r="B646" t="s">
        <v>3076</v>
      </c>
      <c r="C646" t="s">
        <v>3061</v>
      </c>
      <c r="D646" t="s">
        <v>3010</v>
      </c>
      <c r="E646" t="s">
        <v>3011</v>
      </c>
      <c r="F646" t="s">
        <v>3012</v>
      </c>
      <c r="G646" t="s">
        <v>3306</v>
      </c>
      <c r="H646" t="s">
        <v>3305</v>
      </c>
      <c r="I646" t="s">
        <v>8716</v>
      </c>
      <c r="K646" t="s">
        <v>164</v>
      </c>
      <c r="N646" t="str">
        <f t="shared" si="28"/>
        <v>Szanowne Panie</v>
      </c>
      <c r="O646" s="19" t="s">
        <v>9776</v>
      </c>
      <c r="U646" t="str">
        <f t="shared" si="29"/>
        <v>tak</v>
      </c>
    </row>
    <row r="647" spans="1:21">
      <c r="A647">
        <v>691</v>
      </c>
      <c r="B647" t="s">
        <v>3076</v>
      </c>
      <c r="C647" t="s">
        <v>3061</v>
      </c>
      <c r="D647" t="s">
        <v>3010</v>
      </c>
      <c r="E647" t="s">
        <v>3011</v>
      </c>
      <c r="F647" t="s">
        <v>3012</v>
      </c>
      <c r="G647" t="s">
        <v>3306</v>
      </c>
      <c r="H647" t="s">
        <v>3307</v>
      </c>
      <c r="I647" t="s">
        <v>8717</v>
      </c>
      <c r="K647" t="s">
        <v>165</v>
      </c>
      <c r="N647" t="str">
        <f t="shared" si="28"/>
        <v>Szanowna Pani</v>
      </c>
      <c r="P647" s="19" t="s">
        <v>9776</v>
      </c>
      <c r="U647" t="str">
        <f t="shared" si="29"/>
        <v>tak</v>
      </c>
    </row>
    <row r="648" spans="1:21">
      <c r="A648">
        <v>692</v>
      </c>
      <c r="B648" t="s">
        <v>3076</v>
      </c>
      <c r="C648" t="s">
        <v>3062</v>
      </c>
      <c r="D648" t="s">
        <v>251</v>
      </c>
      <c r="E648" t="s">
        <v>261</v>
      </c>
      <c r="F648" t="s">
        <v>3310</v>
      </c>
      <c r="G648" t="s">
        <v>3309</v>
      </c>
      <c r="H648" t="s">
        <v>3308</v>
      </c>
      <c r="I648" t="s">
        <v>8718</v>
      </c>
      <c r="K648" t="s">
        <v>164</v>
      </c>
      <c r="N648" t="str">
        <f t="shared" si="28"/>
        <v>Szanowna Pani</v>
      </c>
      <c r="O648" s="19" t="s">
        <v>9776</v>
      </c>
      <c r="U648" t="str">
        <f t="shared" si="29"/>
        <v>tak</v>
      </c>
    </row>
    <row r="649" spans="1:21">
      <c r="A649">
        <v>693</v>
      </c>
      <c r="B649" t="s">
        <v>3076</v>
      </c>
      <c r="C649" t="s">
        <v>3063</v>
      </c>
      <c r="D649" t="s">
        <v>166</v>
      </c>
      <c r="E649" t="s">
        <v>3314</v>
      </c>
      <c r="F649" t="s">
        <v>3313</v>
      </c>
      <c r="G649" t="s">
        <v>3312</v>
      </c>
      <c r="H649" t="s">
        <v>3311</v>
      </c>
      <c r="I649" t="s">
        <v>8719</v>
      </c>
      <c r="K649" t="s">
        <v>164</v>
      </c>
      <c r="N649" t="str">
        <f t="shared" si="28"/>
        <v>Szanowna Pani</v>
      </c>
      <c r="O649" s="19" t="s">
        <v>9776</v>
      </c>
      <c r="U649" t="str">
        <f t="shared" si="29"/>
        <v>tak</v>
      </c>
    </row>
    <row r="650" spans="1:21">
      <c r="A650">
        <v>694</v>
      </c>
      <c r="B650" t="s">
        <v>3076</v>
      </c>
      <c r="C650" t="s">
        <v>3064</v>
      </c>
      <c r="D650" t="s">
        <v>3319</v>
      </c>
      <c r="E650" t="s">
        <v>3318</v>
      </c>
      <c r="F650" t="s">
        <v>3317</v>
      </c>
      <c r="G650" t="s">
        <v>3316</v>
      </c>
      <c r="H650" t="s">
        <v>3315</v>
      </c>
      <c r="I650" t="s">
        <v>8720</v>
      </c>
      <c r="K650" t="s">
        <v>164</v>
      </c>
      <c r="N650" t="str">
        <f t="shared" si="28"/>
        <v>Szanowna Pani</v>
      </c>
      <c r="O650" s="19" t="s">
        <v>9776</v>
      </c>
      <c r="U650" t="str">
        <f t="shared" si="29"/>
        <v>tak</v>
      </c>
    </row>
    <row r="651" spans="1:21">
      <c r="A651">
        <v>695</v>
      </c>
      <c r="B651" t="s">
        <v>3076</v>
      </c>
      <c r="C651" t="s">
        <v>3065</v>
      </c>
      <c r="D651" t="s">
        <v>3324</v>
      </c>
      <c r="E651" t="s">
        <v>3323</v>
      </c>
      <c r="F651" t="s">
        <v>3322</v>
      </c>
      <c r="G651" t="s">
        <v>3321</v>
      </c>
      <c r="H651" t="s">
        <v>3320</v>
      </c>
      <c r="I651" t="s">
        <v>8721</v>
      </c>
      <c r="K651" t="s">
        <v>164</v>
      </c>
      <c r="N651" t="str">
        <f t="shared" si="28"/>
        <v>Szanowna Pani</v>
      </c>
      <c r="O651" s="19" t="s">
        <v>9776</v>
      </c>
      <c r="U651" t="str">
        <f t="shared" ref="U651:U674" si="30">+O651 &amp;P651&amp;Q651</f>
        <v>tak</v>
      </c>
    </row>
    <row r="652" spans="1:21">
      <c r="A652">
        <v>696</v>
      </c>
      <c r="B652" t="s">
        <v>3076</v>
      </c>
      <c r="C652" t="s">
        <v>3065</v>
      </c>
      <c r="D652" t="s">
        <v>3324</v>
      </c>
      <c r="E652" t="s">
        <v>3323</v>
      </c>
      <c r="F652" t="s">
        <v>3322</v>
      </c>
      <c r="G652" t="s">
        <v>3321</v>
      </c>
      <c r="H652" t="s">
        <v>3320</v>
      </c>
      <c r="I652" t="s">
        <v>8721</v>
      </c>
      <c r="K652" t="s">
        <v>224</v>
      </c>
      <c r="N652" t="str">
        <f t="shared" si="28"/>
        <v>Szanowna Pani</v>
      </c>
      <c r="Q652" s="19" t="s">
        <v>9776</v>
      </c>
      <c r="U652" t="str">
        <f t="shared" si="30"/>
        <v>tak</v>
      </c>
    </row>
    <row r="653" spans="1:21">
      <c r="A653">
        <v>697</v>
      </c>
      <c r="B653" t="s">
        <v>3076</v>
      </c>
      <c r="C653" t="s">
        <v>3065</v>
      </c>
      <c r="D653" t="s">
        <v>3328</v>
      </c>
      <c r="E653" t="s">
        <v>3327</v>
      </c>
      <c r="F653" t="s">
        <v>3322</v>
      </c>
      <c r="G653" t="s">
        <v>3326</v>
      </c>
      <c r="H653" t="s">
        <v>3325</v>
      </c>
      <c r="I653" s="15" t="s">
        <v>8721</v>
      </c>
      <c r="K653" t="s">
        <v>164</v>
      </c>
      <c r="N653" t="str">
        <f t="shared" si="28"/>
        <v>Szanowny Pan</v>
      </c>
      <c r="O653" s="19" t="s">
        <v>9776</v>
      </c>
      <c r="U653" t="str">
        <f t="shared" si="30"/>
        <v>tak</v>
      </c>
    </row>
    <row r="654" spans="1:21">
      <c r="A654">
        <v>698</v>
      </c>
      <c r="B654" t="s">
        <v>3076</v>
      </c>
      <c r="C654" t="s">
        <v>3066</v>
      </c>
      <c r="D654" t="s">
        <v>3333</v>
      </c>
      <c r="E654" t="s">
        <v>3332</v>
      </c>
      <c r="F654" t="s">
        <v>3331</v>
      </c>
      <c r="G654" t="s">
        <v>3330</v>
      </c>
      <c r="H654" t="s">
        <v>3329</v>
      </c>
      <c r="I654" t="s">
        <v>8722</v>
      </c>
      <c r="K654" t="s">
        <v>164</v>
      </c>
      <c r="N654" t="str">
        <f t="shared" si="28"/>
        <v>Szanowna Pani</v>
      </c>
      <c r="O654" s="19" t="s">
        <v>9776</v>
      </c>
      <c r="U654" t="str">
        <f t="shared" si="30"/>
        <v>tak</v>
      </c>
    </row>
    <row r="655" spans="1:21">
      <c r="A655">
        <v>699</v>
      </c>
      <c r="B655" t="s">
        <v>3076</v>
      </c>
      <c r="C655" t="s">
        <v>3067</v>
      </c>
      <c r="D655" t="s">
        <v>267</v>
      </c>
      <c r="E655" t="s">
        <v>3337</v>
      </c>
      <c r="F655" t="s">
        <v>3336</v>
      </c>
      <c r="G655" t="s">
        <v>3335</v>
      </c>
      <c r="H655" t="s">
        <v>3334</v>
      </c>
      <c r="I655" t="s">
        <v>8723</v>
      </c>
      <c r="K655" t="s">
        <v>164</v>
      </c>
      <c r="N655" t="str">
        <f t="shared" si="28"/>
        <v>Szanowna Pani</v>
      </c>
      <c r="O655" s="19" t="s">
        <v>9776</v>
      </c>
      <c r="U655" t="str">
        <f t="shared" si="30"/>
        <v>tak</v>
      </c>
    </row>
    <row r="656" spans="1:21">
      <c r="A656">
        <v>700</v>
      </c>
      <c r="B656" t="s">
        <v>3076</v>
      </c>
      <c r="C656" t="s">
        <v>3068</v>
      </c>
      <c r="D656" t="s">
        <v>251</v>
      </c>
      <c r="E656" t="s">
        <v>3341</v>
      </c>
      <c r="F656" t="s">
        <v>3340</v>
      </c>
      <c r="G656" t="s">
        <v>3339</v>
      </c>
      <c r="H656" t="s">
        <v>3338</v>
      </c>
      <c r="I656" t="s">
        <v>8724</v>
      </c>
      <c r="K656" t="s">
        <v>164</v>
      </c>
      <c r="N656" t="str">
        <f t="shared" si="28"/>
        <v>Szanowna Pani</v>
      </c>
      <c r="O656" s="19" t="s">
        <v>9776</v>
      </c>
      <c r="U656" t="str">
        <f t="shared" si="30"/>
        <v>tak</v>
      </c>
    </row>
    <row r="657" spans="1:21">
      <c r="A657">
        <v>701</v>
      </c>
      <c r="B657" t="s">
        <v>3076</v>
      </c>
      <c r="C657" t="s">
        <v>3068</v>
      </c>
      <c r="D657" t="s">
        <v>318</v>
      </c>
      <c r="E657" t="s">
        <v>3344</v>
      </c>
      <c r="F657" t="s">
        <v>3340</v>
      </c>
      <c r="G657" t="s">
        <v>3343</v>
      </c>
      <c r="H657" t="s">
        <v>3342</v>
      </c>
      <c r="I657" t="s">
        <v>8725</v>
      </c>
      <c r="K657" t="s">
        <v>224</v>
      </c>
      <c r="N657" t="str">
        <f t="shared" si="28"/>
        <v>Szanowna Pani</v>
      </c>
      <c r="Q657" s="19" t="s">
        <v>9776</v>
      </c>
      <c r="U657" t="str">
        <f t="shared" si="30"/>
        <v>tak</v>
      </c>
    </row>
    <row r="658" spans="1:21">
      <c r="A658">
        <v>702</v>
      </c>
      <c r="B658" t="s">
        <v>3076</v>
      </c>
      <c r="C658" t="s">
        <v>3068</v>
      </c>
      <c r="D658" t="s">
        <v>3348</v>
      </c>
      <c r="E658" t="s">
        <v>3347</v>
      </c>
      <c r="F658" t="s">
        <v>3340</v>
      </c>
      <c r="G658" t="s">
        <v>3346</v>
      </c>
      <c r="H658" t="s">
        <v>3345</v>
      </c>
      <c r="I658" t="s">
        <v>8726</v>
      </c>
      <c r="K658" t="s">
        <v>164</v>
      </c>
      <c r="N658" t="str">
        <f t="shared" si="28"/>
        <v>Szanowna Pani</v>
      </c>
      <c r="O658" s="19" t="s">
        <v>9776</v>
      </c>
      <c r="U658" t="str">
        <f t="shared" si="30"/>
        <v>tak</v>
      </c>
    </row>
    <row r="659" spans="1:21">
      <c r="A659">
        <v>703</v>
      </c>
      <c r="B659" t="s">
        <v>3076</v>
      </c>
      <c r="C659" t="s">
        <v>3068</v>
      </c>
      <c r="D659" t="s">
        <v>3352</v>
      </c>
      <c r="E659" t="s">
        <v>3351</v>
      </c>
      <c r="F659" t="s">
        <v>3200</v>
      </c>
      <c r="G659" t="s">
        <v>3350</v>
      </c>
      <c r="H659" t="s">
        <v>3349</v>
      </c>
      <c r="I659" t="s">
        <v>8727</v>
      </c>
      <c r="K659" t="s">
        <v>164</v>
      </c>
      <c r="N659" t="str">
        <f t="shared" si="28"/>
        <v>Szanowna Pani</v>
      </c>
      <c r="O659" s="19" t="s">
        <v>9776</v>
      </c>
      <c r="U659" t="str">
        <f t="shared" si="30"/>
        <v>tak</v>
      </c>
    </row>
    <row r="660" spans="1:21">
      <c r="A660">
        <v>704</v>
      </c>
      <c r="B660" t="s">
        <v>3076</v>
      </c>
      <c r="C660" t="s">
        <v>3069</v>
      </c>
      <c r="D660" t="s">
        <v>161</v>
      </c>
      <c r="E660" t="s">
        <v>3356</v>
      </c>
      <c r="F660" t="s">
        <v>3355</v>
      </c>
      <c r="G660" t="s">
        <v>3354</v>
      </c>
      <c r="H660" t="s">
        <v>3353</v>
      </c>
      <c r="I660" t="s">
        <v>8728</v>
      </c>
      <c r="K660" t="s">
        <v>164</v>
      </c>
      <c r="N660" t="str">
        <f t="shared" si="28"/>
        <v>Szanowna Pani</v>
      </c>
      <c r="O660" s="19" t="s">
        <v>9776</v>
      </c>
      <c r="U660" t="str">
        <f t="shared" si="30"/>
        <v>tak</v>
      </c>
    </row>
    <row r="661" spans="1:21">
      <c r="A661">
        <v>705</v>
      </c>
      <c r="B661" t="s">
        <v>3076</v>
      </c>
      <c r="C661" t="s">
        <v>3069</v>
      </c>
      <c r="D661" t="s">
        <v>161</v>
      </c>
      <c r="E661" t="s">
        <v>3356</v>
      </c>
      <c r="F661" t="s">
        <v>3355</v>
      </c>
      <c r="G661" t="s">
        <v>3354</v>
      </c>
      <c r="H661" t="s">
        <v>3353</v>
      </c>
      <c r="I661" t="s">
        <v>8728</v>
      </c>
      <c r="K661" t="s">
        <v>224</v>
      </c>
      <c r="N661" t="str">
        <f t="shared" si="28"/>
        <v>Szanowna Pani</v>
      </c>
      <c r="Q661" s="19" t="s">
        <v>9776</v>
      </c>
      <c r="U661" t="str">
        <f t="shared" si="30"/>
        <v>tak</v>
      </c>
    </row>
    <row r="662" spans="1:21">
      <c r="A662">
        <v>706</v>
      </c>
      <c r="B662" t="s">
        <v>3076</v>
      </c>
      <c r="C662" t="s">
        <v>3070</v>
      </c>
      <c r="D662" t="s">
        <v>3361</v>
      </c>
      <c r="E662" t="s">
        <v>3360</v>
      </c>
      <c r="F662" t="s">
        <v>3359</v>
      </c>
      <c r="G662" t="s">
        <v>3358</v>
      </c>
      <c r="H662" t="s">
        <v>3357</v>
      </c>
      <c r="I662" t="s">
        <v>8729</v>
      </c>
      <c r="K662" t="s">
        <v>164</v>
      </c>
      <c r="N662" t="str">
        <f t="shared" si="28"/>
        <v>Szanowna Pani</v>
      </c>
      <c r="O662" s="19" t="s">
        <v>9776</v>
      </c>
      <c r="U662" t="str">
        <f t="shared" si="30"/>
        <v>tak</v>
      </c>
    </row>
    <row r="663" spans="1:21">
      <c r="A663">
        <v>707</v>
      </c>
      <c r="B663" t="s">
        <v>3076</v>
      </c>
      <c r="C663" t="s">
        <v>3071</v>
      </c>
      <c r="D663" t="s">
        <v>3366</v>
      </c>
      <c r="E663" t="s">
        <v>3365</v>
      </c>
      <c r="F663" t="s">
        <v>3364</v>
      </c>
      <c r="G663" t="s">
        <v>3363</v>
      </c>
      <c r="H663" t="s">
        <v>3362</v>
      </c>
      <c r="I663" t="s">
        <v>8730</v>
      </c>
      <c r="K663" t="s">
        <v>164</v>
      </c>
      <c r="N663" t="str">
        <f t="shared" ref="N663:N726" si="31">IF(ISERROR(FIND(",",H663)),IF(MID(H663,FIND(" ",H663)-1,1)="a","Szanowna Pani","Szanowny Pan"), "Szanowne Panie")</f>
        <v>Szanowna Pani</v>
      </c>
      <c r="O663" s="19" t="s">
        <v>9776</v>
      </c>
      <c r="U663" t="str">
        <f t="shared" si="30"/>
        <v>tak</v>
      </c>
    </row>
    <row r="664" spans="1:21">
      <c r="A664">
        <v>708</v>
      </c>
      <c r="B664" t="s">
        <v>3076</v>
      </c>
      <c r="C664" t="s">
        <v>3072</v>
      </c>
      <c r="D664" t="s">
        <v>3013</v>
      </c>
      <c r="E664" t="s">
        <v>3014</v>
      </c>
      <c r="F664" t="s">
        <v>3015</v>
      </c>
      <c r="G664" t="s">
        <v>3306</v>
      </c>
      <c r="H664" t="s">
        <v>3307</v>
      </c>
      <c r="I664" t="s">
        <v>8717</v>
      </c>
      <c r="K664" t="s">
        <v>224</v>
      </c>
      <c r="N664" t="str">
        <f t="shared" si="31"/>
        <v>Szanowna Pani</v>
      </c>
      <c r="Q664" s="19" t="s">
        <v>9776</v>
      </c>
      <c r="U664" t="str">
        <f t="shared" si="30"/>
        <v>tak</v>
      </c>
    </row>
    <row r="665" spans="1:21">
      <c r="A665">
        <v>709</v>
      </c>
      <c r="B665" t="s">
        <v>3076</v>
      </c>
      <c r="C665" t="s">
        <v>3072</v>
      </c>
      <c r="D665" t="s">
        <v>3371</v>
      </c>
      <c r="E665" t="s">
        <v>3370</v>
      </c>
      <c r="F665" t="s">
        <v>3369</v>
      </c>
      <c r="G665" t="s">
        <v>3368</v>
      </c>
      <c r="H665" t="s">
        <v>3367</v>
      </c>
      <c r="I665" t="s">
        <v>8731</v>
      </c>
      <c r="K665" t="s">
        <v>164</v>
      </c>
      <c r="N665" t="str">
        <f t="shared" si="31"/>
        <v>Szanowna Pani</v>
      </c>
      <c r="O665" s="19" t="s">
        <v>9776</v>
      </c>
      <c r="U665" t="str">
        <f t="shared" si="30"/>
        <v>tak</v>
      </c>
    </row>
    <row r="666" spans="1:21">
      <c r="A666">
        <v>710</v>
      </c>
      <c r="B666" t="s">
        <v>3076</v>
      </c>
      <c r="C666" t="s">
        <v>3072</v>
      </c>
      <c r="D666" t="s">
        <v>3373</v>
      </c>
      <c r="E666" t="s">
        <v>3370</v>
      </c>
      <c r="F666" t="s">
        <v>3369</v>
      </c>
      <c r="G666" t="s">
        <v>3368</v>
      </c>
      <c r="H666" t="s">
        <v>3372</v>
      </c>
      <c r="I666" t="s">
        <v>8731</v>
      </c>
      <c r="K666" t="s">
        <v>224</v>
      </c>
      <c r="N666" t="str">
        <f t="shared" si="31"/>
        <v>Szanowna Pani</v>
      </c>
      <c r="Q666" s="19" t="s">
        <v>9776</v>
      </c>
      <c r="U666" t="str">
        <f t="shared" si="30"/>
        <v>tak</v>
      </c>
    </row>
    <row r="667" spans="1:21">
      <c r="A667">
        <v>711</v>
      </c>
      <c r="B667" t="s">
        <v>3076</v>
      </c>
      <c r="C667" t="s">
        <v>3073</v>
      </c>
      <c r="D667" t="s">
        <v>3377</v>
      </c>
      <c r="E667" t="s">
        <v>3376</v>
      </c>
      <c r="F667" t="s">
        <v>3200</v>
      </c>
      <c r="G667" t="s">
        <v>3375</v>
      </c>
      <c r="H667" t="s">
        <v>3374</v>
      </c>
      <c r="I667" t="s">
        <v>8732</v>
      </c>
      <c r="K667" t="s">
        <v>164</v>
      </c>
      <c r="N667" t="str">
        <f t="shared" si="31"/>
        <v>Szanowna Pani</v>
      </c>
      <c r="O667" s="19" t="s">
        <v>9776</v>
      </c>
      <c r="U667" t="str">
        <f t="shared" si="30"/>
        <v>tak</v>
      </c>
    </row>
    <row r="668" spans="1:21">
      <c r="A668">
        <v>712</v>
      </c>
      <c r="B668" t="s">
        <v>3076</v>
      </c>
      <c r="C668" t="s">
        <v>3073</v>
      </c>
      <c r="D668" t="s">
        <v>3379</v>
      </c>
      <c r="E668" t="s">
        <v>3370</v>
      </c>
      <c r="F668" t="s">
        <v>3369</v>
      </c>
      <c r="G668" t="s">
        <v>3368</v>
      </c>
      <c r="H668" t="s">
        <v>3378</v>
      </c>
      <c r="I668" t="s">
        <v>8731</v>
      </c>
      <c r="K668" t="s">
        <v>164</v>
      </c>
      <c r="N668" t="str">
        <f t="shared" si="31"/>
        <v>Szanowna Pani</v>
      </c>
      <c r="O668" s="19" t="s">
        <v>9776</v>
      </c>
      <c r="U668" t="str">
        <f t="shared" si="30"/>
        <v>tak</v>
      </c>
    </row>
    <row r="669" spans="1:21">
      <c r="A669">
        <v>713</v>
      </c>
      <c r="B669" t="s">
        <v>3076</v>
      </c>
      <c r="C669" t="s">
        <v>3074</v>
      </c>
      <c r="D669" t="s">
        <v>3383</v>
      </c>
      <c r="E669" t="s">
        <v>2421</v>
      </c>
      <c r="F669" t="s">
        <v>3382</v>
      </c>
      <c r="G669" t="s">
        <v>3381</v>
      </c>
      <c r="H669" t="s">
        <v>3380</v>
      </c>
      <c r="I669" t="s">
        <v>8733</v>
      </c>
      <c r="K669" t="s">
        <v>164</v>
      </c>
      <c r="N669" t="str">
        <f t="shared" si="31"/>
        <v>Szanowna Pani</v>
      </c>
      <c r="O669" s="19" t="s">
        <v>9776</v>
      </c>
      <c r="U669" t="str">
        <f t="shared" si="30"/>
        <v>tak</v>
      </c>
    </row>
    <row r="670" spans="1:21">
      <c r="A670">
        <v>714</v>
      </c>
      <c r="B670" t="s">
        <v>3076</v>
      </c>
      <c r="C670" t="s">
        <v>3075</v>
      </c>
      <c r="D670" t="s">
        <v>3388</v>
      </c>
      <c r="E670" t="s">
        <v>3387</v>
      </c>
      <c r="F670" t="s">
        <v>3386</v>
      </c>
      <c r="G670" t="s">
        <v>3385</v>
      </c>
      <c r="H670" t="s">
        <v>3384</v>
      </c>
      <c r="I670" t="s">
        <v>8734</v>
      </c>
      <c r="K670" t="s">
        <v>164</v>
      </c>
      <c r="N670" t="str">
        <f t="shared" si="31"/>
        <v>Szanowna Pani</v>
      </c>
      <c r="O670" s="19" t="s">
        <v>9776</v>
      </c>
      <c r="U670" t="str">
        <f t="shared" si="30"/>
        <v>tak</v>
      </c>
    </row>
    <row r="671" spans="1:21">
      <c r="A671">
        <v>715</v>
      </c>
      <c r="B671" t="s">
        <v>3076</v>
      </c>
      <c r="C671" t="s">
        <v>3016</v>
      </c>
      <c r="D671" t="s">
        <v>3017</v>
      </c>
      <c r="E671" t="s">
        <v>3018</v>
      </c>
      <c r="F671" t="s">
        <v>3012</v>
      </c>
      <c r="G671" t="s">
        <v>3390</v>
      </c>
      <c r="H671" t="s">
        <v>3389</v>
      </c>
      <c r="I671" t="s">
        <v>8735</v>
      </c>
      <c r="K671" t="s">
        <v>164</v>
      </c>
      <c r="N671" t="str">
        <f t="shared" si="31"/>
        <v>Szanowna Pani</v>
      </c>
      <c r="O671" s="19" t="s">
        <v>9776</v>
      </c>
      <c r="U671" t="str">
        <f t="shared" si="30"/>
        <v>tak</v>
      </c>
    </row>
    <row r="672" spans="1:21">
      <c r="A672">
        <v>716</v>
      </c>
      <c r="B672" t="s">
        <v>3076</v>
      </c>
      <c r="C672" t="s">
        <v>3016</v>
      </c>
      <c r="D672" t="s">
        <v>3391</v>
      </c>
      <c r="E672" t="s">
        <v>3018</v>
      </c>
      <c r="F672" t="s">
        <v>3019</v>
      </c>
      <c r="G672" t="s">
        <v>3393</v>
      </c>
      <c r="H672" t="s">
        <v>3392</v>
      </c>
      <c r="I672" t="s">
        <v>8736</v>
      </c>
      <c r="K672" t="s">
        <v>224</v>
      </c>
      <c r="N672" t="str">
        <f t="shared" si="31"/>
        <v>Szanowne Panie</v>
      </c>
      <c r="Q672" s="19" t="s">
        <v>9776</v>
      </c>
      <c r="U672" t="str">
        <f t="shared" si="30"/>
        <v>tak</v>
      </c>
    </row>
    <row r="673" spans="1:21">
      <c r="A673">
        <v>717</v>
      </c>
      <c r="B673" t="s">
        <v>3530</v>
      </c>
      <c r="C673" t="s">
        <v>3394</v>
      </c>
      <c r="D673" t="s">
        <v>166</v>
      </c>
      <c r="E673" t="s">
        <v>3395</v>
      </c>
      <c r="F673" t="s">
        <v>3396</v>
      </c>
      <c r="G673" t="s">
        <v>3532</v>
      </c>
      <c r="H673" t="s">
        <v>3531</v>
      </c>
      <c r="I673" t="s">
        <v>8737</v>
      </c>
      <c r="K673" t="s">
        <v>164</v>
      </c>
      <c r="N673" t="str">
        <f t="shared" si="31"/>
        <v>Szanowna Pani</v>
      </c>
      <c r="O673" s="19" t="s">
        <v>9776</v>
      </c>
      <c r="U673" t="str">
        <f t="shared" si="30"/>
        <v>tak</v>
      </c>
    </row>
    <row r="674" spans="1:21">
      <c r="A674">
        <v>718</v>
      </c>
      <c r="B674" t="s">
        <v>3530</v>
      </c>
      <c r="C674" t="s">
        <v>3397</v>
      </c>
      <c r="D674" t="s">
        <v>166</v>
      </c>
      <c r="E674" t="s">
        <v>3536</v>
      </c>
      <c r="F674" t="s">
        <v>3535</v>
      </c>
      <c r="G674" t="s">
        <v>3534</v>
      </c>
      <c r="H674" t="s">
        <v>3533</v>
      </c>
      <c r="I674" t="s">
        <v>8738</v>
      </c>
      <c r="K674" t="s">
        <v>3398</v>
      </c>
      <c r="L674" t="s">
        <v>165</v>
      </c>
      <c r="M674" t="s">
        <v>224</v>
      </c>
      <c r="N674" t="str">
        <f t="shared" si="31"/>
        <v>Szanowna Pani</v>
      </c>
      <c r="P674" s="19" t="s">
        <v>9776</v>
      </c>
      <c r="Q674" s="19" t="s">
        <v>9776</v>
      </c>
      <c r="U674" t="str">
        <f t="shared" si="30"/>
        <v>taktak</v>
      </c>
    </row>
    <row r="675" spans="1:21">
      <c r="A675">
        <v>719</v>
      </c>
      <c r="B675" t="s">
        <v>3530</v>
      </c>
      <c r="C675" t="s">
        <v>3399</v>
      </c>
      <c r="D675" t="s">
        <v>246</v>
      </c>
      <c r="E675" t="s">
        <v>3540</v>
      </c>
      <c r="F675" t="s">
        <v>3539</v>
      </c>
      <c r="G675" t="s">
        <v>3538</v>
      </c>
      <c r="H675" t="s">
        <v>3537</v>
      </c>
      <c r="I675" t="s">
        <v>8739</v>
      </c>
      <c r="K675" t="s">
        <v>3412</v>
      </c>
      <c r="L675" t="s">
        <v>165</v>
      </c>
      <c r="M675" t="s">
        <v>224</v>
      </c>
      <c r="N675" t="str">
        <f t="shared" si="31"/>
        <v>Szanowne Panie</v>
      </c>
      <c r="P675" s="19" t="s">
        <v>9776</v>
      </c>
      <c r="Q675" s="19" t="s">
        <v>9776</v>
      </c>
      <c r="U675" t="str">
        <f t="shared" ref="U675:U706" si="32">+O675 &amp;P675&amp;Q675</f>
        <v>taktak</v>
      </c>
    </row>
    <row r="676" spans="1:21">
      <c r="A676">
        <v>720</v>
      </c>
      <c r="B676" t="s">
        <v>3530</v>
      </c>
      <c r="C676" t="s">
        <v>3400</v>
      </c>
      <c r="D676" t="s">
        <v>246</v>
      </c>
      <c r="E676" t="s">
        <v>3544</v>
      </c>
      <c r="F676" t="s">
        <v>3543</v>
      </c>
      <c r="G676" t="s">
        <v>3542</v>
      </c>
      <c r="H676" t="s">
        <v>3541</v>
      </c>
      <c r="I676" t="s">
        <v>8740</v>
      </c>
      <c r="K676" t="s">
        <v>164</v>
      </c>
      <c r="N676" t="str">
        <f t="shared" si="31"/>
        <v>Szanowna Pani</v>
      </c>
      <c r="O676" s="19" t="s">
        <v>9776</v>
      </c>
      <c r="U676" t="str">
        <f t="shared" si="32"/>
        <v>tak</v>
      </c>
    </row>
    <row r="677" spans="1:21">
      <c r="A677">
        <v>721</v>
      </c>
      <c r="B677" t="s">
        <v>3530</v>
      </c>
      <c r="C677" t="s">
        <v>3401</v>
      </c>
      <c r="D677" t="s">
        <v>251</v>
      </c>
      <c r="E677" t="s">
        <v>3548</v>
      </c>
      <c r="F677" t="s">
        <v>3547</v>
      </c>
      <c r="G677" t="s">
        <v>3546</v>
      </c>
      <c r="H677" t="s">
        <v>3545</v>
      </c>
      <c r="I677" t="s">
        <v>8741</v>
      </c>
      <c r="K677" t="s">
        <v>164</v>
      </c>
      <c r="N677" t="str">
        <f t="shared" si="31"/>
        <v>Szanowny Pan</v>
      </c>
      <c r="O677" s="19" t="s">
        <v>9776</v>
      </c>
      <c r="U677" t="str">
        <f t="shared" si="32"/>
        <v>tak</v>
      </c>
    </row>
    <row r="678" spans="1:21">
      <c r="A678">
        <v>722</v>
      </c>
      <c r="B678" t="s">
        <v>3530</v>
      </c>
      <c r="C678" t="s">
        <v>3401</v>
      </c>
      <c r="D678" t="s">
        <v>3551</v>
      </c>
      <c r="E678" t="s">
        <v>3550</v>
      </c>
      <c r="F678" t="s">
        <v>3547</v>
      </c>
      <c r="G678" t="s">
        <v>3549</v>
      </c>
      <c r="H678" t="s">
        <v>3852</v>
      </c>
      <c r="I678" t="s">
        <v>8742</v>
      </c>
      <c r="K678" t="s">
        <v>3851</v>
      </c>
      <c r="N678" t="str">
        <f t="shared" si="31"/>
        <v>Szanowna Pani</v>
      </c>
      <c r="Q678" s="19" t="s">
        <v>9776</v>
      </c>
      <c r="U678" t="str">
        <f t="shared" si="32"/>
        <v>tak</v>
      </c>
    </row>
    <row r="679" spans="1:21">
      <c r="A679">
        <v>723</v>
      </c>
      <c r="B679" t="s">
        <v>3530</v>
      </c>
      <c r="C679" t="s">
        <v>3401</v>
      </c>
      <c r="D679" t="s">
        <v>3348</v>
      </c>
      <c r="E679" t="s">
        <v>3855</v>
      </c>
      <c r="F679" t="s">
        <v>3547</v>
      </c>
      <c r="G679" t="s">
        <v>3854</v>
      </c>
      <c r="H679" t="s">
        <v>3853</v>
      </c>
      <c r="I679" t="s">
        <v>8743</v>
      </c>
      <c r="K679" t="s">
        <v>164</v>
      </c>
      <c r="N679" t="str">
        <f t="shared" si="31"/>
        <v>Szanowna Pani</v>
      </c>
      <c r="O679" s="19" t="s">
        <v>9776</v>
      </c>
      <c r="U679" t="str">
        <f t="shared" si="32"/>
        <v>tak</v>
      </c>
    </row>
    <row r="680" spans="1:21">
      <c r="A680">
        <v>724</v>
      </c>
      <c r="B680" t="s">
        <v>3530</v>
      </c>
      <c r="C680" t="s">
        <v>3402</v>
      </c>
      <c r="D680" t="s">
        <v>345</v>
      </c>
      <c r="E680" t="s">
        <v>3403</v>
      </c>
      <c r="F680" t="s">
        <v>3404</v>
      </c>
      <c r="G680" t="s">
        <v>3552</v>
      </c>
      <c r="H680" t="s">
        <v>3856</v>
      </c>
      <c r="I680" t="s">
        <v>8744</v>
      </c>
      <c r="K680" t="s">
        <v>164</v>
      </c>
      <c r="N680" t="str">
        <f t="shared" si="31"/>
        <v>Szanowna Pani</v>
      </c>
      <c r="O680" s="19" t="s">
        <v>9776</v>
      </c>
      <c r="U680" t="str">
        <f t="shared" si="32"/>
        <v>tak</v>
      </c>
    </row>
    <row r="681" spans="1:21">
      <c r="A681">
        <v>725</v>
      </c>
      <c r="B681" t="s">
        <v>3530</v>
      </c>
      <c r="C681" t="s">
        <v>3402</v>
      </c>
      <c r="D681" t="s">
        <v>3860</v>
      </c>
      <c r="E681" t="s">
        <v>3859</v>
      </c>
      <c r="F681" t="s">
        <v>3404</v>
      </c>
      <c r="G681" t="s">
        <v>3858</v>
      </c>
      <c r="H681" t="s">
        <v>3857</v>
      </c>
      <c r="I681" t="s">
        <v>8745</v>
      </c>
      <c r="K681" t="s">
        <v>3405</v>
      </c>
      <c r="L681" t="s">
        <v>165</v>
      </c>
      <c r="M681" t="s">
        <v>224</v>
      </c>
      <c r="N681" t="str">
        <f t="shared" si="31"/>
        <v>Szanowna Pani</v>
      </c>
      <c r="P681" s="19" t="s">
        <v>9776</v>
      </c>
      <c r="Q681" s="19" t="s">
        <v>9776</v>
      </c>
      <c r="U681" t="str">
        <f t="shared" si="32"/>
        <v>taktak</v>
      </c>
    </row>
    <row r="682" spans="1:21">
      <c r="A682">
        <v>726</v>
      </c>
      <c r="B682" t="s">
        <v>3530</v>
      </c>
      <c r="C682" t="s">
        <v>3406</v>
      </c>
      <c r="D682" t="s">
        <v>3843</v>
      </c>
      <c r="E682" t="s">
        <v>3861</v>
      </c>
      <c r="F682" t="s">
        <v>3555</v>
      </c>
      <c r="G682" t="s">
        <v>3554</v>
      </c>
      <c r="H682" t="s">
        <v>3553</v>
      </c>
      <c r="I682" t="s">
        <v>8746</v>
      </c>
      <c r="K682" t="s">
        <v>224</v>
      </c>
      <c r="N682" t="str">
        <f t="shared" si="31"/>
        <v>Szanowna Pani</v>
      </c>
      <c r="Q682" s="19" t="s">
        <v>9776</v>
      </c>
      <c r="U682" t="str">
        <f t="shared" si="32"/>
        <v>tak</v>
      </c>
    </row>
    <row r="683" spans="1:21">
      <c r="A683">
        <v>727</v>
      </c>
      <c r="B683" t="s">
        <v>3530</v>
      </c>
      <c r="C683" t="s">
        <v>3407</v>
      </c>
      <c r="D683" t="s">
        <v>3561</v>
      </c>
      <c r="E683" t="s">
        <v>3560</v>
      </c>
      <c r="F683" t="s">
        <v>3559</v>
      </c>
      <c r="G683" t="s">
        <v>3558</v>
      </c>
      <c r="H683" t="s">
        <v>3556</v>
      </c>
      <c r="I683" t="s">
        <v>3557</v>
      </c>
      <c r="K683" t="s">
        <v>164</v>
      </c>
      <c r="N683" t="str">
        <f t="shared" si="31"/>
        <v>Szanowna Pani</v>
      </c>
      <c r="O683" s="19" t="s">
        <v>9776</v>
      </c>
      <c r="U683" t="str">
        <f t="shared" si="32"/>
        <v>tak</v>
      </c>
    </row>
    <row r="684" spans="1:21">
      <c r="A684">
        <v>728</v>
      </c>
      <c r="B684" t="s">
        <v>3530</v>
      </c>
      <c r="C684" t="s">
        <v>3407</v>
      </c>
      <c r="D684" t="s">
        <v>3561</v>
      </c>
      <c r="E684" t="s">
        <v>3560</v>
      </c>
      <c r="F684" t="s">
        <v>3559</v>
      </c>
      <c r="G684" t="s">
        <v>3558</v>
      </c>
      <c r="H684" t="s">
        <v>3562</v>
      </c>
      <c r="I684" t="s">
        <v>8747</v>
      </c>
      <c r="K684" t="s">
        <v>3412</v>
      </c>
      <c r="N684" t="str">
        <f t="shared" si="31"/>
        <v>Szanowna Pani</v>
      </c>
      <c r="P684" s="19" t="s">
        <v>9776</v>
      </c>
      <c r="Q684" s="19" t="s">
        <v>9776</v>
      </c>
      <c r="U684" t="str">
        <f t="shared" si="32"/>
        <v>taktak</v>
      </c>
    </row>
    <row r="685" spans="1:21">
      <c r="A685">
        <v>729</v>
      </c>
      <c r="B685" t="s">
        <v>3530</v>
      </c>
      <c r="C685" t="s">
        <v>3408</v>
      </c>
      <c r="D685" t="s">
        <v>166</v>
      </c>
      <c r="E685" t="s">
        <v>3409</v>
      </c>
      <c r="F685" t="s">
        <v>3410</v>
      </c>
      <c r="G685" t="s">
        <v>3564</v>
      </c>
      <c r="H685" t="s">
        <v>3563</v>
      </c>
      <c r="I685" t="s">
        <v>8748</v>
      </c>
      <c r="K685" t="s">
        <v>164</v>
      </c>
      <c r="N685" t="str">
        <f t="shared" si="31"/>
        <v>Szanowna Pani</v>
      </c>
      <c r="O685" s="19" t="s">
        <v>9776</v>
      </c>
      <c r="U685" t="str">
        <f t="shared" si="32"/>
        <v>tak</v>
      </c>
    </row>
    <row r="686" spans="1:21">
      <c r="A686">
        <v>730</v>
      </c>
      <c r="B686" t="s">
        <v>3530</v>
      </c>
      <c r="C686" t="s">
        <v>3411</v>
      </c>
      <c r="D686" t="s">
        <v>3568</v>
      </c>
      <c r="E686" t="s">
        <v>3567</v>
      </c>
      <c r="F686" t="s">
        <v>3404</v>
      </c>
      <c r="G686" t="s">
        <v>3566</v>
      </c>
      <c r="H686" t="s">
        <v>3565</v>
      </c>
      <c r="I686" t="s">
        <v>8749</v>
      </c>
      <c r="K686" t="s">
        <v>3412</v>
      </c>
      <c r="N686" t="str">
        <f t="shared" si="31"/>
        <v>Szanowna Pani</v>
      </c>
      <c r="P686" s="19" t="s">
        <v>9776</v>
      </c>
      <c r="Q686" s="19" t="s">
        <v>9776</v>
      </c>
      <c r="U686" t="str">
        <f t="shared" si="32"/>
        <v>taktak</v>
      </c>
    </row>
    <row r="687" spans="1:21">
      <c r="A687">
        <v>731</v>
      </c>
      <c r="B687" t="s">
        <v>3530</v>
      </c>
      <c r="C687" t="s">
        <v>3413</v>
      </c>
      <c r="D687" t="s">
        <v>251</v>
      </c>
      <c r="E687" t="s">
        <v>3414</v>
      </c>
      <c r="F687" t="s">
        <v>3415</v>
      </c>
      <c r="G687" t="s">
        <v>3570</v>
      </c>
      <c r="H687" t="s">
        <v>3569</v>
      </c>
      <c r="I687" t="s">
        <v>8750</v>
      </c>
      <c r="K687" t="s">
        <v>164</v>
      </c>
      <c r="N687" t="str">
        <f t="shared" si="31"/>
        <v>Szanowna Pani</v>
      </c>
      <c r="O687" s="19" t="s">
        <v>9776</v>
      </c>
      <c r="U687" t="str">
        <f t="shared" si="32"/>
        <v>tak</v>
      </c>
    </row>
    <row r="688" spans="1:21">
      <c r="A688">
        <v>732</v>
      </c>
      <c r="B688" t="s">
        <v>3530</v>
      </c>
      <c r="C688" t="s">
        <v>3413</v>
      </c>
      <c r="D688" t="s">
        <v>3574</v>
      </c>
      <c r="E688" t="s">
        <v>3573</v>
      </c>
      <c r="F688" t="s">
        <v>3415</v>
      </c>
      <c r="G688" t="s">
        <v>3572</v>
      </c>
      <c r="H688" t="s">
        <v>3571</v>
      </c>
      <c r="I688" t="s">
        <v>8751</v>
      </c>
      <c r="K688" t="s">
        <v>164</v>
      </c>
      <c r="N688" t="str">
        <f t="shared" si="31"/>
        <v>Szanowna Pani</v>
      </c>
      <c r="O688" s="19" t="s">
        <v>9776</v>
      </c>
      <c r="U688" t="str">
        <f t="shared" si="32"/>
        <v>tak</v>
      </c>
    </row>
    <row r="689" spans="1:21">
      <c r="A689">
        <v>733</v>
      </c>
      <c r="B689" t="s">
        <v>3530</v>
      </c>
      <c r="C689" t="s">
        <v>3413</v>
      </c>
      <c r="D689" t="s">
        <v>3574</v>
      </c>
      <c r="E689" t="s">
        <v>3573</v>
      </c>
      <c r="F689" t="s">
        <v>3415</v>
      </c>
      <c r="G689" t="s">
        <v>3572</v>
      </c>
      <c r="H689" t="s">
        <v>3571</v>
      </c>
      <c r="I689" t="s">
        <v>8751</v>
      </c>
      <c r="K689" t="s">
        <v>3412</v>
      </c>
      <c r="N689" t="str">
        <f t="shared" si="31"/>
        <v>Szanowna Pani</v>
      </c>
      <c r="P689" s="19" t="s">
        <v>9776</v>
      </c>
      <c r="Q689" s="19" t="s">
        <v>9776</v>
      </c>
      <c r="U689" t="str">
        <f t="shared" si="32"/>
        <v>taktak</v>
      </c>
    </row>
    <row r="690" spans="1:21">
      <c r="A690">
        <v>734</v>
      </c>
      <c r="B690" t="s">
        <v>3530</v>
      </c>
      <c r="C690" t="s">
        <v>3413</v>
      </c>
      <c r="D690" t="s">
        <v>3578</v>
      </c>
      <c r="E690" t="s">
        <v>3577</v>
      </c>
      <c r="F690" t="s">
        <v>3415</v>
      </c>
      <c r="G690" t="s">
        <v>3576</v>
      </c>
      <c r="H690" t="s">
        <v>3575</v>
      </c>
      <c r="I690" t="s">
        <v>8752</v>
      </c>
      <c r="K690" t="s">
        <v>164</v>
      </c>
      <c r="N690" t="str">
        <f t="shared" si="31"/>
        <v>Szanowna Pani</v>
      </c>
      <c r="O690" s="19" t="s">
        <v>9776</v>
      </c>
      <c r="U690" t="str">
        <f t="shared" si="32"/>
        <v>tak</v>
      </c>
    </row>
    <row r="691" spans="1:21">
      <c r="A691">
        <v>735</v>
      </c>
      <c r="B691" t="s">
        <v>3530</v>
      </c>
      <c r="C691" t="s">
        <v>3844</v>
      </c>
      <c r="D691" t="s">
        <v>3583</v>
      </c>
      <c r="E691" t="s">
        <v>3582</v>
      </c>
      <c r="F691" t="s">
        <v>3581</v>
      </c>
      <c r="G691" t="s">
        <v>3580</v>
      </c>
      <c r="H691" t="s">
        <v>3579</v>
      </c>
      <c r="I691" t="s">
        <v>8753</v>
      </c>
      <c r="K691" t="s">
        <v>164</v>
      </c>
      <c r="N691" t="str">
        <f t="shared" si="31"/>
        <v>Szanowna Pani</v>
      </c>
      <c r="O691" s="19" t="s">
        <v>9776</v>
      </c>
      <c r="U691" t="str">
        <f t="shared" si="32"/>
        <v>tak</v>
      </c>
    </row>
    <row r="692" spans="1:21">
      <c r="A692">
        <v>736</v>
      </c>
      <c r="B692" t="s">
        <v>3530</v>
      </c>
      <c r="C692" t="s">
        <v>3416</v>
      </c>
      <c r="D692" t="s">
        <v>166</v>
      </c>
      <c r="E692" t="s">
        <v>3587</v>
      </c>
      <c r="F692" t="s">
        <v>3586</v>
      </c>
      <c r="G692" t="s">
        <v>3585</v>
      </c>
      <c r="H692" t="s">
        <v>3584</v>
      </c>
      <c r="I692" t="s">
        <v>8754</v>
      </c>
      <c r="K692" t="s">
        <v>164</v>
      </c>
      <c r="N692" t="str">
        <f t="shared" si="31"/>
        <v>Szanowna Pani</v>
      </c>
      <c r="O692" s="19" t="s">
        <v>9776</v>
      </c>
      <c r="U692" t="str">
        <f t="shared" si="32"/>
        <v>tak</v>
      </c>
    </row>
    <row r="693" spans="1:21">
      <c r="A693">
        <v>737</v>
      </c>
      <c r="B693" t="s">
        <v>3530</v>
      </c>
      <c r="C693" t="s">
        <v>3845</v>
      </c>
      <c r="D693" t="s">
        <v>166</v>
      </c>
      <c r="E693" t="s">
        <v>3417</v>
      </c>
      <c r="F693" t="s">
        <v>3590</v>
      </c>
      <c r="G693" t="s">
        <v>3589</v>
      </c>
      <c r="H693" t="s">
        <v>3588</v>
      </c>
      <c r="I693" t="s">
        <v>8755</v>
      </c>
      <c r="K693" t="s">
        <v>164</v>
      </c>
      <c r="N693" t="str">
        <f t="shared" si="31"/>
        <v>Szanowna Pani</v>
      </c>
      <c r="O693" s="19" t="s">
        <v>9776</v>
      </c>
      <c r="U693" t="str">
        <f t="shared" si="32"/>
        <v>tak</v>
      </c>
    </row>
    <row r="694" spans="1:21">
      <c r="A694">
        <v>738</v>
      </c>
      <c r="B694" t="s">
        <v>3530</v>
      </c>
      <c r="C694" t="s">
        <v>3418</v>
      </c>
      <c r="D694" t="s">
        <v>3595</v>
      </c>
      <c r="E694" t="s">
        <v>3594</v>
      </c>
      <c r="F694" t="s">
        <v>3593</v>
      </c>
      <c r="G694" t="s">
        <v>3592</v>
      </c>
      <c r="H694" t="s">
        <v>3591</v>
      </c>
      <c r="I694" t="s">
        <v>8756</v>
      </c>
      <c r="K694" t="s">
        <v>164</v>
      </c>
      <c r="N694" t="str">
        <f t="shared" si="31"/>
        <v>Szanowna Pani</v>
      </c>
      <c r="O694" s="19" t="s">
        <v>9776</v>
      </c>
      <c r="U694" t="str">
        <f t="shared" si="32"/>
        <v>tak</v>
      </c>
    </row>
    <row r="695" spans="1:21">
      <c r="A695">
        <v>739</v>
      </c>
      <c r="B695" t="s">
        <v>3530</v>
      </c>
      <c r="C695" t="s">
        <v>3846</v>
      </c>
      <c r="D695" t="s">
        <v>3863</v>
      </c>
      <c r="E695" t="s">
        <v>3862</v>
      </c>
      <c r="F695" t="s">
        <v>3598</v>
      </c>
      <c r="G695" t="s">
        <v>3597</v>
      </c>
      <c r="H695" t="s">
        <v>3596</v>
      </c>
      <c r="I695" t="s">
        <v>8757</v>
      </c>
      <c r="K695" t="s">
        <v>164</v>
      </c>
      <c r="N695" t="str">
        <f t="shared" si="31"/>
        <v>Szanowna Pani</v>
      </c>
      <c r="O695" s="19" t="s">
        <v>9776</v>
      </c>
      <c r="U695" t="str">
        <f t="shared" si="32"/>
        <v>tak</v>
      </c>
    </row>
    <row r="696" spans="1:21">
      <c r="A696">
        <v>740</v>
      </c>
      <c r="B696" t="s">
        <v>3530</v>
      </c>
      <c r="C696" t="s">
        <v>3419</v>
      </c>
      <c r="D696" t="s">
        <v>3603</v>
      </c>
      <c r="E696" t="s">
        <v>3602</v>
      </c>
      <c r="F696" t="s">
        <v>3601</v>
      </c>
      <c r="G696" t="s">
        <v>3600</v>
      </c>
      <c r="H696" t="s">
        <v>3599</v>
      </c>
      <c r="I696" t="s">
        <v>8758</v>
      </c>
      <c r="K696" t="s">
        <v>164</v>
      </c>
      <c r="N696" t="str">
        <f t="shared" si="31"/>
        <v>Szanowna Pani</v>
      </c>
      <c r="O696" s="19" t="s">
        <v>9776</v>
      </c>
      <c r="U696" t="str">
        <f t="shared" si="32"/>
        <v>tak</v>
      </c>
    </row>
    <row r="697" spans="1:21">
      <c r="A697">
        <v>741</v>
      </c>
      <c r="B697" t="s">
        <v>3530</v>
      </c>
      <c r="C697" t="s">
        <v>3419</v>
      </c>
      <c r="D697" t="s">
        <v>3603</v>
      </c>
      <c r="E697" t="s">
        <v>3602</v>
      </c>
      <c r="F697" t="s">
        <v>3601</v>
      </c>
      <c r="G697" t="s">
        <v>3600</v>
      </c>
      <c r="H697" t="s">
        <v>3604</v>
      </c>
      <c r="I697" t="s">
        <v>8759</v>
      </c>
      <c r="K697" t="s">
        <v>3412</v>
      </c>
      <c r="N697" t="str">
        <f t="shared" si="31"/>
        <v>Szanowna Pani</v>
      </c>
      <c r="P697" s="19" t="s">
        <v>9776</v>
      </c>
      <c r="Q697" s="19" t="s">
        <v>9776</v>
      </c>
      <c r="U697" t="str">
        <f t="shared" si="32"/>
        <v>taktak</v>
      </c>
    </row>
    <row r="698" spans="1:21">
      <c r="A698">
        <v>742</v>
      </c>
      <c r="B698" t="s">
        <v>3530</v>
      </c>
      <c r="C698" t="s">
        <v>3420</v>
      </c>
      <c r="D698" t="s">
        <v>251</v>
      </c>
      <c r="E698" t="s">
        <v>3608</v>
      </c>
      <c r="F698" t="s">
        <v>3607</v>
      </c>
      <c r="G698" t="s">
        <v>3606</v>
      </c>
      <c r="H698" t="s">
        <v>3605</v>
      </c>
      <c r="I698" t="s">
        <v>8760</v>
      </c>
      <c r="K698" t="s">
        <v>164</v>
      </c>
      <c r="N698" t="str">
        <f t="shared" si="31"/>
        <v>Szanowna Pani</v>
      </c>
      <c r="O698" s="19" t="s">
        <v>9776</v>
      </c>
      <c r="U698" t="str">
        <f t="shared" si="32"/>
        <v>tak</v>
      </c>
    </row>
    <row r="699" spans="1:21">
      <c r="A699">
        <v>743</v>
      </c>
      <c r="B699" t="s">
        <v>3530</v>
      </c>
      <c r="C699" t="s">
        <v>3420</v>
      </c>
      <c r="D699" t="s">
        <v>251</v>
      </c>
      <c r="E699" t="s">
        <v>3608</v>
      </c>
      <c r="F699" t="s">
        <v>3607</v>
      </c>
      <c r="G699" t="s">
        <v>3606</v>
      </c>
      <c r="H699" t="s">
        <v>3605</v>
      </c>
      <c r="I699" t="s">
        <v>8760</v>
      </c>
      <c r="K699" t="s">
        <v>3864</v>
      </c>
      <c r="L699" t="s">
        <v>165</v>
      </c>
      <c r="M699" t="s">
        <v>224</v>
      </c>
      <c r="N699" t="str">
        <f t="shared" si="31"/>
        <v>Szanowna Pani</v>
      </c>
      <c r="P699" s="19" t="s">
        <v>9776</v>
      </c>
      <c r="Q699" s="19" t="s">
        <v>9776</v>
      </c>
      <c r="U699" t="str">
        <f t="shared" si="32"/>
        <v>taktak</v>
      </c>
    </row>
    <row r="700" spans="1:21">
      <c r="A700">
        <v>744</v>
      </c>
      <c r="B700" t="s">
        <v>3530</v>
      </c>
      <c r="C700" t="s">
        <v>3420</v>
      </c>
      <c r="D700" t="s">
        <v>3868</v>
      </c>
      <c r="E700" t="s">
        <v>3867</v>
      </c>
      <c r="F700" t="s">
        <v>3607</v>
      </c>
      <c r="G700" t="s">
        <v>3866</v>
      </c>
      <c r="H700" t="s">
        <v>3865</v>
      </c>
      <c r="I700" t="s">
        <v>8761</v>
      </c>
      <c r="K700" t="s">
        <v>164</v>
      </c>
      <c r="N700" t="str">
        <f t="shared" si="31"/>
        <v>Szanowna Pani</v>
      </c>
      <c r="O700" s="19" t="s">
        <v>9776</v>
      </c>
      <c r="U700" t="str">
        <f t="shared" si="32"/>
        <v>tak</v>
      </c>
    </row>
    <row r="701" spans="1:21">
      <c r="A701">
        <v>745</v>
      </c>
      <c r="B701" t="s">
        <v>3530</v>
      </c>
      <c r="C701" t="s">
        <v>3847</v>
      </c>
      <c r="D701" t="s">
        <v>166</v>
      </c>
      <c r="E701" t="s">
        <v>3869</v>
      </c>
      <c r="F701" t="s">
        <v>3611</v>
      </c>
      <c r="G701" t="s">
        <v>3610</v>
      </c>
      <c r="H701" t="s">
        <v>3609</v>
      </c>
      <c r="I701" t="s">
        <v>8762</v>
      </c>
      <c r="K701" t="s">
        <v>164</v>
      </c>
      <c r="N701" t="str">
        <f t="shared" si="31"/>
        <v>Szanowna Pani</v>
      </c>
      <c r="O701" s="19" t="s">
        <v>9776</v>
      </c>
      <c r="U701" t="str">
        <f t="shared" si="32"/>
        <v>tak</v>
      </c>
    </row>
    <row r="702" spans="1:21">
      <c r="A702">
        <v>746</v>
      </c>
      <c r="B702" t="s">
        <v>3530</v>
      </c>
      <c r="C702" t="s">
        <v>3421</v>
      </c>
      <c r="D702" t="s">
        <v>166</v>
      </c>
      <c r="E702" t="s">
        <v>3615</v>
      </c>
      <c r="F702" t="s">
        <v>3614</v>
      </c>
      <c r="G702" t="s">
        <v>3613</v>
      </c>
      <c r="H702" t="s">
        <v>3612</v>
      </c>
      <c r="I702" t="s">
        <v>8763</v>
      </c>
      <c r="K702" t="s">
        <v>3412</v>
      </c>
      <c r="L702" t="s">
        <v>165</v>
      </c>
      <c r="M702" t="s">
        <v>224</v>
      </c>
      <c r="N702" t="str">
        <f t="shared" si="31"/>
        <v>Szanowna Pani</v>
      </c>
      <c r="P702" s="19" t="s">
        <v>9776</v>
      </c>
      <c r="Q702" s="19" t="s">
        <v>9776</v>
      </c>
      <c r="U702" t="str">
        <f t="shared" si="32"/>
        <v>taktak</v>
      </c>
    </row>
    <row r="703" spans="1:21">
      <c r="A703">
        <v>747</v>
      </c>
      <c r="B703" t="s">
        <v>3530</v>
      </c>
      <c r="C703" t="s">
        <v>3422</v>
      </c>
      <c r="D703" t="s">
        <v>345</v>
      </c>
      <c r="E703" t="s">
        <v>3618</v>
      </c>
      <c r="F703" t="s">
        <v>3617</v>
      </c>
      <c r="G703" t="s">
        <v>3616</v>
      </c>
      <c r="H703" t="s">
        <v>3870</v>
      </c>
      <c r="I703" t="s">
        <v>8764</v>
      </c>
      <c r="K703" t="s">
        <v>164</v>
      </c>
      <c r="N703" t="str">
        <f t="shared" si="31"/>
        <v>Szanowna Pani</v>
      </c>
      <c r="O703" s="19" t="s">
        <v>9776</v>
      </c>
      <c r="U703" t="str">
        <f t="shared" si="32"/>
        <v>tak</v>
      </c>
    </row>
    <row r="704" spans="1:21">
      <c r="A704">
        <v>748</v>
      </c>
      <c r="B704" t="s">
        <v>3530</v>
      </c>
      <c r="C704" t="s">
        <v>3422</v>
      </c>
      <c r="D704" t="s">
        <v>345</v>
      </c>
      <c r="E704" t="s">
        <v>3618</v>
      </c>
      <c r="F704" t="s">
        <v>3617</v>
      </c>
      <c r="G704" t="s">
        <v>3616</v>
      </c>
      <c r="H704" t="s">
        <v>3871</v>
      </c>
      <c r="I704" t="s">
        <v>8764</v>
      </c>
      <c r="K704" t="s">
        <v>165</v>
      </c>
      <c r="N704" t="str">
        <f t="shared" si="31"/>
        <v>Szanowna Pani</v>
      </c>
      <c r="P704" s="19" t="s">
        <v>9776</v>
      </c>
      <c r="U704" t="str">
        <f t="shared" si="32"/>
        <v>tak</v>
      </c>
    </row>
    <row r="705" spans="1:21">
      <c r="A705">
        <v>749</v>
      </c>
      <c r="B705" t="s">
        <v>3530</v>
      </c>
      <c r="C705" t="s">
        <v>3423</v>
      </c>
      <c r="D705" t="s">
        <v>166</v>
      </c>
      <c r="E705" t="s">
        <v>3622</v>
      </c>
      <c r="F705" t="s">
        <v>3621</v>
      </c>
      <c r="G705" t="s">
        <v>3620</v>
      </c>
      <c r="H705" t="s">
        <v>3619</v>
      </c>
      <c r="I705" t="s">
        <v>8765</v>
      </c>
      <c r="K705" t="s">
        <v>164</v>
      </c>
      <c r="N705" t="str">
        <f t="shared" si="31"/>
        <v>Szanowna Pani</v>
      </c>
      <c r="O705" s="19" t="s">
        <v>9776</v>
      </c>
      <c r="U705" t="str">
        <f t="shared" si="32"/>
        <v>tak</v>
      </c>
    </row>
    <row r="706" spans="1:21">
      <c r="A706">
        <v>750</v>
      </c>
      <c r="B706" t="s">
        <v>3530</v>
      </c>
      <c r="C706" t="s">
        <v>3424</v>
      </c>
      <c r="D706" t="s">
        <v>251</v>
      </c>
      <c r="E706" t="s">
        <v>3626</v>
      </c>
      <c r="F706" t="s">
        <v>3625</v>
      </c>
      <c r="G706" t="s">
        <v>3624</v>
      </c>
      <c r="H706" t="s">
        <v>3623</v>
      </c>
      <c r="I706" t="s">
        <v>8766</v>
      </c>
      <c r="K706" t="s">
        <v>164</v>
      </c>
      <c r="N706" t="str">
        <f t="shared" si="31"/>
        <v>Szanowna Pani</v>
      </c>
      <c r="O706" s="19" t="s">
        <v>9776</v>
      </c>
      <c r="U706" t="str">
        <f t="shared" si="32"/>
        <v>tak</v>
      </c>
    </row>
    <row r="707" spans="1:21">
      <c r="A707">
        <v>751</v>
      </c>
      <c r="B707" t="s">
        <v>3530</v>
      </c>
      <c r="C707" t="s">
        <v>3425</v>
      </c>
      <c r="D707" t="s">
        <v>3426</v>
      </c>
      <c r="E707" t="s">
        <v>3427</v>
      </c>
      <c r="F707" t="s">
        <v>3428</v>
      </c>
      <c r="G707" t="s">
        <v>3628</v>
      </c>
      <c r="H707" t="s">
        <v>3627</v>
      </c>
      <c r="I707" t="s">
        <v>8767</v>
      </c>
      <c r="K707" t="s">
        <v>164</v>
      </c>
      <c r="N707" t="str">
        <f t="shared" si="31"/>
        <v>Szanowna Pani</v>
      </c>
      <c r="O707" s="19" t="s">
        <v>9776</v>
      </c>
      <c r="U707" t="str">
        <f t="shared" ref="U707:U742" si="33">+O707 &amp;P707&amp;Q707</f>
        <v>tak</v>
      </c>
    </row>
    <row r="708" spans="1:21">
      <c r="A708">
        <v>752</v>
      </c>
      <c r="B708" t="s">
        <v>3530</v>
      </c>
      <c r="C708" t="s">
        <v>3429</v>
      </c>
      <c r="D708" t="s">
        <v>3633</v>
      </c>
      <c r="E708" t="s">
        <v>3632</v>
      </c>
      <c r="F708" t="s">
        <v>3631</v>
      </c>
      <c r="G708" t="s">
        <v>3630</v>
      </c>
      <c r="H708" t="s">
        <v>3629</v>
      </c>
      <c r="I708" t="s">
        <v>8768</v>
      </c>
      <c r="K708" t="s">
        <v>164</v>
      </c>
      <c r="N708" t="str">
        <f t="shared" si="31"/>
        <v>Szanowna Pani</v>
      </c>
      <c r="O708" s="19" t="s">
        <v>9776</v>
      </c>
      <c r="U708" t="str">
        <f t="shared" si="33"/>
        <v>tak</v>
      </c>
    </row>
    <row r="709" spans="1:21">
      <c r="A709">
        <v>753</v>
      </c>
      <c r="B709" t="s">
        <v>3530</v>
      </c>
      <c r="C709" t="s">
        <v>3430</v>
      </c>
      <c r="D709" t="s">
        <v>3893</v>
      </c>
      <c r="E709" t="s">
        <v>3637</v>
      </c>
      <c r="F709" t="s">
        <v>3636</v>
      </c>
      <c r="G709" t="s">
        <v>3635</v>
      </c>
      <c r="H709" t="s">
        <v>3634</v>
      </c>
      <c r="I709" t="s">
        <v>8769</v>
      </c>
      <c r="K709" t="s">
        <v>164</v>
      </c>
      <c r="N709" t="str">
        <f t="shared" si="31"/>
        <v>Szanowna Pani</v>
      </c>
      <c r="O709" s="19" t="s">
        <v>9776</v>
      </c>
      <c r="U709" t="str">
        <f t="shared" si="33"/>
        <v>tak</v>
      </c>
    </row>
    <row r="710" spans="1:21">
      <c r="A710">
        <v>754</v>
      </c>
      <c r="B710" t="s">
        <v>3530</v>
      </c>
      <c r="C710" t="s">
        <v>3431</v>
      </c>
      <c r="D710" t="s">
        <v>166</v>
      </c>
      <c r="E710" t="s">
        <v>1628</v>
      </c>
      <c r="F710" t="s">
        <v>3640</v>
      </c>
      <c r="G710" t="s">
        <v>3639</v>
      </c>
      <c r="H710" t="s">
        <v>3638</v>
      </c>
      <c r="I710" t="s">
        <v>8770</v>
      </c>
      <c r="K710" t="s">
        <v>164</v>
      </c>
      <c r="N710" t="str">
        <f t="shared" si="31"/>
        <v>Szanowna Pani</v>
      </c>
      <c r="O710" s="19" t="s">
        <v>9776</v>
      </c>
      <c r="U710" t="str">
        <f t="shared" si="33"/>
        <v>tak</v>
      </c>
    </row>
    <row r="711" spans="1:21">
      <c r="A711">
        <v>755</v>
      </c>
      <c r="B711" t="s">
        <v>3530</v>
      </c>
      <c r="C711" t="s">
        <v>3432</v>
      </c>
      <c r="D711" t="s">
        <v>166</v>
      </c>
      <c r="E711" t="s">
        <v>3644</v>
      </c>
      <c r="F711" t="s">
        <v>3643</v>
      </c>
      <c r="G711" t="s">
        <v>3642</v>
      </c>
      <c r="H711" t="s">
        <v>3641</v>
      </c>
      <c r="I711" t="s">
        <v>8771</v>
      </c>
      <c r="K711" t="s">
        <v>164</v>
      </c>
      <c r="N711" t="str">
        <f t="shared" si="31"/>
        <v>Szanowna Pani</v>
      </c>
      <c r="O711" s="19" t="s">
        <v>9776</v>
      </c>
      <c r="U711" t="str">
        <f t="shared" si="33"/>
        <v>tak</v>
      </c>
    </row>
    <row r="712" spans="1:21">
      <c r="A712">
        <v>756</v>
      </c>
      <c r="B712" t="s">
        <v>3530</v>
      </c>
      <c r="C712" t="s">
        <v>3433</v>
      </c>
      <c r="D712" t="s">
        <v>3434</v>
      </c>
      <c r="E712" t="s">
        <v>3647</v>
      </c>
      <c r="F712" t="s">
        <v>3404</v>
      </c>
      <c r="G712" t="s">
        <v>3646</v>
      </c>
      <c r="H712" t="s">
        <v>3645</v>
      </c>
      <c r="I712" t="s">
        <v>8772</v>
      </c>
      <c r="K712" t="s">
        <v>3412</v>
      </c>
      <c r="L712" t="s">
        <v>165</v>
      </c>
      <c r="M712" t="s">
        <v>224</v>
      </c>
      <c r="N712" t="str">
        <f t="shared" si="31"/>
        <v>Szanowna Pani</v>
      </c>
      <c r="P712" s="19" t="s">
        <v>9776</v>
      </c>
      <c r="Q712" s="19" t="s">
        <v>9776</v>
      </c>
      <c r="U712" t="str">
        <f t="shared" si="33"/>
        <v>taktak</v>
      </c>
    </row>
    <row r="713" spans="1:21">
      <c r="A713">
        <v>757</v>
      </c>
      <c r="B713" t="s">
        <v>3530</v>
      </c>
      <c r="C713" t="s">
        <v>3435</v>
      </c>
      <c r="D713" t="s">
        <v>251</v>
      </c>
      <c r="E713" t="s">
        <v>3650</v>
      </c>
      <c r="F713" t="s">
        <v>3438</v>
      </c>
      <c r="G713" t="s">
        <v>3649</v>
      </c>
      <c r="H713" t="s">
        <v>3648</v>
      </c>
      <c r="I713" t="s">
        <v>8773</v>
      </c>
      <c r="K713" t="s">
        <v>164</v>
      </c>
      <c r="N713" t="str">
        <f t="shared" si="31"/>
        <v>Szanowna Pani</v>
      </c>
      <c r="O713" s="19" t="s">
        <v>9776</v>
      </c>
      <c r="U713" t="str">
        <f t="shared" si="33"/>
        <v>tak</v>
      </c>
    </row>
    <row r="714" spans="1:21">
      <c r="A714">
        <v>758</v>
      </c>
      <c r="B714" t="s">
        <v>3530</v>
      </c>
      <c r="C714" t="s">
        <v>3435</v>
      </c>
      <c r="D714" t="s">
        <v>3436</v>
      </c>
      <c r="E714" t="s">
        <v>3437</v>
      </c>
      <c r="F714" t="s">
        <v>3438</v>
      </c>
      <c r="G714" t="s">
        <v>3651</v>
      </c>
      <c r="H714" t="s">
        <v>3872</v>
      </c>
      <c r="I714" t="s">
        <v>8774</v>
      </c>
      <c r="K714" t="s">
        <v>164</v>
      </c>
      <c r="N714" t="str">
        <f t="shared" si="31"/>
        <v>Szanowna Pani</v>
      </c>
      <c r="O714" s="19" t="s">
        <v>9776</v>
      </c>
      <c r="U714" t="str">
        <f t="shared" si="33"/>
        <v>tak</v>
      </c>
    </row>
    <row r="715" spans="1:21">
      <c r="A715">
        <v>759</v>
      </c>
      <c r="B715" t="s">
        <v>3530</v>
      </c>
      <c r="C715" t="s">
        <v>3435</v>
      </c>
      <c r="D715" t="s">
        <v>2099</v>
      </c>
      <c r="E715" t="s">
        <v>3439</v>
      </c>
      <c r="F715" t="s">
        <v>3438</v>
      </c>
      <c r="G715" t="s">
        <v>3874</v>
      </c>
      <c r="H715" t="s">
        <v>3873</v>
      </c>
      <c r="I715" t="s">
        <v>8775</v>
      </c>
      <c r="K715" t="s">
        <v>164</v>
      </c>
      <c r="N715" t="str">
        <f t="shared" si="31"/>
        <v>Szanowna Pani</v>
      </c>
      <c r="O715" s="19" t="s">
        <v>9776</v>
      </c>
      <c r="U715" t="str">
        <f t="shared" si="33"/>
        <v>tak</v>
      </c>
    </row>
    <row r="716" spans="1:21">
      <c r="A716">
        <v>760</v>
      </c>
      <c r="B716" t="s">
        <v>3530</v>
      </c>
      <c r="C716" t="s">
        <v>3440</v>
      </c>
      <c r="D716" t="s">
        <v>251</v>
      </c>
      <c r="E716" t="s">
        <v>3655</v>
      </c>
      <c r="F716" t="s">
        <v>3654</v>
      </c>
      <c r="G716" t="s">
        <v>3653</v>
      </c>
      <c r="H716" t="s">
        <v>3652</v>
      </c>
      <c r="I716" t="s">
        <v>8776</v>
      </c>
      <c r="K716" t="s">
        <v>3441</v>
      </c>
      <c r="N716" t="str">
        <f t="shared" si="31"/>
        <v>Szanowne Panie</v>
      </c>
      <c r="P716" s="19" t="s">
        <v>9776</v>
      </c>
      <c r="U716" t="str">
        <f t="shared" si="33"/>
        <v>tak</v>
      </c>
    </row>
    <row r="717" spans="1:21">
      <c r="A717">
        <v>761</v>
      </c>
      <c r="B717" t="s">
        <v>3530</v>
      </c>
      <c r="C717" t="s">
        <v>3440</v>
      </c>
      <c r="D717" t="s">
        <v>3443</v>
      </c>
      <c r="E717" t="s">
        <v>3444</v>
      </c>
      <c r="F717" t="s">
        <v>3445</v>
      </c>
      <c r="G717" t="s">
        <v>3657</v>
      </c>
      <c r="H717" t="s">
        <v>3656</v>
      </c>
      <c r="I717" t="s">
        <v>8777</v>
      </c>
      <c r="K717" t="s">
        <v>3442</v>
      </c>
      <c r="N717" t="str">
        <f t="shared" si="31"/>
        <v>Szanowna Pani</v>
      </c>
      <c r="P717" s="19" t="s">
        <v>9776</v>
      </c>
      <c r="U717" t="str">
        <f t="shared" si="33"/>
        <v>tak</v>
      </c>
    </row>
    <row r="718" spans="1:21">
      <c r="A718">
        <v>762</v>
      </c>
      <c r="B718" t="s">
        <v>3530</v>
      </c>
      <c r="C718" t="s">
        <v>3440</v>
      </c>
      <c r="D718" t="s">
        <v>3443</v>
      </c>
      <c r="E718" t="s">
        <v>3444</v>
      </c>
      <c r="F718" t="s">
        <v>3445</v>
      </c>
      <c r="G718" t="s">
        <v>3657</v>
      </c>
      <c r="H718" t="s">
        <v>3658</v>
      </c>
      <c r="I718" t="s">
        <v>8777</v>
      </c>
      <c r="K718" t="s">
        <v>164</v>
      </c>
      <c r="N718" t="str">
        <f t="shared" si="31"/>
        <v>Szanowne Panie</v>
      </c>
      <c r="O718" s="19" t="s">
        <v>9776</v>
      </c>
      <c r="U718" t="str">
        <f t="shared" si="33"/>
        <v>tak</v>
      </c>
    </row>
    <row r="719" spans="1:21">
      <c r="A719">
        <v>763</v>
      </c>
      <c r="B719" t="s">
        <v>3530</v>
      </c>
      <c r="C719" t="s">
        <v>3446</v>
      </c>
      <c r="D719" t="s">
        <v>3662</v>
      </c>
      <c r="E719" t="s">
        <v>3661</v>
      </c>
      <c r="F719" t="s">
        <v>3447</v>
      </c>
      <c r="G719" t="s">
        <v>3660</v>
      </c>
      <c r="H719" t="s">
        <v>3659</v>
      </c>
      <c r="I719" t="s">
        <v>8778</v>
      </c>
      <c r="K719" t="s">
        <v>3412</v>
      </c>
      <c r="L719" t="s">
        <v>165</v>
      </c>
      <c r="M719" t="s">
        <v>224</v>
      </c>
      <c r="N719" t="str">
        <f t="shared" si="31"/>
        <v>Szanowna Pani</v>
      </c>
      <c r="P719" s="19" t="s">
        <v>9776</v>
      </c>
      <c r="Q719" s="19" t="s">
        <v>9776</v>
      </c>
      <c r="U719" t="str">
        <f t="shared" si="33"/>
        <v>taktak</v>
      </c>
    </row>
    <row r="720" spans="1:21">
      <c r="A720">
        <v>764</v>
      </c>
      <c r="B720" t="s">
        <v>3530</v>
      </c>
      <c r="C720" t="s">
        <v>3448</v>
      </c>
      <c r="D720" t="s">
        <v>3666</v>
      </c>
      <c r="E720" t="s">
        <v>3665</v>
      </c>
      <c r="F720" t="s">
        <v>3451</v>
      </c>
      <c r="G720" t="s">
        <v>3664</v>
      </c>
      <c r="H720" t="s">
        <v>3663</v>
      </c>
      <c r="I720" t="s">
        <v>8779</v>
      </c>
      <c r="K720" t="s">
        <v>164</v>
      </c>
      <c r="N720" t="str">
        <f t="shared" si="31"/>
        <v>Szanowna Pani</v>
      </c>
      <c r="O720" s="19" t="s">
        <v>9776</v>
      </c>
      <c r="U720" t="str">
        <f t="shared" si="33"/>
        <v>tak</v>
      </c>
    </row>
    <row r="721" spans="1:22">
      <c r="A721">
        <v>765</v>
      </c>
      <c r="B721" t="s">
        <v>3530</v>
      </c>
      <c r="C721" t="s">
        <v>3449</v>
      </c>
      <c r="D721" t="s">
        <v>2099</v>
      </c>
      <c r="E721" t="s">
        <v>3450</v>
      </c>
      <c r="F721" t="s">
        <v>3451</v>
      </c>
      <c r="G721" t="s">
        <v>3668</v>
      </c>
      <c r="H721" t="s">
        <v>3667</v>
      </c>
      <c r="I721" t="s">
        <v>8780</v>
      </c>
      <c r="K721" t="s">
        <v>164</v>
      </c>
      <c r="N721" t="str">
        <f t="shared" si="31"/>
        <v>Szanowna Pani</v>
      </c>
      <c r="O721" s="19" t="s">
        <v>9776</v>
      </c>
      <c r="U721" t="str">
        <f t="shared" si="33"/>
        <v>tak</v>
      </c>
    </row>
    <row r="722" spans="1:22">
      <c r="A722">
        <v>766</v>
      </c>
      <c r="B722" t="s">
        <v>3530</v>
      </c>
      <c r="C722" t="s">
        <v>3449</v>
      </c>
      <c r="D722" t="s">
        <v>3673</v>
      </c>
      <c r="E722" t="s">
        <v>3672</v>
      </c>
      <c r="F722" t="s">
        <v>3671</v>
      </c>
      <c r="G722" t="s">
        <v>3670</v>
      </c>
      <c r="H722" t="s">
        <v>3669</v>
      </c>
      <c r="I722" s="15" t="s">
        <v>9742</v>
      </c>
      <c r="K722" t="s">
        <v>164</v>
      </c>
      <c r="N722" t="str">
        <f t="shared" si="31"/>
        <v>Szanowny Pan</v>
      </c>
      <c r="O722" s="19" t="s">
        <v>9776</v>
      </c>
      <c r="S722" t="s">
        <v>9712</v>
      </c>
      <c r="U722" t="str">
        <f t="shared" si="33"/>
        <v>tak</v>
      </c>
      <c r="V722" s="15"/>
    </row>
    <row r="723" spans="1:22">
      <c r="A723">
        <v>767</v>
      </c>
      <c r="B723" t="s">
        <v>3530</v>
      </c>
      <c r="C723" t="s">
        <v>3449</v>
      </c>
      <c r="D723" t="s">
        <v>3452</v>
      </c>
      <c r="E723" t="s">
        <v>3672</v>
      </c>
      <c r="F723" t="s">
        <v>3671</v>
      </c>
      <c r="G723" t="s">
        <v>3676</v>
      </c>
      <c r="H723" t="s">
        <v>3675</v>
      </c>
      <c r="I723" t="s">
        <v>8781</v>
      </c>
      <c r="K723" t="s">
        <v>3674</v>
      </c>
      <c r="N723" t="str">
        <f t="shared" si="31"/>
        <v>Szanowny Pan</v>
      </c>
      <c r="O723" s="19" t="s">
        <v>9776</v>
      </c>
      <c r="U723" t="str">
        <f t="shared" si="33"/>
        <v>tak</v>
      </c>
    </row>
    <row r="724" spans="1:22">
      <c r="A724">
        <v>768</v>
      </c>
      <c r="B724" t="s">
        <v>3530</v>
      </c>
      <c r="C724" t="s">
        <v>3449</v>
      </c>
      <c r="D724" t="s">
        <v>3680</v>
      </c>
      <c r="E724" t="s">
        <v>3679</v>
      </c>
      <c r="F724" t="s">
        <v>3678</v>
      </c>
      <c r="G724" t="s">
        <v>3677</v>
      </c>
      <c r="H724" t="s">
        <v>3875</v>
      </c>
      <c r="I724" t="s">
        <v>8782</v>
      </c>
      <c r="K724" t="s">
        <v>164</v>
      </c>
      <c r="N724" t="str">
        <f t="shared" si="31"/>
        <v>Szanowna Pani</v>
      </c>
      <c r="O724" s="19" t="s">
        <v>9776</v>
      </c>
      <c r="U724" t="str">
        <f t="shared" si="33"/>
        <v>tak</v>
      </c>
    </row>
    <row r="725" spans="1:22">
      <c r="A725">
        <v>769</v>
      </c>
      <c r="B725" t="s">
        <v>3530</v>
      </c>
      <c r="C725" t="s">
        <v>3449</v>
      </c>
      <c r="D725" t="s">
        <v>3848</v>
      </c>
      <c r="E725" t="s">
        <v>3453</v>
      </c>
      <c r="F725" t="s">
        <v>3454</v>
      </c>
      <c r="G725" t="s">
        <v>3877</v>
      </c>
      <c r="H725" t="s">
        <v>3876</v>
      </c>
      <c r="I725" t="s">
        <v>8783</v>
      </c>
      <c r="K725" t="s">
        <v>3412</v>
      </c>
      <c r="L725" t="s">
        <v>165</v>
      </c>
      <c r="M725" t="s">
        <v>224</v>
      </c>
      <c r="N725" t="str">
        <f t="shared" si="31"/>
        <v>Szanowna Pani</v>
      </c>
      <c r="P725" s="19" t="s">
        <v>9776</v>
      </c>
      <c r="Q725" s="19" t="s">
        <v>9776</v>
      </c>
      <c r="U725" t="str">
        <f t="shared" si="33"/>
        <v>taktak</v>
      </c>
    </row>
    <row r="726" spans="1:22">
      <c r="A726">
        <v>770</v>
      </c>
      <c r="B726" t="s">
        <v>3530</v>
      </c>
      <c r="C726" t="s">
        <v>3449</v>
      </c>
      <c r="D726" t="s">
        <v>3897</v>
      </c>
      <c r="E726" t="s">
        <v>3896</v>
      </c>
      <c r="F726" t="s">
        <v>3895</v>
      </c>
      <c r="G726" t="s">
        <v>3894</v>
      </c>
      <c r="H726" t="s">
        <v>3681</v>
      </c>
      <c r="I726" t="s">
        <v>8784</v>
      </c>
      <c r="K726" t="s">
        <v>164</v>
      </c>
      <c r="N726" t="str">
        <f t="shared" si="31"/>
        <v>Szanowna Pani</v>
      </c>
      <c r="O726" s="19" t="s">
        <v>9776</v>
      </c>
      <c r="U726" t="str">
        <f t="shared" si="33"/>
        <v>tak</v>
      </c>
    </row>
    <row r="727" spans="1:22">
      <c r="A727">
        <v>771</v>
      </c>
      <c r="B727" t="s">
        <v>3530</v>
      </c>
      <c r="C727" t="s">
        <v>3449</v>
      </c>
      <c r="D727" t="s">
        <v>3902</v>
      </c>
      <c r="E727" t="s">
        <v>3901</v>
      </c>
      <c r="F727" t="s">
        <v>3900</v>
      </c>
      <c r="G727" t="s">
        <v>3899</v>
      </c>
      <c r="H727" t="s">
        <v>3898</v>
      </c>
      <c r="I727" t="s">
        <v>8785</v>
      </c>
      <c r="K727" t="s">
        <v>164</v>
      </c>
      <c r="N727" t="str">
        <f t="shared" ref="N727:N790" si="34">IF(ISERROR(FIND(",",H727)),IF(MID(H727,FIND(" ",H727)-1,1)="a","Szanowna Pani","Szanowny Pan"), "Szanowne Panie")</f>
        <v>Szanowna Pani</v>
      </c>
      <c r="O727" s="19" t="s">
        <v>9776</v>
      </c>
      <c r="U727" t="str">
        <f t="shared" si="33"/>
        <v>tak</v>
      </c>
    </row>
    <row r="728" spans="1:22">
      <c r="A728">
        <v>772</v>
      </c>
      <c r="B728" t="s">
        <v>3530</v>
      </c>
      <c r="C728" t="s">
        <v>3455</v>
      </c>
      <c r="D728" t="s">
        <v>166</v>
      </c>
      <c r="E728" t="s">
        <v>3685</v>
      </c>
      <c r="F728" t="s">
        <v>3684</v>
      </c>
      <c r="G728" t="s">
        <v>3683</v>
      </c>
      <c r="H728" t="s">
        <v>3682</v>
      </c>
      <c r="I728" t="s">
        <v>8786</v>
      </c>
      <c r="K728" t="s">
        <v>164</v>
      </c>
      <c r="N728" t="str">
        <f t="shared" si="34"/>
        <v>Szanowna Pani</v>
      </c>
      <c r="O728" s="19" t="s">
        <v>9776</v>
      </c>
      <c r="U728" t="str">
        <f t="shared" si="33"/>
        <v>tak</v>
      </c>
    </row>
    <row r="729" spans="1:22">
      <c r="A729">
        <v>773</v>
      </c>
      <c r="B729" t="s">
        <v>3530</v>
      </c>
      <c r="C729" t="s">
        <v>3456</v>
      </c>
      <c r="D729" t="s">
        <v>3426</v>
      </c>
      <c r="E729" t="s">
        <v>3689</v>
      </c>
      <c r="F729" t="s">
        <v>3688</v>
      </c>
      <c r="G729" t="s">
        <v>3687</v>
      </c>
      <c r="H729" t="s">
        <v>3686</v>
      </c>
      <c r="I729" t="s">
        <v>8787</v>
      </c>
      <c r="K729" t="s">
        <v>164</v>
      </c>
      <c r="N729" t="str">
        <f t="shared" si="34"/>
        <v>Szanowna Pani</v>
      </c>
      <c r="O729" s="19" t="s">
        <v>9776</v>
      </c>
      <c r="U729" t="str">
        <f t="shared" si="33"/>
        <v>tak</v>
      </c>
    </row>
    <row r="730" spans="1:22">
      <c r="A730">
        <v>774</v>
      </c>
      <c r="B730" t="s">
        <v>3530</v>
      </c>
      <c r="C730" t="s">
        <v>3457</v>
      </c>
      <c r="D730" t="s">
        <v>2099</v>
      </c>
      <c r="E730" t="s">
        <v>3347</v>
      </c>
      <c r="F730" t="s">
        <v>3691</v>
      </c>
      <c r="G730" t="s">
        <v>3690</v>
      </c>
      <c r="H730" t="s">
        <v>3878</v>
      </c>
      <c r="I730" t="s">
        <v>8788</v>
      </c>
      <c r="K730" t="s">
        <v>164</v>
      </c>
      <c r="N730" t="str">
        <f t="shared" si="34"/>
        <v>Szanowna Pani</v>
      </c>
      <c r="O730" s="19" t="s">
        <v>9776</v>
      </c>
      <c r="U730" t="str">
        <f t="shared" si="33"/>
        <v>tak</v>
      </c>
    </row>
    <row r="731" spans="1:22">
      <c r="A731">
        <v>775</v>
      </c>
      <c r="B731" t="s">
        <v>3530</v>
      </c>
      <c r="C731" t="s">
        <v>3457</v>
      </c>
      <c r="D731" t="s">
        <v>246</v>
      </c>
      <c r="E731" t="s">
        <v>3881</v>
      </c>
      <c r="F731" t="s">
        <v>3691</v>
      </c>
      <c r="G731" t="s">
        <v>3880</v>
      </c>
      <c r="H731" t="s">
        <v>3879</v>
      </c>
      <c r="I731" t="s">
        <v>8789</v>
      </c>
      <c r="K731" t="s">
        <v>3412</v>
      </c>
      <c r="L731" t="s">
        <v>165</v>
      </c>
      <c r="M731" t="s">
        <v>224</v>
      </c>
      <c r="N731" t="str">
        <f t="shared" si="34"/>
        <v>Szanowna Pani</v>
      </c>
      <c r="P731" s="19" t="s">
        <v>9776</v>
      </c>
      <c r="Q731" s="19" t="s">
        <v>9776</v>
      </c>
      <c r="U731" t="str">
        <f t="shared" si="33"/>
        <v>taktak</v>
      </c>
    </row>
    <row r="732" spans="1:22">
      <c r="A732">
        <v>776</v>
      </c>
      <c r="B732" t="s">
        <v>3530</v>
      </c>
      <c r="C732" t="s">
        <v>3457</v>
      </c>
      <c r="D732" t="s">
        <v>3458</v>
      </c>
      <c r="E732" t="s">
        <v>3695</v>
      </c>
      <c r="F732" t="s">
        <v>3694</v>
      </c>
      <c r="G732" t="s">
        <v>3693</v>
      </c>
      <c r="H732" t="s">
        <v>3692</v>
      </c>
      <c r="I732" t="s">
        <v>8790</v>
      </c>
      <c r="K732" t="s">
        <v>3459</v>
      </c>
      <c r="N732" t="str">
        <f t="shared" si="34"/>
        <v>Szanowna Pani</v>
      </c>
      <c r="O732" s="19" t="s">
        <v>9776</v>
      </c>
      <c r="U732" t="str">
        <f t="shared" si="33"/>
        <v>tak</v>
      </c>
    </row>
    <row r="733" spans="1:22">
      <c r="A733">
        <v>777</v>
      </c>
      <c r="B733" t="s">
        <v>3530</v>
      </c>
      <c r="C733" t="s">
        <v>3460</v>
      </c>
      <c r="D733" t="s">
        <v>3700</v>
      </c>
      <c r="E733" t="s">
        <v>3699</v>
      </c>
      <c r="F733" t="s">
        <v>3698</v>
      </c>
      <c r="G733" t="s">
        <v>3697</v>
      </c>
      <c r="H733" t="s">
        <v>3696</v>
      </c>
      <c r="I733" t="s">
        <v>8791</v>
      </c>
      <c r="K733" t="s">
        <v>164</v>
      </c>
      <c r="N733" t="str">
        <f t="shared" si="34"/>
        <v>Szanowna Pani</v>
      </c>
      <c r="O733" s="19" t="s">
        <v>9776</v>
      </c>
      <c r="U733" t="str">
        <f t="shared" si="33"/>
        <v>tak</v>
      </c>
    </row>
    <row r="734" spans="1:22">
      <c r="A734">
        <v>778</v>
      </c>
      <c r="B734" t="s">
        <v>3530</v>
      </c>
      <c r="C734" t="s">
        <v>3461</v>
      </c>
      <c r="D734" t="s">
        <v>251</v>
      </c>
      <c r="E734" t="s">
        <v>3703</v>
      </c>
      <c r="F734" t="s">
        <v>3598</v>
      </c>
      <c r="G734" t="s">
        <v>3702</v>
      </c>
      <c r="H734" t="s">
        <v>3701</v>
      </c>
      <c r="I734" t="s">
        <v>8792</v>
      </c>
      <c r="K734" t="s">
        <v>164</v>
      </c>
      <c r="N734" t="str">
        <f t="shared" si="34"/>
        <v>Szanowna Pani</v>
      </c>
      <c r="O734" s="19" t="s">
        <v>9776</v>
      </c>
      <c r="U734" t="str">
        <f t="shared" si="33"/>
        <v>tak</v>
      </c>
    </row>
    <row r="735" spans="1:22">
      <c r="A735">
        <v>779</v>
      </c>
      <c r="B735" t="s">
        <v>3530</v>
      </c>
      <c r="C735" t="s">
        <v>3462</v>
      </c>
      <c r="D735" t="s">
        <v>166</v>
      </c>
      <c r="E735" t="s">
        <v>3706</v>
      </c>
      <c r="F735" t="s">
        <v>3447</v>
      </c>
      <c r="G735" t="s">
        <v>3705</v>
      </c>
      <c r="H735" t="s">
        <v>3704</v>
      </c>
      <c r="I735" t="s">
        <v>8793</v>
      </c>
      <c r="K735" t="s">
        <v>164</v>
      </c>
      <c r="N735" t="str">
        <f t="shared" si="34"/>
        <v>Szanowna Pani</v>
      </c>
      <c r="O735" s="19" t="s">
        <v>9776</v>
      </c>
      <c r="U735" t="str">
        <f t="shared" si="33"/>
        <v>tak</v>
      </c>
    </row>
    <row r="736" spans="1:22">
      <c r="A736">
        <v>780</v>
      </c>
      <c r="B736" t="s">
        <v>3530</v>
      </c>
      <c r="C736" t="s">
        <v>3463</v>
      </c>
      <c r="D736" t="s">
        <v>166</v>
      </c>
      <c r="E736" t="s">
        <v>3710</v>
      </c>
      <c r="F736" t="s">
        <v>3709</v>
      </c>
      <c r="G736" t="s">
        <v>3708</v>
      </c>
      <c r="H736" t="s">
        <v>3707</v>
      </c>
      <c r="I736" t="s">
        <v>8794</v>
      </c>
      <c r="K736" t="s">
        <v>164</v>
      </c>
      <c r="N736" t="str">
        <f t="shared" si="34"/>
        <v>Szanowna Pani</v>
      </c>
      <c r="O736" s="19" t="s">
        <v>9776</v>
      </c>
      <c r="U736" t="str">
        <f t="shared" si="33"/>
        <v>tak</v>
      </c>
    </row>
    <row r="737" spans="1:21">
      <c r="A737">
        <v>781</v>
      </c>
      <c r="B737" t="s">
        <v>3530</v>
      </c>
      <c r="C737" t="s">
        <v>3464</v>
      </c>
      <c r="D737" t="s">
        <v>251</v>
      </c>
      <c r="E737" t="s">
        <v>3465</v>
      </c>
      <c r="F737" t="s">
        <v>3466</v>
      </c>
      <c r="G737" t="s">
        <v>3712</v>
      </c>
      <c r="H737" t="s">
        <v>3711</v>
      </c>
      <c r="I737" t="s">
        <v>8795</v>
      </c>
      <c r="K737" t="s">
        <v>164</v>
      </c>
      <c r="N737" t="str">
        <f t="shared" si="34"/>
        <v>Szanowna Pani</v>
      </c>
      <c r="O737" s="19" t="s">
        <v>9776</v>
      </c>
      <c r="U737" t="str">
        <f t="shared" si="33"/>
        <v>tak</v>
      </c>
    </row>
    <row r="738" spans="1:21">
      <c r="A738">
        <v>782</v>
      </c>
      <c r="B738" t="s">
        <v>3530</v>
      </c>
      <c r="C738" t="s">
        <v>3464</v>
      </c>
      <c r="D738" t="s">
        <v>251</v>
      </c>
      <c r="E738" t="s">
        <v>3465</v>
      </c>
      <c r="F738" t="s">
        <v>3466</v>
      </c>
      <c r="G738" t="s">
        <v>3712</v>
      </c>
      <c r="H738" t="s">
        <v>3713</v>
      </c>
      <c r="I738" t="s">
        <v>8795</v>
      </c>
      <c r="K738" t="s">
        <v>224</v>
      </c>
      <c r="N738" t="str">
        <f t="shared" si="34"/>
        <v>Szanowna Pani</v>
      </c>
      <c r="Q738" s="19" t="s">
        <v>9776</v>
      </c>
      <c r="U738" t="str">
        <f t="shared" si="33"/>
        <v>tak</v>
      </c>
    </row>
    <row r="739" spans="1:21">
      <c r="A739">
        <v>783</v>
      </c>
      <c r="B739" t="s">
        <v>3530</v>
      </c>
      <c r="C739" t="s">
        <v>3467</v>
      </c>
      <c r="D739" t="s">
        <v>166</v>
      </c>
      <c r="E739" t="s">
        <v>3717</v>
      </c>
      <c r="F739" t="s">
        <v>3716</v>
      </c>
      <c r="G739" t="s">
        <v>3715</v>
      </c>
      <c r="H739" t="s">
        <v>3714</v>
      </c>
      <c r="I739" t="s">
        <v>8796</v>
      </c>
      <c r="K739" t="s">
        <v>164</v>
      </c>
      <c r="N739" t="str">
        <f t="shared" si="34"/>
        <v>Szanowna Pani</v>
      </c>
      <c r="O739" s="19" t="s">
        <v>9776</v>
      </c>
      <c r="U739" t="str">
        <f t="shared" si="33"/>
        <v>tak</v>
      </c>
    </row>
    <row r="740" spans="1:21">
      <c r="A740">
        <v>784</v>
      </c>
      <c r="B740" t="s">
        <v>3530</v>
      </c>
      <c r="C740" t="s">
        <v>3468</v>
      </c>
      <c r="D740" t="s">
        <v>3469</v>
      </c>
      <c r="E740" t="s">
        <v>3470</v>
      </c>
      <c r="F740" t="s">
        <v>3471</v>
      </c>
      <c r="G740" t="s">
        <v>3719</v>
      </c>
      <c r="H740" t="s">
        <v>3718</v>
      </c>
      <c r="I740" t="s">
        <v>8797</v>
      </c>
      <c r="K740" t="s">
        <v>164</v>
      </c>
      <c r="N740" t="str">
        <f t="shared" si="34"/>
        <v>Szanowna Pani</v>
      </c>
      <c r="O740" s="19" t="s">
        <v>9776</v>
      </c>
      <c r="U740" t="str">
        <f t="shared" si="33"/>
        <v>tak</v>
      </c>
    </row>
    <row r="741" spans="1:21">
      <c r="A741">
        <v>785</v>
      </c>
      <c r="B741" t="s">
        <v>3530</v>
      </c>
      <c r="C741" t="s">
        <v>3468</v>
      </c>
      <c r="D741" t="s">
        <v>3469</v>
      </c>
      <c r="E741" t="s">
        <v>3470</v>
      </c>
      <c r="F741" t="s">
        <v>3471</v>
      </c>
      <c r="G741" t="s">
        <v>3719</v>
      </c>
      <c r="H741" t="s">
        <v>3718</v>
      </c>
      <c r="I741" t="s">
        <v>8797</v>
      </c>
      <c r="K741" t="s">
        <v>165</v>
      </c>
      <c r="N741" t="str">
        <f t="shared" si="34"/>
        <v>Szanowna Pani</v>
      </c>
      <c r="P741" s="19" t="s">
        <v>9776</v>
      </c>
      <c r="U741" t="str">
        <f t="shared" si="33"/>
        <v>tak</v>
      </c>
    </row>
    <row r="742" spans="1:21">
      <c r="A742">
        <v>786</v>
      </c>
      <c r="B742" t="s">
        <v>3530</v>
      </c>
      <c r="C742" t="s">
        <v>3472</v>
      </c>
      <c r="D742" t="s">
        <v>3724</v>
      </c>
      <c r="E742" t="s">
        <v>3723</v>
      </c>
      <c r="F742" t="s">
        <v>3722</v>
      </c>
      <c r="G742" t="s">
        <v>3721</v>
      </c>
      <c r="H742" t="s">
        <v>3720</v>
      </c>
      <c r="I742" t="s">
        <v>8798</v>
      </c>
      <c r="K742" t="s">
        <v>164</v>
      </c>
      <c r="N742" t="str">
        <f t="shared" si="34"/>
        <v>Szanowna Pani</v>
      </c>
      <c r="O742" s="19" t="s">
        <v>9776</v>
      </c>
      <c r="U742" t="str">
        <f t="shared" si="33"/>
        <v>tak</v>
      </c>
    </row>
    <row r="743" spans="1:21">
      <c r="A743">
        <v>787</v>
      </c>
      <c r="B743" t="s">
        <v>3530</v>
      </c>
      <c r="C743" t="s">
        <v>3473</v>
      </c>
      <c r="D743" t="s">
        <v>246</v>
      </c>
      <c r="E743" t="s">
        <v>3728</v>
      </c>
      <c r="F743" t="s">
        <v>3727</v>
      </c>
      <c r="G743" t="s">
        <v>3726</v>
      </c>
      <c r="H743" t="s">
        <v>3725</v>
      </c>
      <c r="I743" t="s">
        <v>8799</v>
      </c>
      <c r="K743" t="s">
        <v>164</v>
      </c>
      <c r="N743" t="str">
        <f t="shared" si="34"/>
        <v>Szanowna Pani</v>
      </c>
      <c r="O743" s="19" t="s">
        <v>9776</v>
      </c>
      <c r="U743" t="str">
        <f t="shared" ref="U743:U778" si="35">+O743 &amp;P743&amp;Q743</f>
        <v>tak</v>
      </c>
    </row>
    <row r="744" spans="1:21">
      <c r="A744">
        <v>788</v>
      </c>
      <c r="B744" t="s">
        <v>3530</v>
      </c>
      <c r="C744" t="s">
        <v>3474</v>
      </c>
      <c r="D744" t="s">
        <v>166</v>
      </c>
      <c r="E744" t="s">
        <v>3732</v>
      </c>
      <c r="F744" t="s">
        <v>3731</v>
      </c>
      <c r="G744" t="s">
        <v>3730</v>
      </c>
      <c r="H744" t="s">
        <v>3729</v>
      </c>
      <c r="I744" t="s">
        <v>8800</v>
      </c>
      <c r="K744" t="s">
        <v>164</v>
      </c>
      <c r="N744" t="str">
        <f t="shared" si="34"/>
        <v>Szanowna Pani</v>
      </c>
      <c r="O744" s="19" t="s">
        <v>9776</v>
      </c>
      <c r="U744" t="str">
        <f t="shared" si="35"/>
        <v>tak</v>
      </c>
    </row>
    <row r="745" spans="1:21">
      <c r="A745">
        <v>789</v>
      </c>
      <c r="B745" t="s">
        <v>3530</v>
      </c>
      <c r="C745" t="s">
        <v>3475</v>
      </c>
      <c r="D745" t="s">
        <v>166</v>
      </c>
      <c r="E745" t="s">
        <v>3476</v>
      </c>
      <c r="F745" t="s">
        <v>3477</v>
      </c>
      <c r="G745" t="s">
        <v>3734</v>
      </c>
      <c r="H745" t="s">
        <v>3733</v>
      </c>
      <c r="I745" t="s">
        <v>8801</v>
      </c>
      <c r="K745" t="s">
        <v>164</v>
      </c>
      <c r="N745" t="str">
        <f t="shared" si="34"/>
        <v>Szanowny Pan</v>
      </c>
      <c r="O745" s="19" t="s">
        <v>9776</v>
      </c>
      <c r="U745" t="str">
        <f t="shared" si="35"/>
        <v>tak</v>
      </c>
    </row>
    <row r="746" spans="1:21">
      <c r="A746">
        <v>790</v>
      </c>
      <c r="B746" t="s">
        <v>3530</v>
      </c>
      <c r="C746" t="s">
        <v>3478</v>
      </c>
      <c r="D746" t="s">
        <v>3479</v>
      </c>
      <c r="E746" t="s">
        <v>3738</v>
      </c>
      <c r="F746" t="s">
        <v>3737</v>
      </c>
      <c r="G746" t="s">
        <v>3736</v>
      </c>
      <c r="H746" t="s">
        <v>3735</v>
      </c>
      <c r="I746" t="s">
        <v>8802</v>
      </c>
      <c r="K746" t="s">
        <v>3412</v>
      </c>
      <c r="L746" t="s">
        <v>165</v>
      </c>
      <c r="M746" t="s">
        <v>224</v>
      </c>
      <c r="N746" t="str">
        <f t="shared" si="34"/>
        <v>Szanowna Pani</v>
      </c>
      <c r="P746" s="19" t="s">
        <v>9776</v>
      </c>
      <c r="Q746" s="19" t="s">
        <v>9776</v>
      </c>
      <c r="U746" t="str">
        <f t="shared" si="35"/>
        <v>taktak</v>
      </c>
    </row>
    <row r="747" spans="1:21">
      <c r="A747">
        <v>791</v>
      </c>
      <c r="B747" t="s">
        <v>3530</v>
      </c>
      <c r="C747" t="s">
        <v>3480</v>
      </c>
      <c r="D747" t="s">
        <v>166</v>
      </c>
      <c r="E747" t="s">
        <v>3742</v>
      </c>
      <c r="F747" t="s">
        <v>3741</v>
      </c>
      <c r="G747" t="s">
        <v>3740</v>
      </c>
      <c r="H747" t="s">
        <v>3739</v>
      </c>
      <c r="K747" t="s">
        <v>3481</v>
      </c>
      <c r="N747" t="str">
        <f t="shared" si="34"/>
        <v>Szanowna Pani</v>
      </c>
      <c r="O747" s="19" t="s">
        <v>9776</v>
      </c>
      <c r="U747" t="str">
        <f t="shared" si="35"/>
        <v>tak</v>
      </c>
    </row>
    <row r="748" spans="1:21">
      <c r="A748">
        <v>792</v>
      </c>
      <c r="B748" t="s">
        <v>3530</v>
      </c>
      <c r="C748" t="s">
        <v>3482</v>
      </c>
      <c r="D748" t="s">
        <v>251</v>
      </c>
      <c r="E748" t="s">
        <v>3746</v>
      </c>
      <c r="F748" t="s">
        <v>3745</v>
      </c>
      <c r="G748" t="s">
        <v>3744</v>
      </c>
      <c r="H748" t="s">
        <v>3743</v>
      </c>
      <c r="I748" s="15" t="s">
        <v>9769</v>
      </c>
      <c r="K748" t="s">
        <v>164</v>
      </c>
      <c r="N748" t="str">
        <f t="shared" si="34"/>
        <v>Szanowna Pani</v>
      </c>
      <c r="O748" s="19" t="s">
        <v>9776</v>
      </c>
      <c r="U748" t="str">
        <f t="shared" si="35"/>
        <v>tak</v>
      </c>
    </row>
    <row r="749" spans="1:21">
      <c r="A749">
        <v>793</v>
      </c>
      <c r="B749" t="s">
        <v>3530</v>
      </c>
      <c r="C749" t="s">
        <v>3483</v>
      </c>
      <c r="D749" t="s">
        <v>246</v>
      </c>
      <c r="E749" t="s">
        <v>3717</v>
      </c>
      <c r="F749" t="s">
        <v>3749</v>
      </c>
      <c r="G749" t="s">
        <v>3748</v>
      </c>
      <c r="H749" t="s">
        <v>3747</v>
      </c>
      <c r="I749" t="s">
        <v>8803</v>
      </c>
      <c r="K749" t="s">
        <v>164</v>
      </c>
      <c r="N749" t="str">
        <f t="shared" si="34"/>
        <v>Szanowna Pani</v>
      </c>
      <c r="O749" s="19" t="s">
        <v>9776</v>
      </c>
      <c r="U749" t="str">
        <f t="shared" si="35"/>
        <v>tak</v>
      </c>
    </row>
    <row r="750" spans="1:21">
      <c r="A750">
        <v>794</v>
      </c>
      <c r="B750" t="s">
        <v>3530</v>
      </c>
      <c r="C750" t="s">
        <v>3484</v>
      </c>
      <c r="D750" t="s">
        <v>251</v>
      </c>
      <c r="E750" t="s">
        <v>3752</v>
      </c>
      <c r="F750" t="s">
        <v>3487</v>
      </c>
      <c r="G750" t="s">
        <v>3751</v>
      </c>
      <c r="H750" t="s">
        <v>3750</v>
      </c>
      <c r="I750" t="s">
        <v>8804</v>
      </c>
      <c r="K750" t="s">
        <v>164</v>
      </c>
      <c r="N750" t="str">
        <f t="shared" si="34"/>
        <v>Szanowna Pani</v>
      </c>
      <c r="O750" s="19" t="s">
        <v>9776</v>
      </c>
      <c r="U750" t="str">
        <f t="shared" si="35"/>
        <v>tak</v>
      </c>
    </row>
    <row r="751" spans="1:21">
      <c r="A751">
        <v>795</v>
      </c>
      <c r="B751" t="s">
        <v>3530</v>
      </c>
      <c r="C751" t="s">
        <v>3484</v>
      </c>
      <c r="D751" t="s">
        <v>3443</v>
      </c>
      <c r="E751" t="s">
        <v>3752</v>
      </c>
      <c r="F751" t="s">
        <v>3487</v>
      </c>
      <c r="G751" t="s">
        <v>3754</v>
      </c>
      <c r="H751" t="s">
        <v>3753</v>
      </c>
      <c r="I751" t="s">
        <v>8805</v>
      </c>
      <c r="K751" t="s">
        <v>165</v>
      </c>
      <c r="N751" t="str">
        <f t="shared" si="34"/>
        <v>Szanowna Pani</v>
      </c>
      <c r="P751" s="19" t="s">
        <v>9776</v>
      </c>
      <c r="U751" t="str">
        <f t="shared" si="35"/>
        <v>tak</v>
      </c>
    </row>
    <row r="752" spans="1:21">
      <c r="A752">
        <v>796</v>
      </c>
      <c r="B752" t="s">
        <v>3530</v>
      </c>
      <c r="C752" t="s">
        <v>3484</v>
      </c>
      <c r="D752" t="s">
        <v>1197</v>
      </c>
      <c r="E752" t="s">
        <v>3883</v>
      </c>
      <c r="F752" t="s">
        <v>3487</v>
      </c>
      <c r="G752" t="s">
        <v>3882</v>
      </c>
      <c r="H752" t="s">
        <v>3755</v>
      </c>
      <c r="I752" t="s">
        <v>8806</v>
      </c>
      <c r="K752" t="s">
        <v>165</v>
      </c>
      <c r="N752" t="str">
        <f t="shared" si="34"/>
        <v>Szanowna Pani</v>
      </c>
      <c r="P752" s="19" t="s">
        <v>9776</v>
      </c>
      <c r="U752" t="str">
        <f t="shared" si="35"/>
        <v>tak</v>
      </c>
    </row>
    <row r="753" spans="1:21">
      <c r="A753">
        <v>797</v>
      </c>
      <c r="B753" t="s">
        <v>3530</v>
      </c>
      <c r="C753" t="s">
        <v>3484</v>
      </c>
      <c r="D753" t="s">
        <v>1197</v>
      </c>
      <c r="E753" t="s">
        <v>3883</v>
      </c>
      <c r="F753" t="s">
        <v>3487</v>
      </c>
      <c r="G753" t="s">
        <v>3882</v>
      </c>
      <c r="H753" t="s">
        <v>3884</v>
      </c>
      <c r="I753" t="s">
        <v>8806</v>
      </c>
      <c r="K753" t="s">
        <v>164</v>
      </c>
      <c r="N753" t="str">
        <f t="shared" si="34"/>
        <v>Szanowna Pani</v>
      </c>
      <c r="O753" s="19" t="s">
        <v>9776</v>
      </c>
      <c r="U753" t="str">
        <f t="shared" si="35"/>
        <v>tak</v>
      </c>
    </row>
    <row r="754" spans="1:21">
      <c r="A754">
        <v>798</v>
      </c>
      <c r="B754" t="s">
        <v>3530</v>
      </c>
      <c r="C754" t="s">
        <v>3484</v>
      </c>
      <c r="D754" t="s">
        <v>3485</v>
      </c>
      <c r="E754" t="s">
        <v>3486</v>
      </c>
      <c r="F754" t="s">
        <v>3487</v>
      </c>
      <c r="G754" t="s">
        <v>3757</v>
      </c>
      <c r="H754" t="s">
        <v>3756</v>
      </c>
      <c r="I754" t="s">
        <v>8807</v>
      </c>
      <c r="K754" t="s">
        <v>224</v>
      </c>
      <c r="N754" t="str">
        <f t="shared" si="34"/>
        <v>Szanowna Pani</v>
      </c>
      <c r="Q754" s="19" t="s">
        <v>9776</v>
      </c>
      <c r="U754" t="str">
        <f t="shared" si="35"/>
        <v>tak</v>
      </c>
    </row>
    <row r="755" spans="1:21">
      <c r="A755">
        <v>799</v>
      </c>
      <c r="B755" t="s">
        <v>3530</v>
      </c>
      <c r="C755" t="s">
        <v>3488</v>
      </c>
      <c r="D755" t="s">
        <v>3849</v>
      </c>
      <c r="E755" t="s">
        <v>3761</v>
      </c>
      <c r="F755" t="s">
        <v>3760</v>
      </c>
      <c r="G755" t="s">
        <v>3759</v>
      </c>
      <c r="H755" t="s">
        <v>3758</v>
      </c>
      <c r="I755" t="s">
        <v>8808</v>
      </c>
      <c r="K755" t="s">
        <v>164</v>
      </c>
      <c r="N755" t="str">
        <f t="shared" si="34"/>
        <v>Szanowna Pani</v>
      </c>
      <c r="O755" s="19" t="s">
        <v>9776</v>
      </c>
      <c r="U755" t="str">
        <f t="shared" si="35"/>
        <v>tak</v>
      </c>
    </row>
    <row r="756" spans="1:21">
      <c r="A756">
        <v>800</v>
      </c>
      <c r="B756" t="s">
        <v>3530</v>
      </c>
      <c r="C756" t="s">
        <v>3489</v>
      </c>
      <c r="D756" t="s">
        <v>3766</v>
      </c>
      <c r="E756" t="s">
        <v>3765</v>
      </c>
      <c r="F756" t="s">
        <v>3764</v>
      </c>
      <c r="G756" t="s">
        <v>3763</v>
      </c>
      <c r="H756" t="s">
        <v>3762</v>
      </c>
      <c r="I756" t="s">
        <v>8809</v>
      </c>
      <c r="K756" t="s">
        <v>164</v>
      </c>
      <c r="N756" t="str">
        <f t="shared" si="34"/>
        <v>Szanowna Pani</v>
      </c>
      <c r="O756" s="19" t="s">
        <v>9776</v>
      </c>
      <c r="U756" t="str">
        <f t="shared" si="35"/>
        <v>tak</v>
      </c>
    </row>
    <row r="757" spans="1:21">
      <c r="A757">
        <v>801</v>
      </c>
      <c r="B757" t="s">
        <v>3530</v>
      </c>
      <c r="C757" t="s">
        <v>3490</v>
      </c>
      <c r="D757" t="s">
        <v>246</v>
      </c>
      <c r="E757" t="s">
        <v>3770</v>
      </c>
      <c r="F757" t="s">
        <v>3769</v>
      </c>
      <c r="G757" t="s">
        <v>3768</v>
      </c>
      <c r="H757" t="s">
        <v>3767</v>
      </c>
      <c r="I757" t="s">
        <v>8810</v>
      </c>
      <c r="K757" t="s">
        <v>164</v>
      </c>
      <c r="N757" t="str">
        <f t="shared" si="34"/>
        <v>Szanowna Pani</v>
      </c>
      <c r="O757" s="19" t="s">
        <v>9776</v>
      </c>
      <c r="U757" t="str">
        <f t="shared" si="35"/>
        <v>tak</v>
      </c>
    </row>
    <row r="758" spans="1:21">
      <c r="A758">
        <v>802</v>
      </c>
      <c r="B758" t="s">
        <v>3530</v>
      </c>
      <c r="C758" t="s">
        <v>3491</v>
      </c>
      <c r="D758" t="s">
        <v>3774</v>
      </c>
      <c r="E758" t="s">
        <v>3773</v>
      </c>
      <c r="F758" t="s">
        <v>3404</v>
      </c>
      <c r="G758" t="s">
        <v>3772</v>
      </c>
      <c r="H758" t="s">
        <v>3771</v>
      </c>
      <c r="I758" t="s">
        <v>8811</v>
      </c>
      <c r="K758" t="s">
        <v>3492</v>
      </c>
      <c r="L758" t="s">
        <v>165</v>
      </c>
      <c r="M758" t="s">
        <v>224</v>
      </c>
      <c r="N758" t="str">
        <f t="shared" si="34"/>
        <v>Szanowna Pani</v>
      </c>
      <c r="P758" s="19" t="s">
        <v>9776</v>
      </c>
      <c r="Q758" s="19" t="s">
        <v>9776</v>
      </c>
      <c r="U758" t="str">
        <f t="shared" si="35"/>
        <v>taktak</v>
      </c>
    </row>
    <row r="759" spans="1:21">
      <c r="A759">
        <v>803</v>
      </c>
      <c r="B759" t="s">
        <v>3530</v>
      </c>
      <c r="C759" t="s">
        <v>3491</v>
      </c>
      <c r="D759" t="s">
        <v>9649</v>
      </c>
      <c r="E759" t="s">
        <v>9650</v>
      </c>
      <c r="F759" t="s">
        <v>3493</v>
      </c>
      <c r="G759" t="s">
        <v>3776</v>
      </c>
      <c r="H759" t="s">
        <v>3775</v>
      </c>
      <c r="I759" t="s">
        <v>8812</v>
      </c>
      <c r="K759" t="s">
        <v>164</v>
      </c>
      <c r="N759" t="str">
        <f t="shared" si="34"/>
        <v>Szanowny Pan</v>
      </c>
      <c r="O759" s="19" t="s">
        <v>9776</v>
      </c>
      <c r="U759" t="str">
        <f t="shared" si="35"/>
        <v>tak</v>
      </c>
    </row>
    <row r="760" spans="1:21">
      <c r="A760">
        <v>804</v>
      </c>
      <c r="B760" t="s">
        <v>3530</v>
      </c>
      <c r="C760" t="s">
        <v>3491</v>
      </c>
      <c r="D760" t="s">
        <v>9649</v>
      </c>
      <c r="E760" t="s">
        <v>9650</v>
      </c>
      <c r="F760" t="s">
        <v>3493</v>
      </c>
      <c r="G760" t="s">
        <v>3776</v>
      </c>
      <c r="H760" t="s">
        <v>3775</v>
      </c>
      <c r="I760" t="s">
        <v>8812</v>
      </c>
      <c r="K760" t="s">
        <v>224</v>
      </c>
      <c r="N760" t="str">
        <f t="shared" si="34"/>
        <v>Szanowny Pan</v>
      </c>
      <c r="Q760" s="19" t="s">
        <v>9776</v>
      </c>
      <c r="U760" t="str">
        <f t="shared" si="35"/>
        <v>tak</v>
      </c>
    </row>
    <row r="761" spans="1:21">
      <c r="A761">
        <v>805</v>
      </c>
      <c r="B761" t="s">
        <v>3530</v>
      </c>
      <c r="C761" t="s">
        <v>3494</v>
      </c>
      <c r="D761" t="s">
        <v>3495</v>
      </c>
      <c r="E761" t="s">
        <v>3496</v>
      </c>
      <c r="F761" t="s">
        <v>3497</v>
      </c>
      <c r="G761" t="s">
        <v>3778</v>
      </c>
      <c r="H761" t="s">
        <v>3777</v>
      </c>
      <c r="I761" t="s">
        <v>8813</v>
      </c>
      <c r="K761" t="s">
        <v>164</v>
      </c>
      <c r="N761" t="str">
        <f t="shared" si="34"/>
        <v>Szanowna Pani</v>
      </c>
      <c r="O761" s="19" t="s">
        <v>9776</v>
      </c>
      <c r="U761" t="str">
        <f t="shared" si="35"/>
        <v>tak</v>
      </c>
    </row>
    <row r="762" spans="1:21">
      <c r="A762">
        <v>806</v>
      </c>
      <c r="B762" t="s">
        <v>3530</v>
      </c>
      <c r="C762" t="s">
        <v>997</v>
      </c>
      <c r="D762" t="s">
        <v>3850</v>
      </c>
      <c r="E762" t="s">
        <v>3782</v>
      </c>
      <c r="F762" t="s">
        <v>3781</v>
      </c>
      <c r="G762" t="s">
        <v>3780</v>
      </c>
      <c r="H762" t="s">
        <v>3779</v>
      </c>
      <c r="I762" t="s">
        <v>8814</v>
      </c>
      <c r="K762" t="s">
        <v>164</v>
      </c>
      <c r="N762" t="str">
        <f t="shared" si="34"/>
        <v>Szanowna Pani</v>
      </c>
      <c r="O762" s="19" t="s">
        <v>9776</v>
      </c>
      <c r="U762" t="str">
        <f t="shared" si="35"/>
        <v>tak</v>
      </c>
    </row>
    <row r="763" spans="1:21">
      <c r="A763">
        <v>807</v>
      </c>
      <c r="B763" t="s">
        <v>3530</v>
      </c>
      <c r="C763" t="s">
        <v>3498</v>
      </c>
      <c r="D763" t="s">
        <v>3887</v>
      </c>
      <c r="E763" t="s">
        <v>3886</v>
      </c>
      <c r="F763" t="s">
        <v>3471</v>
      </c>
      <c r="G763" t="s">
        <v>3885</v>
      </c>
      <c r="H763" t="s">
        <v>3783</v>
      </c>
      <c r="I763" s="15" t="s">
        <v>8815</v>
      </c>
      <c r="K763" t="s">
        <v>164</v>
      </c>
      <c r="N763" t="str">
        <f t="shared" si="34"/>
        <v>Szanowna Pani</v>
      </c>
      <c r="O763" s="19" t="s">
        <v>9776</v>
      </c>
      <c r="U763" t="str">
        <f t="shared" si="35"/>
        <v>tak</v>
      </c>
    </row>
    <row r="764" spans="1:21">
      <c r="A764">
        <v>808</v>
      </c>
      <c r="B764" t="s">
        <v>3530</v>
      </c>
      <c r="C764" t="s">
        <v>3498</v>
      </c>
      <c r="D764" t="s">
        <v>3887</v>
      </c>
      <c r="E764" t="s">
        <v>3886</v>
      </c>
      <c r="F764" t="s">
        <v>3471</v>
      </c>
      <c r="G764" t="s">
        <v>3885</v>
      </c>
      <c r="H764" t="s">
        <v>3783</v>
      </c>
      <c r="I764" t="s">
        <v>8815</v>
      </c>
      <c r="K764" t="s">
        <v>3412</v>
      </c>
      <c r="L764" t="s">
        <v>165</v>
      </c>
      <c r="M764" t="s">
        <v>224</v>
      </c>
      <c r="N764" t="str">
        <f t="shared" si="34"/>
        <v>Szanowna Pani</v>
      </c>
      <c r="P764" s="19" t="s">
        <v>9776</v>
      </c>
      <c r="Q764" s="19" t="s">
        <v>9776</v>
      </c>
      <c r="U764" t="str">
        <f t="shared" si="35"/>
        <v>taktak</v>
      </c>
    </row>
    <row r="765" spans="1:21">
      <c r="A765">
        <v>809</v>
      </c>
      <c r="B765" t="s">
        <v>3530</v>
      </c>
      <c r="C765" t="s">
        <v>3499</v>
      </c>
      <c r="D765" t="s">
        <v>2709</v>
      </c>
      <c r="E765" t="s">
        <v>3500</v>
      </c>
      <c r="F765" t="s">
        <v>3501</v>
      </c>
      <c r="G765" t="s">
        <v>3785</v>
      </c>
      <c r="H765" t="s">
        <v>3784</v>
      </c>
      <c r="I765" t="s">
        <v>8816</v>
      </c>
      <c r="K765" t="s">
        <v>164</v>
      </c>
      <c r="N765" t="str">
        <f t="shared" si="34"/>
        <v>Szanowna Pani</v>
      </c>
      <c r="O765" s="19" t="s">
        <v>9776</v>
      </c>
      <c r="U765" t="str">
        <f t="shared" si="35"/>
        <v>tak</v>
      </c>
    </row>
    <row r="766" spans="1:21">
      <c r="A766">
        <v>810</v>
      </c>
      <c r="B766" t="s">
        <v>3530</v>
      </c>
      <c r="C766" t="s">
        <v>3499</v>
      </c>
      <c r="D766" t="s">
        <v>2709</v>
      </c>
      <c r="E766" t="s">
        <v>3500</v>
      </c>
      <c r="F766" t="s">
        <v>3501</v>
      </c>
      <c r="G766" t="s">
        <v>3785</v>
      </c>
      <c r="H766" t="s">
        <v>3786</v>
      </c>
      <c r="I766" t="s">
        <v>8816</v>
      </c>
      <c r="K766" t="s">
        <v>3412</v>
      </c>
      <c r="L766" t="s">
        <v>165</v>
      </c>
      <c r="M766" t="s">
        <v>224</v>
      </c>
      <c r="N766" t="str">
        <f t="shared" si="34"/>
        <v>Szanowna Pani</v>
      </c>
      <c r="P766" s="19" t="s">
        <v>9776</v>
      </c>
      <c r="Q766" s="19" t="s">
        <v>9776</v>
      </c>
      <c r="U766" t="str">
        <f t="shared" si="35"/>
        <v>taktak</v>
      </c>
    </row>
    <row r="767" spans="1:21">
      <c r="A767">
        <v>811</v>
      </c>
      <c r="B767" t="s">
        <v>3530</v>
      </c>
      <c r="C767" t="s">
        <v>3499</v>
      </c>
      <c r="D767" t="s">
        <v>3790</v>
      </c>
      <c r="E767" t="s">
        <v>3789</v>
      </c>
      <c r="F767" t="s">
        <v>3501</v>
      </c>
      <c r="G767" t="s">
        <v>3788</v>
      </c>
      <c r="H767" t="s">
        <v>3787</v>
      </c>
      <c r="I767" t="s">
        <v>8817</v>
      </c>
      <c r="K767" t="s">
        <v>165</v>
      </c>
      <c r="N767" t="str">
        <f t="shared" si="34"/>
        <v>Szanowne Panie</v>
      </c>
      <c r="P767" s="19" t="s">
        <v>9776</v>
      </c>
      <c r="U767" t="str">
        <f t="shared" si="35"/>
        <v>tak</v>
      </c>
    </row>
    <row r="768" spans="1:21">
      <c r="A768">
        <v>812</v>
      </c>
      <c r="B768" t="s">
        <v>3530</v>
      </c>
      <c r="C768" t="s">
        <v>3502</v>
      </c>
      <c r="D768" t="s">
        <v>251</v>
      </c>
      <c r="E768" t="s">
        <v>2686</v>
      </c>
      <c r="F768" t="s">
        <v>3793</v>
      </c>
      <c r="G768" t="s">
        <v>3792</v>
      </c>
      <c r="H768" t="s">
        <v>3791</v>
      </c>
      <c r="I768" t="s">
        <v>8818</v>
      </c>
      <c r="K768" t="s">
        <v>3503</v>
      </c>
      <c r="L768" t="s">
        <v>165</v>
      </c>
      <c r="M768" t="s">
        <v>224</v>
      </c>
      <c r="N768" t="str">
        <f t="shared" si="34"/>
        <v>Szanowna Pani</v>
      </c>
      <c r="P768" s="19" t="s">
        <v>9776</v>
      </c>
      <c r="Q768" s="19" t="s">
        <v>9776</v>
      </c>
      <c r="U768" t="str">
        <f t="shared" si="35"/>
        <v>taktak</v>
      </c>
    </row>
    <row r="769" spans="1:21">
      <c r="A769">
        <v>813</v>
      </c>
      <c r="B769" t="s">
        <v>3530</v>
      </c>
      <c r="C769" t="s">
        <v>3504</v>
      </c>
      <c r="D769" t="s">
        <v>3797</v>
      </c>
      <c r="E769" t="s">
        <v>3796</v>
      </c>
      <c r="F769" t="s">
        <v>3505</v>
      </c>
      <c r="G769" t="s">
        <v>3795</v>
      </c>
      <c r="H769" t="s">
        <v>3794</v>
      </c>
      <c r="I769" t="s">
        <v>8819</v>
      </c>
      <c r="K769" t="s">
        <v>3412</v>
      </c>
      <c r="L769" t="s">
        <v>165</v>
      </c>
      <c r="M769" t="s">
        <v>224</v>
      </c>
      <c r="N769" t="str">
        <f t="shared" si="34"/>
        <v>Szanowna Pani</v>
      </c>
      <c r="P769" s="19" t="s">
        <v>9776</v>
      </c>
      <c r="Q769" s="19" t="s">
        <v>9776</v>
      </c>
      <c r="U769" t="str">
        <f t="shared" si="35"/>
        <v>taktak</v>
      </c>
    </row>
    <row r="770" spans="1:21">
      <c r="A770">
        <v>814</v>
      </c>
      <c r="B770" t="s">
        <v>3530</v>
      </c>
      <c r="C770" t="s">
        <v>3506</v>
      </c>
      <c r="D770" t="s">
        <v>251</v>
      </c>
      <c r="E770" t="s">
        <v>3800</v>
      </c>
      <c r="F770" t="s">
        <v>3799</v>
      </c>
      <c r="G770" t="s">
        <v>3798</v>
      </c>
      <c r="H770" t="s">
        <v>3888</v>
      </c>
      <c r="I770" t="s">
        <v>8820</v>
      </c>
      <c r="K770" t="s">
        <v>164</v>
      </c>
      <c r="N770" t="str">
        <f t="shared" si="34"/>
        <v>Szanowna Pani</v>
      </c>
      <c r="O770" s="19" t="s">
        <v>9776</v>
      </c>
      <c r="U770" t="str">
        <f t="shared" si="35"/>
        <v>tak</v>
      </c>
    </row>
    <row r="771" spans="1:21">
      <c r="A771">
        <v>815</v>
      </c>
      <c r="B771" t="s">
        <v>3530</v>
      </c>
      <c r="C771" t="s">
        <v>3506</v>
      </c>
      <c r="D771" t="s">
        <v>251</v>
      </c>
      <c r="E771" t="s">
        <v>3800</v>
      </c>
      <c r="F771" t="s">
        <v>3799</v>
      </c>
      <c r="G771" t="s">
        <v>3798</v>
      </c>
      <c r="H771" t="s">
        <v>3889</v>
      </c>
      <c r="I771" t="s">
        <v>8821</v>
      </c>
      <c r="K771" t="s">
        <v>224</v>
      </c>
      <c r="N771" t="str">
        <f t="shared" si="34"/>
        <v>Szanowna Pani</v>
      </c>
      <c r="Q771" s="19" t="s">
        <v>9776</v>
      </c>
      <c r="U771" t="str">
        <f t="shared" si="35"/>
        <v>tak</v>
      </c>
    </row>
    <row r="772" spans="1:21">
      <c r="A772">
        <v>816</v>
      </c>
      <c r="B772" t="s">
        <v>3530</v>
      </c>
      <c r="C772" t="s">
        <v>3507</v>
      </c>
      <c r="D772" t="s">
        <v>3508</v>
      </c>
      <c r="E772" t="s">
        <v>3803</v>
      </c>
      <c r="F772" t="s">
        <v>3451</v>
      </c>
      <c r="G772" t="s">
        <v>3802</v>
      </c>
      <c r="H772" t="s">
        <v>3801</v>
      </c>
      <c r="I772" t="s">
        <v>8822</v>
      </c>
      <c r="K772" t="s">
        <v>164</v>
      </c>
      <c r="N772" t="str">
        <f t="shared" si="34"/>
        <v>Szanowna Pani</v>
      </c>
      <c r="O772" s="19" t="s">
        <v>9776</v>
      </c>
      <c r="U772" t="str">
        <f t="shared" si="35"/>
        <v>tak</v>
      </c>
    </row>
    <row r="773" spans="1:21">
      <c r="A773">
        <v>817</v>
      </c>
      <c r="B773" t="s">
        <v>3530</v>
      </c>
      <c r="C773" t="s">
        <v>3509</v>
      </c>
      <c r="D773" t="s">
        <v>166</v>
      </c>
      <c r="E773" t="s">
        <v>3807</v>
      </c>
      <c r="F773" t="s">
        <v>3806</v>
      </c>
      <c r="G773" t="s">
        <v>3805</v>
      </c>
      <c r="H773" t="s">
        <v>3804</v>
      </c>
      <c r="I773" t="s">
        <v>8823</v>
      </c>
      <c r="K773" t="s">
        <v>3412</v>
      </c>
      <c r="L773" t="s">
        <v>165</v>
      </c>
      <c r="M773" t="s">
        <v>224</v>
      </c>
      <c r="N773" t="str">
        <f t="shared" si="34"/>
        <v>Szanowna Pani</v>
      </c>
      <c r="P773" s="19" t="s">
        <v>9776</v>
      </c>
      <c r="Q773" s="19" t="s">
        <v>9776</v>
      </c>
      <c r="U773" t="str">
        <f t="shared" si="35"/>
        <v>taktak</v>
      </c>
    </row>
    <row r="774" spans="1:21">
      <c r="A774">
        <v>818</v>
      </c>
      <c r="B774" t="s">
        <v>3530</v>
      </c>
      <c r="C774" t="s">
        <v>3510</v>
      </c>
      <c r="D774" t="s">
        <v>246</v>
      </c>
      <c r="E774" t="s">
        <v>3811</v>
      </c>
      <c r="F774" t="s">
        <v>3810</v>
      </c>
      <c r="G774" t="s">
        <v>3809</v>
      </c>
      <c r="H774" t="s">
        <v>3808</v>
      </c>
      <c r="I774" t="s">
        <v>8824</v>
      </c>
      <c r="K774" t="s">
        <v>164</v>
      </c>
      <c r="N774" t="str">
        <f t="shared" si="34"/>
        <v>Szanowna Pani</v>
      </c>
      <c r="O774" s="19" t="s">
        <v>9776</v>
      </c>
      <c r="U774" t="str">
        <f t="shared" si="35"/>
        <v>tak</v>
      </c>
    </row>
    <row r="775" spans="1:21">
      <c r="A775">
        <v>819</v>
      </c>
      <c r="B775" t="s">
        <v>3530</v>
      </c>
      <c r="C775" t="s">
        <v>3511</v>
      </c>
      <c r="D775" t="s">
        <v>166</v>
      </c>
      <c r="E775" t="s">
        <v>3815</v>
      </c>
      <c r="F775" t="s">
        <v>3814</v>
      </c>
      <c r="G775" t="s">
        <v>3813</v>
      </c>
      <c r="H775" t="s">
        <v>3812</v>
      </c>
      <c r="I775" t="s">
        <v>8825</v>
      </c>
      <c r="K775" t="s">
        <v>164</v>
      </c>
      <c r="N775" t="str">
        <f t="shared" si="34"/>
        <v>Szanowna Pani</v>
      </c>
      <c r="O775" s="19" t="s">
        <v>9776</v>
      </c>
      <c r="U775" t="str">
        <f t="shared" si="35"/>
        <v>tak</v>
      </c>
    </row>
    <row r="776" spans="1:21">
      <c r="A776">
        <v>820</v>
      </c>
      <c r="B776" t="s">
        <v>3530</v>
      </c>
      <c r="C776" t="s">
        <v>3512</v>
      </c>
      <c r="D776" t="s">
        <v>3513</v>
      </c>
      <c r="E776" t="s">
        <v>3514</v>
      </c>
      <c r="F776" t="s">
        <v>3515</v>
      </c>
      <c r="G776" t="s">
        <v>3817</v>
      </c>
      <c r="H776" t="s">
        <v>3816</v>
      </c>
      <c r="I776" t="s">
        <v>8826</v>
      </c>
      <c r="K776" t="s">
        <v>3516</v>
      </c>
      <c r="N776" t="str">
        <f t="shared" si="34"/>
        <v>Szanowna Pani</v>
      </c>
      <c r="P776" s="19" t="s">
        <v>9776</v>
      </c>
      <c r="U776" t="str">
        <f t="shared" si="35"/>
        <v>tak</v>
      </c>
    </row>
    <row r="777" spans="1:21">
      <c r="A777">
        <v>821</v>
      </c>
      <c r="B777" t="s">
        <v>3530</v>
      </c>
      <c r="C777" t="s">
        <v>3517</v>
      </c>
      <c r="D777" t="s">
        <v>251</v>
      </c>
      <c r="E777" t="s">
        <v>3822</v>
      </c>
      <c r="F777" t="s">
        <v>3821</v>
      </c>
      <c r="G777" t="s">
        <v>3820</v>
      </c>
      <c r="H777" t="s">
        <v>3819</v>
      </c>
      <c r="I777" t="s">
        <v>8827</v>
      </c>
      <c r="K777" t="s">
        <v>3818</v>
      </c>
      <c r="N777" t="str">
        <f t="shared" si="34"/>
        <v>Szanowna Pani</v>
      </c>
      <c r="O777" s="19" t="s">
        <v>9776</v>
      </c>
      <c r="U777" t="str">
        <f t="shared" si="35"/>
        <v>tak</v>
      </c>
    </row>
    <row r="778" spans="1:21">
      <c r="A778">
        <v>822</v>
      </c>
      <c r="B778" t="s">
        <v>3530</v>
      </c>
      <c r="C778" t="s">
        <v>3517</v>
      </c>
      <c r="D778" t="s">
        <v>251</v>
      </c>
      <c r="E778" t="s">
        <v>3822</v>
      </c>
      <c r="F778" t="s">
        <v>3821</v>
      </c>
      <c r="G778" t="s">
        <v>3820</v>
      </c>
      <c r="H778" t="s">
        <v>3823</v>
      </c>
      <c r="I778" t="s">
        <v>8828</v>
      </c>
      <c r="K778" t="s">
        <v>224</v>
      </c>
      <c r="N778" t="str">
        <f t="shared" si="34"/>
        <v>Szanowna Pani</v>
      </c>
      <c r="Q778" s="19" t="s">
        <v>9776</v>
      </c>
      <c r="U778" t="str">
        <f t="shared" si="35"/>
        <v>tak</v>
      </c>
    </row>
    <row r="779" spans="1:21">
      <c r="A779">
        <v>823</v>
      </c>
      <c r="B779" t="s">
        <v>3530</v>
      </c>
      <c r="C779" t="s">
        <v>3517</v>
      </c>
      <c r="D779" t="s">
        <v>251</v>
      </c>
      <c r="E779" t="s">
        <v>3822</v>
      </c>
      <c r="F779" t="s">
        <v>3821</v>
      </c>
      <c r="G779" t="s">
        <v>3820</v>
      </c>
      <c r="H779" t="s">
        <v>3824</v>
      </c>
      <c r="I779" t="s">
        <v>8827</v>
      </c>
      <c r="K779" t="s">
        <v>165</v>
      </c>
      <c r="N779" t="str">
        <f t="shared" si="34"/>
        <v>Szanowna Pani</v>
      </c>
      <c r="P779" s="19" t="s">
        <v>9776</v>
      </c>
      <c r="U779" t="str">
        <f t="shared" ref="U779:U810" si="36">+O779 &amp;P779&amp;Q779</f>
        <v>tak</v>
      </c>
    </row>
    <row r="780" spans="1:21">
      <c r="A780">
        <v>824</v>
      </c>
      <c r="B780" t="s">
        <v>3530</v>
      </c>
      <c r="C780" t="s">
        <v>3517</v>
      </c>
      <c r="D780" t="s">
        <v>3827</v>
      </c>
      <c r="E780" t="s">
        <v>3826</v>
      </c>
      <c r="F780" t="s">
        <v>3821</v>
      </c>
      <c r="G780" t="s">
        <v>3820</v>
      </c>
      <c r="H780" t="s">
        <v>3825</v>
      </c>
      <c r="I780" t="s">
        <v>8827</v>
      </c>
      <c r="K780" t="s">
        <v>164</v>
      </c>
      <c r="N780" t="str">
        <f t="shared" si="34"/>
        <v>Szanowna Pani</v>
      </c>
      <c r="O780" s="19" t="s">
        <v>9776</v>
      </c>
      <c r="U780" t="str">
        <f t="shared" si="36"/>
        <v>tak</v>
      </c>
    </row>
    <row r="781" spans="1:21">
      <c r="A781">
        <v>825</v>
      </c>
      <c r="B781" t="s">
        <v>3530</v>
      </c>
      <c r="C781" t="s">
        <v>3518</v>
      </c>
      <c r="D781" t="s">
        <v>3519</v>
      </c>
      <c r="E781" t="s">
        <v>3520</v>
      </c>
      <c r="F781" t="s">
        <v>3521</v>
      </c>
      <c r="G781" t="s">
        <v>3829</v>
      </c>
      <c r="H781" t="s">
        <v>3828</v>
      </c>
      <c r="I781" t="s">
        <v>8829</v>
      </c>
      <c r="K781" t="s">
        <v>164</v>
      </c>
      <c r="N781" t="str">
        <f t="shared" si="34"/>
        <v>Szanowna Pani</v>
      </c>
      <c r="O781" s="19" t="s">
        <v>9776</v>
      </c>
      <c r="U781" t="str">
        <f t="shared" si="36"/>
        <v>tak</v>
      </c>
    </row>
    <row r="782" spans="1:21">
      <c r="A782">
        <v>826</v>
      </c>
      <c r="B782" t="s">
        <v>3530</v>
      </c>
      <c r="C782" t="s">
        <v>3522</v>
      </c>
      <c r="D782" t="s">
        <v>3523</v>
      </c>
      <c r="E782" t="s">
        <v>3832</v>
      </c>
      <c r="F782" t="s">
        <v>3471</v>
      </c>
      <c r="G782" t="s">
        <v>3831</v>
      </c>
      <c r="H782" t="s">
        <v>3830</v>
      </c>
      <c r="I782" t="s">
        <v>8830</v>
      </c>
      <c r="K782" t="s">
        <v>164</v>
      </c>
      <c r="N782" t="str">
        <f t="shared" si="34"/>
        <v>Szanowna Pani</v>
      </c>
      <c r="O782" s="19" t="s">
        <v>9776</v>
      </c>
      <c r="U782" t="str">
        <f t="shared" si="36"/>
        <v>tak</v>
      </c>
    </row>
    <row r="783" spans="1:21">
      <c r="A783">
        <v>827</v>
      </c>
      <c r="B783" t="s">
        <v>3530</v>
      </c>
      <c r="C783" t="s">
        <v>3524</v>
      </c>
      <c r="D783" t="s">
        <v>166</v>
      </c>
      <c r="E783" t="s">
        <v>3836</v>
      </c>
      <c r="F783" t="s">
        <v>3835</v>
      </c>
      <c r="G783" t="s">
        <v>3834</v>
      </c>
      <c r="H783" t="s">
        <v>3833</v>
      </c>
      <c r="I783" t="s">
        <v>8831</v>
      </c>
      <c r="K783" t="s">
        <v>164</v>
      </c>
      <c r="N783" t="str">
        <f t="shared" si="34"/>
        <v>Szanowna Pani</v>
      </c>
      <c r="O783" s="19" t="s">
        <v>9776</v>
      </c>
      <c r="U783" t="str">
        <f t="shared" si="36"/>
        <v>tak</v>
      </c>
    </row>
    <row r="784" spans="1:21">
      <c r="A784">
        <v>828</v>
      </c>
      <c r="B784" t="s">
        <v>3530</v>
      </c>
      <c r="C784" t="s">
        <v>3525</v>
      </c>
      <c r="D784" t="s">
        <v>3526</v>
      </c>
      <c r="E784" t="s">
        <v>3527</v>
      </c>
      <c r="F784" t="s">
        <v>3466</v>
      </c>
      <c r="G784" t="s">
        <v>3838</v>
      </c>
      <c r="H784" t="s">
        <v>3837</v>
      </c>
      <c r="I784" t="s">
        <v>8832</v>
      </c>
      <c r="K784" t="s">
        <v>164</v>
      </c>
      <c r="N784" t="str">
        <f t="shared" si="34"/>
        <v>Szanowna Pani</v>
      </c>
      <c r="O784" s="19" t="s">
        <v>9776</v>
      </c>
      <c r="U784" t="str">
        <f t="shared" si="36"/>
        <v>tak</v>
      </c>
    </row>
    <row r="785" spans="1:21">
      <c r="A785">
        <v>829</v>
      </c>
      <c r="B785" t="s">
        <v>3530</v>
      </c>
      <c r="C785" t="s">
        <v>3528</v>
      </c>
      <c r="D785" t="s">
        <v>3906</v>
      </c>
      <c r="E785" t="s">
        <v>3905</v>
      </c>
      <c r="F785" t="s">
        <v>3722</v>
      </c>
      <c r="G785" t="s">
        <v>3904</v>
      </c>
      <c r="H785" t="s">
        <v>3903</v>
      </c>
      <c r="I785" t="s">
        <v>8833</v>
      </c>
      <c r="K785" t="s">
        <v>164</v>
      </c>
      <c r="N785" t="str">
        <f t="shared" si="34"/>
        <v>Szanowna Pani</v>
      </c>
      <c r="O785" s="19" t="s">
        <v>9776</v>
      </c>
      <c r="U785" t="str">
        <f t="shared" si="36"/>
        <v>tak</v>
      </c>
    </row>
    <row r="786" spans="1:21">
      <c r="A786">
        <v>830</v>
      </c>
      <c r="B786" t="s">
        <v>3530</v>
      </c>
      <c r="C786" t="s">
        <v>3528</v>
      </c>
      <c r="D786" t="s">
        <v>3842</v>
      </c>
      <c r="E786" t="s">
        <v>3841</v>
      </c>
      <c r="F786" t="s">
        <v>3722</v>
      </c>
      <c r="G786" t="s">
        <v>3840</v>
      </c>
      <c r="H786" t="s">
        <v>3839</v>
      </c>
      <c r="I786" t="s">
        <v>8834</v>
      </c>
      <c r="K786" t="s">
        <v>164</v>
      </c>
      <c r="N786" t="str">
        <f t="shared" si="34"/>
        <v>Szanowna Pani</v>
      </c>
      <c r="O786" s="19" t="s">
        <v>9776</v>
      </c>
      <c r="U786" t="str">
        <f t="shared" si="36"/>
        <v>tak</v>
      </c>
    </row>
    <row r="787" spans="1:21">
      <c r="A787">
        <v>831</v>
      </c>
      <c r="B787" t="s">
        <v>3530</v>
      </c>
      <c r="C787" t="s">
        <v>3529</v>
      </c>
      <c r="D787" t="s">
        <v>3892</v>
      </c>
      <c r="E787" t="s">
        <v>3891</v>
      </c>
      <c r="F787" t="s">
        <v>3684</v>
      </c>
      <c r="G787" t="s">
        <v>3683</v>
      </c>
      <c r="H787" t="s">
        <v>3890</v>
      </c>
      <c r="I787" t="s">
        <v>8835</v>
      </c>
      <c r="K787" t="s">
        <v>224</v>
      </c>
      <c r="N787" t="str">
        <f t="shared" si="34"/>
        <v>Szanowna Pani</v>
      </c>
      <c r="Q787" s="19" t="s">
        <v>9776</v>
      </c>
      <c r="U787" t="str">
        <f t="shared" si="36"/>
        <v>tak</v>
      </c>
    </row>
    <row r="788" spans="1:21">
      <c r="A788">
        <v>832</v>
      </c>
      <c r="B788" t="s">
        <v>3939</v>
      </c>
      <c r="C788" t="s">
        <v>3907</v>
      </c>
      <c r="D788" t="s">
        <v>3908</v>
      </c>
      <c r="E788" t="s">
        <v>4004</v>
      </c>
      <c r="F788" t="s">
        <v>4003</v>
      </c>
      <c r="G788" t="s">
        <v>4002</v>
      </c>
      <c r="H788" t="s">
        <v>4001</v>
      </c>
      <c r="I788" t="s">
        <v>8836</v>
      </c>
      <c r="K788" t="s">
        <v>164</v>
      </c>
      <c r="N788" t="str">
        <f t="shared" si="34"/>
        <v>Szanowny Pan</v>
      </c>
      <c r="O788" s="19" t="s">
        <v>9776</v>
      </c>
      <c r="U788" t="str">
        <f t="shared" si="36"/>
        <v>tak</v>
      </c>
    </row>
    <row r="789" spans="1:21">
      <c r="A789">
        <v>833</v>
      </c>
      <c r="B789" t="s">
        <v>3939</v>
      </c>
      <c r="C789" t="s">
        <v>3909</v>
      </c>
      <c r="D789" t="s">
        <v>3910</v>
      </c>
      <c r="E789" t="s">
        <v>4008</v>
      </c>
      <c r="F789" t="s">
        <v>4007</v>
      </c>
      <c r="G789" t="s">
        <v>4006</v>
      </c>
      <c r="H789" t="s">
        <v>4005</v>
      </c>
      <c r="I789" t="s">
        <v>8837</v>
      </c>
      <c r="K789" t="s">
        <v>165</v>
      </c>
      <c r="N789" t="str">
        <f t="shared" si="34"/>
        <v>Szanowna Pani</v>
      </c>
      <c r="P789" s="19" t="s">
        <v>9776</v>
      </c>
      <c r="U789" t="str">
        <f t="shared" si="36"/>
        <v>tak</v>
      </c>
    </row>
    <row r="790" spans="1:21">
      <c r="A790">
        <v>834</v>
      </c>
      <c r="B790" t="s">
        <v>3939</v>
      </c>
      <c r="C790" t="s">
        <v>3911</v>
      </c>
      <c r="D790" t="s">
        <v>4013</v>
      </c>
      <c r="E790" t="s">
        <v>4012</v>
      </c>
      <c r="F790" t="s">
        <v>4011</v>
      </c>
      <c r="G790" t="s">
        <v>4010</v>
      </c>
      <c r="H790" t="s">
        <v>4009</v>
      </c>
      <c r="I790" t="s">
        <v>8838</v>
      </c>
      <c r="K790" t="s">
        <v>164</v>
      </c>
      <c r="N790" t="str">
        <f t="shared" si="34"/>
        <v>Szanowna Pani</v>
      </c>
      <c r="O790" s="19" t="s">
        <v>9776</v>
      </c>
      <c r="U790" t="str">
        <f t="shared" si="36"/>
        <v>tak</v>
      </c>
    </row>
    <row r="791" spans="1:21">
      <c r="A791">
        <v>835</v>
      </c>
      <c r="B791" t="s">
        <v>3939</v>
      </c>
      <c r="C791" t="s">
        <v>3912</v>
      </c>
      <c r="D791" t="s">
        <v>4018</v>
      </c>
      <c r="E791" t="s">
        <v>4017</v>
      </c>
      <c r="F791" t="s">
        <v>4016</v>
      </c>
      <c r="G791" t="s">
        <v>4015</v>
      </c>
      <c r="H791" t="s">
        <v>4014</v>
      </c>
      <c r="I791" t="s">
        <v>8839</v>
      </c>
      <c r="K791" t="s">
        <v>164</v>
      </c>
      <c r="N791" t="str">
        <f t="shared" ref="N791:N854" si="37">IF(ISERROR(FIND(",",H791)),IF(MID(H791,FIND(" ",H791)-1,1)="a","Szanowna Pani","Szanowny Pan"), "Szanowne Panie")</f>
        <v>Szanowne Panie</v>
      </c>
      <c r="O791" s="19" t="s">
        <v>9776</v>
      </c>
      <c r="U791" t="str">
        <f t="shared" si="36"/>
        <v>tak</v>
      </c>
    </row>
    <row r="792" spans="1:21">
      <c r="A792">
        <v>836</v>
      </c>
      <c r="B792" t="s">
        <v>3939</v>
      </c>
      <c r="C792" t="s">
        <v>3913</v>
      </c>
      <c r="D792" t="s">
        <v>4000</v>
      </c>
      <c r="E792" t="s">
        <v>3914</v>
      </c>
      <c r="F792" t="s">
        <v>3915</v>
      </c>
      <c r="G792" t="s">
        <v>4020</v>
      </c>
      <c r="H792" t="s">
        <v>4019</v>
      </c>
      <c r="I792" t="s">
        <v>8840</v>
      </c>
      <c r="K792" t="s">
        <v>164</v>
      </c>
      <c r="N792" t="str">
        <f t="shared" si="37"/>
        <v>Szanowna Pani</v>
      </c>
      <c r="O792" s="19" t="s">
        <v>9776</v>
      </c>
      <c r="U792" t="str">
        <f t="shared" si="36"/>
        <v>tak</v>
      </c>
    </row>
    <row r="793" spans="1:21">
      <c r="A793">
        <v>837</v>
      </c>
      <c r="B793" t="s">
        <v>3939</v>
      </c>
      <c r="C793" t="s">
        <v>3916</v>
      </c>
      <c r="D793" t="s">
        <v>3917</v>
      </c>
      <c r="E793" t="s">
        <v>3918</v>
      </c>
      <c r="F793" t="s">
        <v>3919</v>
      </c>
      <c r="G793" t="s">
        <v>4022</v>
      </c>
      <c r="H793" t="s">
        <v>4021</v>
      </c>
      <c r="I793" t="s">
        <v>8841</v>
      </c>
      <c r="K793" t="s">
        <v>164</v>
      </c>
      <c r="N793" t="str">
        <f t="shared" si="37"/>
        <v>Szanowna Pani</v>
      </c>
      <c r="O793" s="19" t="s">
        <v>9776</v>
      </c>
      <c r="U793" t="str">
        <f t="shared" si="36"/>
        <v>tak</v>
      </c>
    </row>
    <row r="794" spans="1:21">
      <c r="A794">
        <v>838</v>
      </c>
      <c r="B794" t="s">
        <v>3939</v>
      </c>
      <c r="C794" t="s">
        <v>3916</v>
      </c>
      <c r="D794" t="s">
        <v>3920</v>
      </c>
      <c r="E794" t="s">
        <v>4025</v>
      </c>
      <c r="F794" t="s">
        <v>3919</v>
      </c>
      <c r="G794" t="s">
        <v>4024</v>
      </c>
      <c r="H794" t="s">
        <v>4023</v>
      </c>
      <c r="I794" t="s">
        <v>8842</v>
      </c>
      <c r="K794" t="s">
        <v>164</v>
      </c>
      <c r="N794" t="str">
        <f t="shared" si="37"/>
        <v>Szanowne Panie</v>
      </c>
      <c r="O794" s="19" t="s">
        <v>9776</v>
      </c>
      <c r="U794" t="str">
        <f t="shared" si="36"/>
        <v>tak</v>
      </c>
    </row>
    <row r="795" spans="1:21">
      <c r="A795">
        <v>839</v>
      </c>
      <c r="B795" t="s">
        <v>3939</v>
      </c>
      <c r="C795" t="s">
        <v>3916</v>
      </c>
      <c r="D795" t="s">
        <v>3920</v>
      </c>
      <c r="E795" t="s">
        <v>4025</v>
      </c>
      <c r="F795" t="s">
        <v>3919</v>
      </c>
      <c r="G795" t="s">
        <v>4024</v>
      </c>
      <c r="H795" t="s">
        <v>4026</v>
      </c>
      <c r="I795" t="s">
        <v>8843</v>
      </c>
      <c r="K795" t="s">
        <v>165</v>
      </c>
      <c r="N795" t="str">
        <f t="shared" si="37"/>
        <v>Szanowna Pani</v>
      </c>
      <c r="P795" s="19" t="s">
        <v>9776</v>
      </c>
      <c r="U795" t="str">
        <f t="shared" si="36"/>
        <v>tak</v>
      </c>
    </row>
    <row r="796" spans="1:21">
      <c r="A796">
        <v>840</v>
      </c>
      <c r="B796" t="s">
        <v>3939</v>
      </c>
      <c r="C796" t="s">
        <v>3921</v>
      </c>
      <c r="D796" t="s">
        <v>3922</v>
      </c>
      <c r="E796" t="s">
        <v>3923</v>
      </c>
      <c r="F796" t="s">
        <v>3924</v>
      </c>
      <c r="G796" t="s">
        <v>4028</v>
      </c>
      <c r="H796" t="s">
        <v>4027</v>
      </c>
      <c r="I796" t="s">
        <v>8844</v>
      </c>
      <c r="K796" t="s">
        <v>164</v>
      </c>
      <c r="N796" t="str">
        <f t="shared" si="37"/>
        <v>Szanowna Pani</v>
      </c>
      <c r="O796" s="19" t="s">
        <v>9776</v>
      </c>
      <c r="U796" t="str">
        <f t="shared" si="36"/>
        <v>tak</v>
      </c>
    </row>
    <row r="797" spans="1:21">
      <c r="A797">
        <v>841</v>
      </c>
      <c r="B797" t="s">
        <v>3939</v>
      </c>
      <c r="C797" t="s">
        <v>3925</v>
      </c>
      <c r="D797" t="s">
        <v>3926</v>
      </c>
      <c r="E797" t="s">
        <v>3927</v>
      </c>
      <c r="F797" t="s">
        <v>3928</v>
      </c>
      <c r="G797" t="s">
        <v>4030</v>
      </c>
      <c r="H797" t="s">
        <v>4029</v>
      </c>
      <c r="I797" t="s">
        <v>8845</v>
      </c>
      <c r="K797" t="s">
        <v>164</v>
      </c>
      <c r="N797" t="str">
        <f t="shared" si="37"/>
        <v>Szanowna Pani</v>
      </c>
      <c r="O797" s="19" t="s">
        <v>9776</v>
      </c>
      <c r="U797" t="str">
        <f t="shared" si="36"/>
        <v>tak</v>
      </c>
    </row>
    <row r="798" spans="1:21">
      <c r="A798">
        <v>842</v>
      </c>
      <c r="B798" t="s">
        <v>3939</v>
      </c>
      <c r="C798" t="s">
        <v>3925</v>
      </c>
      <c r="D798" t="s">
        <v>3926</v>
      </c>
      <c r="E798" t="s">
        <v>3927</v>
      </c>
      <c r="F798" t="s">
        <v>3928</v>
      </c>
      <c r="G798" t="s">
        <v>4030</v>
      </c>
      <c r="H798" t="s">
        <v>4029</v>
      </c>
      <c r="I798" t="s">
        <v>8845</v>
      </c>
      <c r="K798" t="s">
        <v>165</v>
      </c>
      <c r="N798" t="str">
        <f t="shared" si="37"/>
        <v>Szanowna Pani</v>
      </c>
      <c r="P798" s="19" t="s">
        <v>9776</v>
      </c>
      <c r="U798" t="str">
        <f t="shared" si="36"/>
        <v>tak</v>
      </c>
    </row>
    <row r="799" spans="1:21">
      <c r="A799">
        <v>843</v>
      </c>
      <c r="B799" t="s">
        <v>3939</v>
      </c>
      <c r="C799" t="s">
        <v>3929</v>
      </c>
      <c r="D799" t="s">
        <v>4035</v>
      </c>
      <c r="E799" t="s">
        <v>4034</v>
      </c>
      <c r="F799" t="s">
        <v>4033</v>
      </c>
      <c r="G799" t="s">
        <v>4032</v>
      </c>
      <c r="H799" t="s">
        <v>4031</v>
      </c>
      <c r="I799" s="15" t="s">
        <v>9743</v>
      </c>
      <c r="K799" t="s">
        <v>164</v>
      </c>
      <c r="N799" t="str">
        <f t="shared" si="37"/>
        <v>Szanowna Pani</v>
      </c>
      <c r="O799" s="19" t="s">
        <v>9776</v>
      </c>
      <c r="U799" t="str">
        <f t="shared" si="36"/>
        <v>tak</v>
      </c>
    </row>
    <row r="800" spans="1:21">
      <c r="A800">
        <v>844</v>
      </c>
      <c r="B800" t="s">
        <v>3939</v>
      </c>
      <c r="C800" t="s">
        <v>3930</v>
      </c>
      <c r="D800" t="s">
        <v>4039</v>
      </c>
      <c r="E800" t="s">
        <v>4038</v>
      </c>
      <c r="F800" t="s">
        <v>4007</v>
      </c>
      <c r="G800" t="s">
        <v>4037</v>
      </c>
      <c r="H800" t="s">
        <v>4036</v>
      </c>
      <c r="I800" t="s">
        <v>8846</v>
      </c>
      <c r="K800" t="s">
        <v>164</v>
      </c>
      <c r="N800" t="str">
        <f t="shared" si="37"/>
        <v>Szanowna Pani</v>
      </c>
      <c r="O800" s="19" t="s">
        <v>9776</v>
      </c>
      <c r="U800" t="str">
        <f t="shared" si="36"/>
        <v>tak</v>
      </c>
    </row>
    <row r="801" spans="1:21">
      <c r="A801">
        <v>845</v>
      </c>
      <c r="B801" t="s">
        <v>3939</v>
      </c>
      <c r="C801" t="s">
        <v>3931</v>
      </c>
      <c r="D801" t="s">
        <v>9651</v>
      </c>
      <c r="E801" t="s">
        <v>9652</v>
      </c>
      <c r="F801" t="s">
        <v>4042</v>
      </c>
      <c r="G801" t="s">
        <v>4041</v>
      </c>
      <c r="H801" t="s">
        <v>4040</v>
      </c>
      <c r="I801" t="s">
        <v>8847</v>
      </c>
      <c r="K801" t="s">
        <v>164</v>
      </c>
      <c r="N801" t="str">
        <f t="shared" si="37"/>
        <v>Szanowne Panie</v>
      </c>
      <c r="O801" s="19" t="s">
        <v>9776</v>
      </c>
      <c r="U801" t="str">
        <f t="shared" si="36"/>
        <v>tak</v>
      </c>
    </row>
    <row r="802" spans="1:21">
      <c r="A802">
        <v>846</v>
      </c>
      <c r="B802" t="s">
        <v>3939</v>
      </c>
      <c r="C802" t="s">
        <v>3931</v>
      </c>
      <c r="D802" t="s">
        <v>9653</v>
      </c>
      <c r="E802" t="s">
        <v>9652</v>
      </c>
      <c r="F802" t="s">
        <v>4042</v>
      </c>
      <c r="G802" t="s">
        <v>4041</v>
      </c>
      <c r="H802" t="s">
        <v>4043</v>
      </c>
      <c r="I802" t="s">
        <v>8848</v>
      </c>
      <c r="K802" t="s">
        <v>165</v>
      </c>
      <c r="N802" t="str">
        <f t="shared" si="37"/>
        <v>Szanowne Panie</v>
      </c>
      <c r="P802" s="19" t="s">
        <v>9776</v>
      </c>
      <c r="U802" t="str">
        <f t="shared" si="36"/>
        <v>tak</v>
      </c>
    </row>
    <row r="803" spans="1:21">
      <c r="A803">
        <v>847</v>
      </c>
      <c r="B803" t="s">
        <v>3939</v>
      </c>
      <c r="C803" t="s">
        <v>3932</v>
      </c>
      <c r="D803" t="s">
        <v>4048</v>
      </c>
      <c r="E803" t="s">
        <v>4047</v>
      </c>
      <c r="F803" t="s">
        <v>4046</v>
      </c>
      <c r="G803" t="s">
        <v>4045</v>
      </c>
      <c r="H803" t="s">
        <v>4044</v>
      </c>
      <c r="I803" t="s">
        <v>8849</v>
      </c>
      <c r="K803" t="s">
        <v>164</v>
      </c>
      <c r="N803" t="str">
        <f t="shared" si="37"/>
        <v>Szanowne Panie</v>
      </c>
      <c r="O803" s="19" t="s">
        <v>9776</v>
      </c>
      <c r="U803" t="str">
        <f t="shared" si="36"/>
        <v>tak</v>
      </c>
    </row>
    <row r="804" spans="1:21">
      <c r="A804">
        <v>848</v>
      </c>
      <c r="B804" t="s">
        <v>3939</v>
      </c>
      <c r="C804" t="s">
        <v>3933</v>
      </c>
      <c r="D804" t="s">
        <v>3934</v>
      </c>
      <c r="E804" t="s">
        <v>4052</v>
      </c>
      <c r="F804" t="s">
        <v>4051</v>
      </c>
      <c r="G804" t="s">
        <v>4050</v>
      </c>
      <c r="H804" t="s">
        <v>4049</v>
      </c>
      <c r="I804" t="s">
        <v>8850</v>
      </c>
      <c r="K804" t="s">
        <v>164</v>
      </c>
      <c r="N804" t="str">
        <f t="shared" si="37"/>
        <v>Szanowne Panie</v>
      </c>
      <c r="O804" s="19" t="s">
        <v>9776</v>
      </c>
      <c r="U804" t="str">
        <f t="shared" si="36"/>
        <v>tak</v>
      </c>
    </row>
    <row r="805" spans="1:21">
      <c r="A805">
        <v>849</v>
      </c>
      <c r="B805" t="s">
        <v>3939</v>
      </c>
      <c r="C805" t="s">
        <v>3935</v>
      </c>
      <c r="D805" t="s">
        <v>4057</v>
      </c>
      <c r="E805" t="s">
        <v>4056</v>
      </c>
      <c r="F805" t="s">
        <v>4055</v>
      </c>
      <c r="G805" t="s">
        <v>4054</v>
      </c>
      <c r="H805" t="s">
        <v>4053</v>
      </c>
      <c r="I805" t="s">
        <v>8851</v>
      </c>
      <c r="K805" t="s">
        <v>164</v>
      </c>
      <c r="N805" t="str">
        <f t="shared" si="37"/>
        <v>Szanowna Pani</v>
      </c>
      <c r="O805" s="19" t="s">
        <v>9776</v>
      </c>
      <c r="U805" t="str">
        <f t="shared" si="36"/>
        <v>tak</v>
      </c>
    </row>
    <row r="806" spans="1:21">
      <c r="A806">
        <v>850</v>
      </c>
      <c r="B806" t="s">
        <v>3939</v>
      </c>
      <c r="C806" t="s">
        <v>3936</v>
      </c>
      <c r="D806" t="s">
        <v>4061</v>
      </c>
      <c r="E806" t="s">
        <v>4060</v>
      </c>
      <c r="F806" t="s">
        <v>4059</v>
      </c>
      <c r="G806" t="s">
        <v>4058</v>
      </c>
      <c r="H806" t="s">
        <v>357</v>
      </c>
      <c r="I806" t="s">
        <v>8852</v>
      </c>
      <c r="K806" t="s">
        <v>164</v>
      </c>
      <c r="N806" t="str">
        <f t="shared" si="37"/>
        <v>Szanowna Pani</v>
      </c>
      <c r="O806" s="19" t="s">
        <v>9776</v>
      </c>
      <c r="U806" t="str">
        <f t="shared" si="36"/>
        <v>tak</v>
      </c>
    </row>
    <row r="807" spans="1:21">
      <c r="A807">
        <v>851</v>
      </c>
      <c r="B807" t="s">
        <v>3939</v>
      </c>
      <c r="C807" t="s">
        <v>3937</v>
      </c>
      <c r="D807" t="s">
        <v>4066</v>
      </c>
      <c r="E807" t="s">
        <v>4065</v>
      </c>
      <c r="F807" t="s">
        <v>4064</v>
      </c>
      <c r="G807" t="s">
        <v>4063</v>
      </c>
      <c r="H807" t="s">
        <v>4062</v>
      </c>
      <c r="I807" t="s">
        <v>8853</v>
      </c>
      <c r="K807" t="s">
        <v>164</v>
      </c>
      <c r="N807" t="str">
        <f t="shared" si="37"/>
        <v>Szanowny Pan</v>
      </c>
      <c r="O807" s="19" t="s">
        <v>9776</v>
      </c>
      <c r="U807" t="str">
        <f t="shared" si="36"/>
        <v>tak</v>
      </c>
    </row>
    <row r="808" spans="1:21">
      <c r="A808">
        <v>852</v>
      </c>
      <c r="B808" t="s">
        <v>3939</v>
      </c>
      <c r="C808" t="s">
        <v>3938</v>
      </c>
      <c r="D808" t="s">
        <v>4070</v>
      </c>
      <c r="E808" t="s">
        <v>3323</v>
      </c>
      <c r="F808" t="s">
        <v>4069</v>
      </c>
      <c r="G808" t="s">
        <v>4068</v>
      </c>
      <c r="H808" t="s">
        <v>4067</v>
      </c>
      <c r="I808" t="s">
        <v>8854</v>
      </c>
      <c r="K808" t="s">
        <v>164</v>
      </c>
      <c r="N808" t="str">
        <f t="shared" si="37"/>
        <v>Szanowna Pani</v>
      </c>
      <c r="O808" s="19" t="s">
        <v>9776</v>
      </c>
      <c r="U808" t="str">
        <f t="shared" si="36"/>
        <v>tak</v>
      </c>
    </row>
    <row r="809" spans="1:21">
      <c r="A809">
        <v>853</v>
      </c>
      <c r="B809" t="s">
        <v>3939</v>
      </c>
      <c r="C809" t="s">
        <v>3938</v>
      </c>
      <c r="D809" t="s">
        <v>4070</v>
      </c>
      <c r="E809" t="s">
        <v>3323</v>
      </c>
      <c r="F809" t="s">
        <v>4069</v>
      </c>
      <c r="G809" t="s">
        <v>4068</v>
      </c>
      <c r="H809" t="s">
        <v>4067</v>
      </c>
      <c r="I809" t="s">
        <v>8854</v>
      </c>
      <c r="K809" t="s">
        <v>224</v>
      </c>
      <c r="N809" t="str">
        <f t="shared" si="37"/>
        <v>Szanowna Pani</v>
      </c>
      <c r="Q809" s="19" t="s">
        <v>9776</v>
      </c>
      <c r="U809" t="str">
        <f t="shared" si="36"/>
        <v>tak</v>
      </c>
    </row>
    <row r="810" spans="1:21">
      <c r="A810">
        <v>854</v>
      </c>
      <c r="B810" t="s">
        <v>3939</v>
      </c>
      <c r="C810" t="s">
        <v>3939</v>
      </c>
      <c r="D810" t="s">
        <v>4074</v>
      </c>
      <c r="E810" t="s">
        <v>4073</v>
      </c>
      <c r="G810" t="s">
        <v>4072</v>
      </c>
      <c r="H810" t="s">
        <v>4071</v>
      </c>
      <c r="I810" t="s">
        <v>8855</v>
      </c>
      <c r="K810" t="s">
        <v>164</v>
      </c>
      <c r="N810" t="str">
        <f t="shared" si="37"/>
        <v>Szanowna Pani</v>
      </c>
      <c r="O810" s="19" t="s">
        <v>9776</v>
      </c>
      <c r="U810" t="str">
        <f t="shared" si="36"/>
        <v>tak</v>
      </c>
    </row>
    <row r="811" spans="1:21">
      <c r="A811">
        <v>855</v>
      </c>
      <c r="B811" t="s">
        <v>3939</v>
      </c>
      <c r="C811" t="s">
        <v>3939</v>
      </c>
      <c r="D811" t="s">
        <v>4079</v>
      </c>
      <c r="E811" t="s">
        <v>4078</v>
      </c>
      <c r="F811" t="s">
        <v>4077</v>
      </c>
      <c r="G811" t="s">
        <v>4076</v>
      </c>
      <c r="H811" t="s">
        <v>4075</v>
      </c>
      <c r="I811" t="s">
        <v>8856</v>
      </c>
      <c r="K811" t="s">
        <v>164</v>
      </c>
      <c r="N811" t="str">
        <f t="shared" si="37"/>
        <v>Szanowna Pani</v>
      </c>
      <c r="O811" s="19" t="s">
        <v>9776</v>
      </c>
      <c r="U811" t="str">
        <f t="shared" ref="U811:U846" si="38">+O811 &amp;P811&amp;Q811</f>
        <v>tak</v>
      </c>
    </row>
    <row r="812" spans="1:21">
      <c r="A812">
        <v>856</v>
      </c>
      <c r="B812" t="s">
        <v>3939</v>
      </c>
      <c r="C812" t="s">
        <v>3939</v>
      </c>
      <c r="D812" t="s">
        <v>4084</v>
      </c>
      <c r="E812" t="s">
        <v>4083</v>
      </c>
      <c r="F812" t="s">
        <v>4082</v>
      </c>
      <c r="G812" t="s">
        <v>4081</v>
      </c>
      <c r="H812" t="s">
        <v>4080</v>
      </c>
      <c r="I812" t="s">
        <v>8857</v>
      </c>
      <c r="K812" t="s">
        <v>164</v>
      </c>
      <c r="N812" t="str">
        <f t="shared" si="37"/>
        <v>Szanowna Pani</v>
      </c>
      <c r="O812" s="19" t="s">
        <v>9776</v>
      </c>
      <c r="U812" t="str">
        <f t="shared" si="38"/>
        <v>tak</v>
      </c>
    </row>
    <row r="813" spans="1:21">
      <c r="A813">
        <v>857</v>
      </c>
      <c r="B813" t="s">
        <v>3939</v>
      </c>
      <c r="C813" t="s">
        <v>3939</v>
      </c>
      <c r="D813" t="s">
        <v>4089</v>
      </c>
      <c r="E813" t="s">
        <v>4088</v>
      </c>
      <c r="F813" t="s">
        <v>4087</v>
      </c>
      <c r="G813" t="s">
        <v>4086</v>
      </c>
      <c r="H813" t="s">
        <v>4085</v>
      </c>
      <c r="I813" t="s">
        <v>8858</v>
      </c>
      <c r="K813" t="s">
        <v>164</v>
      </c>
      <c r="N813" t="str">
        <f t="shared" si="37"/>
        <v>Szanowna Pani</v>
      </c>
      <c r="O813" s="19" t="s">
        <v>9776</v>
      </c>
      <c r="U813" t="str">
        <f t="shared" si="38"/>
        <v>tak</v>
      </c>
    </row>
    <row r="814" spans="1:21">
      <c r="A814">
        <v>858</v>
      </c>
      <c r="B814" t="s">
        <v>3939</v>
      </c>
      <c r="C814" t="s">
        <v>3939</v>
      </c>
      <c r="D814" t="s">
        <v>4094</v>
      </c>
      <c r="E814" t="s">
        <v>4093</v>
      </c>
      <c r="F814" t="s">
        <v>4092</v>
      </c>
      <c r="G814" t="s">
        <v>4091</v>
      </c>
      <c r="H814" t="s">
        <v>4090</v>
      </c>
      <c r="I814" t="s">
        <v>8859</v>
      </c>
      <c r="K814" t="s">
        <v>164</v>
      </c>
      <c r="N814" t="str">
        <f t="shared" si="37"/>
        <v>Szanowna Pani</v>
      </c>
      <c r="O814" s="19" t="s">
        <v>9776</v>
      </c>
      <c r="U814" t="str">
        <f t="shared" si="38"/>
        <v>tak</v>
      </c>
    </row>
    <row r="815" spans="1:21">
      <c r="A815">
        <v>859</v>
      </c>
      <c r="B815" t="s">
        <v>3939</v>
      </c>
      <c r="C815" t="s">
        <v>3939</v>
      </c>
      <c r="D815" t="s">
        <v>4099</v>
      </c>
      <c r="E815" t="s">
        <v>4098</v>
      </c>
      <c r="F815" t="s">
        <v>4097</v>
      </c>
      <c r="G815" t="s">
        <v>4096</v>
      </c>
      <c r="H815" t="s">
        <v>4095</v>
      </c>
      <c r="I815" t="s">
        <v>8860</v>
      </c>
      <c r="K815" t="s">
        <v>164</v>
      </c>
      <c r="N815" t="str">
        <f t="shared" si="37"/>
        <v>Szanowna Pani</v>
      </c>
      <c r="O815" s="19" t="s">
        <v>9776</v>
      </c>
      <c r="U815" t="str">
        <f t="shared" si="38"/>
        <v>tak</v>
      </c>
    </row>
    <row r="816" spans="1:21">
      <c r="A816">
        <v>860</v>
      </c>
      <c r="B816" t="s">
        <v>3939</v>
      </c>
      <c r="C816" t="s">
        <v>3939</v>
      </c>
      <c r="D816" t="s">
        <v>4104</v>
      </c>
      <c r="E816" t="s">
        <v>4103</v>
      </c>
      <c r="F816" t="s">
        <v>4102</v>
      </c>
      <c r="G816" t="s">
        <v>4101</v>
      </c>
      <c r="H816" t="s">
        <v>4100</v>
      </c>
      <c r="I816" t="s">
        <v>8861</v>
      </c>
      <c r="K816" t="s">
        <v>164</v>
      </c>
      <c r="N816" t="str">
        <f t="shared" si="37"/>
        <v>Szanowna Pani</v>
      </c>
      <c r="O816" s="19" t="s">
        <v>9776</v>
      </c>
      <c r="U816" t="str">
        <f t="shared" si="38"/>
        <v>tak</v>
      </c>
    </row>
    <row r="817" spans="1:21">
      <c r="A817">
        <v>861</v>
      </c>
      <c r="B817" t="s">
        <v>3939</v>
      </c>
      <c r="C817" t="s">
        <v>3939</v>
      </c>
      <c r="D817" t="s">
        <v>4109</v>
      </c>
      <c r="E817" t="s">
        <v>4108</v>
      </c>
      <c r="F817" t="s">
        <v>4107</v>
      </c>
      <c r="G817" t="s">
        <v>4106</v>
      </c>
      <c r="H817" t="s">
        <v>4105</v>
      </c>
      <c r="I817" t="s">
        <v>8862</v>
      </c>
      <c r="K817" t="s">
        <v>164</v>
      </c>
      <c r="N817" t="str">
        <f t="shared" si="37"/>
        <v>Szanowna Pani</v>
      </c>
      <c r="O817" s="19" t="s">
        <v>9776</v>
      </c>
      <c r="U817" t="str">
        <f t="shared" si="38"/>
        <v>tak</v>
      </c>
    </row>
    <row r="818" spans="1:21">
      <c r="A818">
        <v>862</v>
      </c>
      <c r="B818" t="s">
        <v>3939</v>
      </c>
      <c r="C818" t="s">
        <v>3939</v>
      </c>
      <c r="D818" t="s">
        <v>4114</v>
      </c>
      <c r="E818" t="s">
        <v>4113</v>
      </c>
      <c r="F818" t="s">
        <v>4112</v>
      </c>
      <c r="G818" t="s">
        <v>4111</v>
      </c>
      <c r="H818" t="s">
        <v>4110</v>
      </c>
      <c r="I818" t="s">
        <v>8863</v>
      </c>
      <c r="K818" t="s">
        <v>164</v>
      </c>
      <c r="N818" t="str">
        <f t="shared" si="37"/>
        <v>Szanowne Panie</v>
      </c>
      <c r="O818" s="19" t="s">
        <v>9776</v>
      </c>
      <c r="U818" t="str">
        <f t="shared" si="38"/>
        <v>tak</v>
      </c>
    </row>
    <row r="819" spans="1:21">
      <c r="A819">
        <v>863</v>
      </c>
      <c r="B819" t="s">
        <v>3939</v>
      </c>
      <c r="C819" t="s">
        <v>3939</v>
      </c>
      <c r="D819" t="s">
        <v>4119</v>
      </c>
      <c r="E819" t="s">
        <v>4118</v>
      </c>
      <c r="F819" t="s">
        <v>4117</v>
      </c>
      <c r="G819" t="s">
        <v>4116</v>
      </c>
      <c r="H819" t="s">
        <v>4115</v>
      </c>
      <c r="I819" t="s">
        <v>8864</v>
      </c>
      <c r="K819" t="s">
        <v>165</v>
      </c>
      <c r="N819" t="str">
        <f t="shared" si="37"/>
        <v>Szanowna Pani</v>
      </c>
      <c r="P819" s="19" t="s">
        <v>9776</v>
      </c>
      <c r="U819" t="str">
        <f t="shared" si="38"/>
        <v>tak</v>
      </c>
    </row>
    <row r="820" spans="1:21">
      <c r="A820">
        <v>864</v>
      </c>
      <c r="B820" t="s">
        <v>3939</v>
      </c>
      <c r="C820" t="s">
        <v>3939</v>
      </c>
      <c r="D820" t="s">
        <v>4124</v>
      </c>
      <c r="E820" t="s">
        <v>4123</v>
      </c>
      <c r="F820" t="s">
        <v>4122</v>
      </c>
      <c r="G820" t="s">
        <v>4121</v>
      </c>
      <c r="H820" t="s">
        <v>4120</v>
      </c>
      <c r="I820" t="s">
        <v>8865</v>
      </c>
      <c r="K820" t="s">
        <v>164</v>
      </c>
      <c r="N820" t="str">
        <f t="shared" si="37"/>
        <v>Szanowna Pani</v>
      </c>
      <c r="O820" s="19" t="s">
        <v>9776</v>
      </c>
      <c r="U820" t="str">
        <f t="shared" si="38"/>
        <v>tak</v>
      </c>
    </row>
    <row r="821" spans="1:21">
      <c r="A821">
        <v>865</v>
      </c>
      <c r="B821" t="s">
        <v>3939</v>
      </c>
      <c r="C821" t="s">
        <v>3939</v>
      </c>
      <c r="D821" t="s">
        <v>4128</v>
      </c>
      <c r="E821" t="s">
        <v>4127</v>
      </c>
      <c r="F821" t="s">
        <v>4126</v>
      </c>
      <c r="G821" t="s">
        <v>4125</v>
      </c>
      <c r="H821" t="s">
        <v>4129</v>
      </c>
      <c r="I821" s="15" t="s">
        <v>8866</v>
      </c>
      <c r="K821" t="s">
        <v>164</v>
      </c>
      <c r="L821" t="s">
        <v>9607</v>
      </c>
      <c r="N821" t="str">
        <f t="shared" si="37"/>
        <v>Szanowna Pani</v>
      </c>
      <c r="O821" s="19" t="s">
        <v>9776</v>
      </c>
      <c r="U821" t="str">
        <f t="shared" si="38"/>
        <v>tak</v>
      </c>
    </row>
    <row r="822" spans="1:21">
      <c r="A822">
        <v>866</v>
      </c>
      <c r="B822" t="s">
        <v>3939</v>
      </c>
      <c r="C822" t="s">
        <v>3939</v>
      </c>
      <c r="D822" t="s">
        <v>4128</v>
      </c>
      <c r="E822" t="s">
        <v>4127</v>
      </c>
      <c r="F822" t="s">
        <v>4126</v>
      </c>
      <c r="G822" t="s">
        <v>4125</v>
      </c>
      <c r="H822" t="s">
        <v>4129</v>
      </c>
      <c r="I822" t="s">
        <v>8866</v>
      </c>
      <c r="K822" t="s">
        <v>164</v>
      </c>
      <c r="N822" t="str">
        <f t="shared" si="37"/>
        <v>Szanowna Pani</v>
      </c>
      <c r="O822" s="19" t="s">
        <v>9776</v>
      </c>
      <c r="U822" t="str">
        <f t="shared" si="38"/>
        <v>tak</v>
      </c>
    </row>
    <row r="823" spans="1:21">
      <c r="A823">
        <v>867</v>
      </c>
      <c r="B823" t="s">
        <v>3939</v>
      </c>
      <c r="C823" t="s">
        <v>3939</v>
      </c>
      <c r="D823" t="s">
        <v>4134</v>
      </c>
      <c r="E823" t="s">
        <v>4133</v>
      </c>
      <c r="F823" t="s">
        <v>4132</v>
      </c>
      <c r="G823" t="s">
        <v>4131</v>
      </c>
      <c r="H823" t="s">
        <v>4130</v>
      </c>
      <c r="I823" t="s">
        <v>8867</v>
      </c>
      <c r="K823" t="s">
        <v>224</v>
      </c>
      <c r="N823" t="str">
        <f t="shared" si="37"/>
        <v>Szanowna Pani</v>
      </c>
      <c r="Q823" s="19" t="s">
        <v>9776</v>
      </c>
      <c r="U823" t="str">
        <f t="shared" si="38"/>
        <v>tak</v>
      </c>
    </row>
    <row r="824" spans="1:21">
      <c r="A824">
        <v>868</v>
      </c>
      <c r="B824" t="s">
        <v>3939</v>
      </c>
      <c r="C824" t="s">
        <v>3939</v>
      </c>
      <c r="D824" t="s">
        <v>4139</v>
      </c>
      <c r="E824" t="s">
        <v>4138</v>
      </c>
      <c r="F824" t="s">
        <v>4137</v>
      </c>
      <c r="G824" t="s">
        <v>4136</v>
      </c>
      <c r="H824" t="s">
        <v>4135</v>
      </c>
      <c r="I824" t="s">
        <v>8868</v>
      </c>
      <c r="K824" t="s">
        <v>164</v>
      </c>
      <c r="N824" t="str">
        <f t="shared" si="37"/>
        <v>Szanowny Pan</v>
      </c>
      <c r="O824" s="19" t="s">
        <v>9776</v>
      </c>
      <c r="S824" t="s">
        <v>9744</v>
      </c>
      <c r="U824" t="str">
        <f t="shared" si="38"/>
        <v>tak</v>
      </c>
    </row>
    <row r="825" spans="1:21">
      <c r="A825">
        <v>869</v>
      </c>
      <c r="B825" t="s">
        <v>3939</v>
      </c>
      <c r="C825" t="s">
        <v>3939</v>
      </c>
      <c r="D825" t="s">
        <v>4144</v>
      </c>
      <c r="E825" t="s">
        <v>4143</v>
      </c>
      <c r="F825" t="s">
        <v>4142</v>
      </c>
      <c r="G825" t="s">
        <v>4141</v>
      </c>
      <c r="H825" t="s">
        <v>4140</v>
      </c>
      <c r="I825" t="s">
        <v>8869</v>
      </c>
      <c r="K825" t="s">
        <v>164</v>
      </c>
      <c r="N825" t="str">
        <f t="shared" si="37"/>
        <v>Szanowna Pani</v>
      </c>
      <c r="O825" s="19" t="s">
        <v>9776</v>
      </c>
      <c r="U825" t="str">
        <f t="shared" si="38"/>
        <v>tak</v>
      </c>
    </row>
    <row r="826" spans="1:21">
      <c r="A826">
        <v>870</v>
      </c>
      <c r="B826" t="s">
        <v>3939</v>
      </c>
      <c r="C826" t="s">
        <v>3939</v>
      </c>
      <c r="D826" t="s">
        <v>4149</v>
      </c>
      <c r="E826" t="s">
        <v>4148</v>
      </c>
      <c r="F826" t="s">
        <v>4147</v>
      </c>
      <c r="G826" t="s">
        <v>4146</v>
      </c>
      <c r="H826" t="s">
        <v>4145</v>
      </c>
      <c r="I826" t="s">
        <v>8870</v>
      </c>
      <c r="K826" t="s">
        <v>164</v>
      </c>
      <c r="N826" t="str">
        <f t="shared" si="37"/>
        <v>Szanowna Pani</v>
      </c>
      <c r="O826" s="19" t="s">
        <v>9776</v>
      </c>
      <c r="U826" t="str">
        <f t="shared" si="38"/>
        <v>tak</v>
      </c>
    </row>
    <row r="827" spans="1:21">
      <c r="A827">
        <v>871</v>
      </c>
      <c r="B827" t="s">
        <v>3939</v>
      </c>
      <c r="C827" t="s">
        <v>3939</v>
      </c>
      <c r="D827" t="s">
        <v>4154</v>
      </c>
      <c r="E827" t="s">
        <v>4153</v>
      </c>
      <c r="F827" t="s">
        <v>4152</v>
      </c>
      <c r="G827" t="s">
        <v>4151</v>
      </c>
      <c r="H827" t="s">
        <v>4150</v>
      </c>
      <c r="I827" t="s">
        <v>8871</v>
      </c>
      <c r="K827" t="s">
        <v>164</v>
      </c>
      <c r="N827" t="str">
        <f t="shared" si="37"/>
        <v>Szanowna Pani</v>
      </c>
      <c r="O827" s="19" t="s">
        <v>9776</v>
      </c>
      <c r="U827" t="str">
        <f t="shared" si="38"/>
        <v>tak</v>
      </c>
    </row>
    <row r="828" spans="1:21">
      <c r="A828">
        <v>872</v>
      </c>
      <c r="B828" t="s">
        <v>3939</v>
      </c>
      <c r="C828" t="s">
        <v>3939</v>
      </c>
      <c r="D828" t="s">
        <v>4154</v>
      </c>
      <c r="E828" t="s">
        <v>4153</v>
      </c>
      <c r="F828" t="s">
        <v>4152</v>
      </c>
      <c r="G828" t="s">
        <v>4151</v>
      </c>
      <c r="H828" t="s">
        <v>4155</v>
      </c>
      <c r="I828" t="s">
        <v>8871</v>
      </c>
      <c r="K828" t="s">
        <v>165</v>
      </c>
      <c r="N828" t="str">
        <f t="shared" si="37"/>
        <v>Szanowne Panie</v>
      </c>
      <c r="P828" s="19" t="s">
        <v>9776</v>
      </c>
      <c r="U828" t="str">
        <f t="shared" si="38"/>
        <v>tak</v>
      </c>
    </row>
    <row r="829" spans="1:21">
      <c r="A829">
        <v>873</v>
      </c>
      <c r="B829" t="s">
        <v>3939</v>
      </c>
      <c r="C829" t="s">
        <v>3939</v>
      </c>
      <c r="D829" t="s">
        <v>4160</v>
      </c>
      <c r="E829" t="s">
        <v>4159</v>
      </c>
      <c r="F829" t="s">
        <v>4158</v>
      </c>
      <c r="G829" t="s">
        <v>4157</v>
      </c>
      <c r="H829" t="s">
        <v>4156</v>
      </c>
      <c r="I829" t="s">
        <v>8872</v>
      </c>
      <c r="K829" t="s">
        <v>224</v>
      </c>
      <c r="N829" t="str">
        <f t="shared" si="37"/>
        <v>Szanowna Pani</v>
      </c>
      <c r="Q829" s="19" t="s">
        <v>9776</v>
      </c>
      <c r="U829" t="str">
        <f t="shared" si="38"/>
        <v>tak</v>
      </c>
    </row>
    <row r="830" spans="1:21">
      <c r="A830">
        <v>874</v>
      </c>
      <c r="B830" t="s">
        <v>3939</v>
      </c>
      <c r="C830" t="s">
        <v>3939</v>
      </c>
      <c r="D830" t="s">
        <v>4165</v>
      </c>
      <c r="E830" t="s">
        <v>4164</v>
      </c>
      <c r="F830" t="s">
        <v>4163</v>
      </c>
      <c r="G830" t="s">
        <v>4162</v>
      </c>
      <c r="H830" t="s">
        <v>4161</v>
      </c>
      <c r="I830" t="s">
        <v>8873</v>
      </c>
      <c r="K830" t="s">
        <v>164</v>
      </c>
      <c r="N830" t="str">
        <f t="shared" si="37"/>
        <v>Szanowna Pani</v>
      </c>
      <c r="O830" s="19" t="s">
        <v>9776</v>
      </c>
      <c r="U830" t="str">
        <f t="shared" si="38"/>
        <v>tak</v>
      </c>
    </row>
    <row r="831" spans="1:21">
      <c r="A831">
        <v>875</v>
      </c>
      <c r="B831" t="s">
        <v>3939</v>
      </c>
      <c r="C831" t="s">
        <v>3939</v>
      </c>
      <c r="D831" t="s">
        <v>4170</v>
      </c>
      <c r="E831" t="s">
        <v>4169</v>
      </c>
      <c r="F831" t="s">
        <v>4168</v>
      </c>
      <c r="G831" t="s">
        <v>4167</v>
      </c>
      <c r="H831" t="s">
        <v>4166</v>
      </c>
      <c r="I831" t="s">
        <v>8874</v>
      </c>
      <c r="K831" t="s">
        <v>164</v>
      </c>
      <c r="N831" t="str">
        <f t="shared" si="37"/>
        <v>Szanowna Pani</v>
      </c>
      <c r="O831" s="19" t="s">
        <v>9776</v>
      </c>
      <c r="U831" t="str">
        <f t="shared" si="38"/>
        <v>tak</v>
      </c>
    </row>
    <row r="832" spans="1:21">
      <c r="A832">
        <v>876</v>
      </c>
      <c r="B832" t="s">
        <v>3939</v>
      </c>
      <c r="C832" t="s">
        <v>3939</v>
      </c>
      <c r="D832" t="s">
        <v>3940</v>
      </c>
      <c r="E832" t="s">
        <v>4174</v>
      </c>
      <c r="F832" t="s">
        <v>4173</v>
      </c>
      <c r="G832" t="s">
        <v>4172</v>
      </c>
      <c r="H832" t="s">
        <v>4171</v>
      </c>
      <c r="I832" t="s">
        <v>8875</v>
      </c>
      <c r="K832" t="s">
        <v>164</v>
      </c>
      <c r="N832" t="str">
        <f t="shared" si="37"/>
        <v>Szanowna Pani</v>
      </c>
      <c r="O832" s="19" t="s">
        <v>9776</v>
      </c>
      <c r="U832" t="str">
        <f t="shared" si="38"/>
        <v>tak</v>
      </c>
    </row>
    <row r="833" spans="1:21">
      <c r="A833">
        <v>877</v>
      </c>
      <c r="B833" t="s">
        <v>3939</v>
      </c>
      <c r="C833" t="s">
        <v>3939</v>
      </c>
      <c r="D833" t="s">
        <v>3940</v>
      </c>
      <c r="E833" t="s">
        <v>4174</v>
      </c>
      <c r="F833" t="s">
        <v>4173</v>
      </c>
      <c r="G833" t="s">
        <v>4176</v>
      </c>
      <c r="H833" t="s">
        <v>4175</v>
      </c>
      <c r="I833" t="s">
        <v>8876</v>
      </c>
      <c r="K833" t="s">
        <v>165</v>
      </c>
      <c r="N833" t="str">
        <f t="shared" si="37"/>
        <v>Szanowna Pani</v>
      </c>
      <c r="P833" s="19" t="s">
        <v>9776</v>
      </c>
      <c r="U833" t="str">
        <f t="shared" si="38"/>
        <v>tak</v>
      </c>
    </row>
    <row r="834" spans="1:21">
      <c r="A834">
        <v>878</v>
      </c>
      <c r="B834" t="s">
        <v>3939</v>
      </c>
      <c r="C834" t="s">
        <v>3939</v>
      </c>
      <c r="D834" t="s">
        <v>3941</v>
      </c>
      <c r="E834" t="s">
        <v>4180</v>
      </c>
      <c r="F834" t="s">
        <v>4179</v>
      </c>
      <c r="G834" t="s">
        <v>4178</v>
      </c>
      <c r="H834" t="s">
        <v>4177</v>
      </c>
      <c r="I834" t="s">
        <v>8877</v>
      </c>
      <c r="K834" t="s">
        <v>164</v>
      </c>
      <c r="N834" t="str">
        <f t="shared" si="37"/>
        <v>Szanowna Pani</v>
      </c>
      <c r="O834" s="19" t="s">
        <v>9776</v>
      </c>
      <c r="U834" t="str">
        <f t="shared" si="38"/>
        <v>tak</v>
      </c>
    </row>
    <row r="835" spans="1:21">
      <c r="A835">
        <v>879</v>
      </c>
      <c r="B835" t="s">
        <v>3939</v>
      </c>
      <c r="C835" t="s">
        <v>3939</v>
      </c>
      <c r="D835" t="s">
        <v>3941</v>
      </c>
      <c r="E835" t="s">
        <v>4180</v>
      </c>
      <c r="F835" t="s">
        <v>4179</v>
      </c>
      <c r="G835" t="s">
        <v>4178</v>
      </c>
      <c r="H835" t="s">
        <v>4181</v>
      </c>
      <c r="I835" t="s">
        <v>8877</v>
      </c>
      <c r="K835" t="s">
        <v>165</v>
      </c>
      <c r="N835" t="str">
        <f t="shared" si="37"/>
        <v>Szanowna Pani</v>
      </c>
      <c r="P835" s="19" t="s">
        <v>9776</v>
      </c>
      <c r="U835" t="str">
        <f t="shared" si="38"/>
        <v>tak</v>
      </c>
    </row>
    <row r="836" spans="1:21">
      <c r="A836">
        <v>880</v>
      </c>
      <c r="B836" t="s">
        <v>3939</v>
      </c>
      <c r="C836" t="s">
        <v>3939</v>
      </c>
      <c r="D836" t="s">
        <v>4186</v>
      </c>
      <c r="E836" t="s">
        <v>4185</v>
      </c>
      <c r="F836" t="s">
        <v>4184</v>
      </c>
      <c r="G836" t="s">
        <v>4183</v>
      </c>
      <c r="H836" t="s">
        <v>4182</v>
      </c>
      <c r="I836" t="s">
        <v>8878</v>
      </c>
      <c r="K836" t="s">
        <v>164</v>
      </c>
      <c r="N836" t="str">
        <f t="shared" si="37"/>
        <v>Szanowna Pani</v>
      </c>
      <c r="O836" s="19" t="s">
        <v>9776</v>
      </c>
      <c r="U836" t="str">
        <f t="shared" si="38"/>
        <v>tak</v>
      </c>
    </row>
    <row r="837" spans="1:21">
      <c r="A837">
        <v>881</v>
      </c>
      <c r="B837" t="s">
        <v>3939</v>
      </c>
      <c r="C837" t="s">
        <v>3942</v>
      </c>
      <c r="D837" t="s">
        <v>4190</v>
      </c>
      <c r="E837" t="s">
        <v>4189</v>
      </c>
      <c r="G837" t="s">
        <v>4188</v>
      </c>
      <c r="H837" t="s">
        <v>4187</v>
      </c>
      <c r="I837" t="s">
        <v>8879</v>
      </c>
      <c r="K837" t="s">
        <v>165</v>
      </c>
      <c r="N837" t="str">
        <f t="shared" si="37"/>
        <v>Szanowna Pani</v>
      </c>
      <c r="P837" s="19" t="s">
        <v>9776</v>
      </c>
      <c r="U837" t="str">
        <f t="shared" si="38"/>
        <v>tak</v>
      </c>
    </row>
    <row r="838" spans="1:21">
      <c r="A838">
        <v>882</v>
      </c>
      <c r="B838" t="s">
        <v>3939</v>
      </c>
      <c r="C838" t="s">
        <v>3943</v>
      </c>
      <c r="D838" t="s">
        <v>4195</v>
      </c>
      <c r="E838" t="s">
        <v>4194</v>
      </c>
      <c r="F838" t="s">
        <v>4193</v>
      </c>
      <c r="G838" t="s">
        <v>4192</v>
      </c>
      <c r="H838" t="s">
        <v>4191</v>
      </c>
      <c r="I838" t="s">
        <v>8880</v>
      </c>
      <c r="K838" t="s">
        <v>164</v>
      </c>
      <c r="N838" t="str">
        <f t="shared" si="37"/>
        <v>Szanowna Pani</v>
      </c>
      <c r="O838" s="19" t="s">
        <v>9776</v>
      </c>
      <c r="U838" t="str">
        <f t="shared" si="38"/>
        <v>tak</v>
      </c>
    </row>
    <row r="839" spans="1:21">
      <c r="A839">
        <v>883</v>
      </c>
      <c r="B839" t="s">
        <v>3939</v>
      </c>
      <c r="C839" t="s">
        <v>3944</v>
      </c>
      <c r="D839" t="s">
        <v>4200</v>
      </c>
      <c r="E839" t="s">
        <v>4199</v>
      </c>
      <c r="F839" t="s">
        <v>4198</v>
      </c>
      <c r="G839" t="s">
        <v>4197</v>
      </c>
      <c r="H839" t="s">
        <v>4196</v>
      </c>
      <c r="I839" t="s">
        <v>8881</v>
      </c>
      <c r="K839" t="s">
        <v>164</v>
      </c>
      <c r="N839" t="str">
        <f t="shared" si="37"/>
        <v>Szanowna Pani</v>
      </c>
      <c r="O839" s="19" t="s">
        <v>9776</v>
      </c>
      <c r="U839" t="str">
        <f t="shared" si="38"/>
        <v>tak</v>
      </c>
    </row>
    <row r="840" spans="1:21">
      <c r="A840">
        <v>884</v>
      </c>
      <c r="B840" t="s">
        <v>3939</v>
      </c>
      <c r="C840" t="s">
        <v>3945</v>
      </c>
      <c r="D840" t="s">
        <v>3946</v>
      </c>
      <c r="E840" t="s">
        <v>4204</v>
      </c>
      <c r="F840" t="s">
        <v>4203</v>
      </c>
      <c r="G840" t="s">
        <v>4202</v>
      </c>
      <c r="H840" t="s">
        <v>4201</v>
      </c>
      <c r="I840" t="s">
        <v>8882</v>
      </c>
      <c r="K840" t="s">
        <v>165</v>
      </c>
      <c r="N840" t="str">
        <f t="shared" si="37"/>
        <v>Szanowna Pani</v>
      </c>
      <c r="P840" s="19" t="s">
        <v>9776</v>
      </c>
      <c r="U840" t="str">
        <f t="shared" si="38"/>
        <v>tak</v>
      </c>
    </row>
    <row r="841" spans="1:21">
      <c r="A841">
        <v>885</v>
      </c>
      <c r="B841" t="s">
        <v>3939</v>
      </c>
      <c r="C841" t="s">
        <v>3947</v>
      </c>
      <c r="D841" t="s">
        <v>4209</v>
      </c>
      <c r="E841" t="s">
        <v>4208</v>
      </c>
      <c r="F841" t="s">
        <v>4207</v>
      </c>
      <c r="G841" t="s">
        <v>4206</v>
      </c>
      <c r="H841" t="s">
        <v>4205</v>
      </c>
      <c r="I841" t="s">
        <v>8883</v>
      </c>
      <c r="K841" t="s">
        <v>164</v>
      </c>
      <c r="N841" t="str">
        <f t="shared" si="37"/>
        <v>Szanowna Pani</v>
      </c>
      <c r="O841" s="19" t="s">
        <v>9776</v>
      </c>
      <c r="U841" t="str">
        <f t="shared" si="38"/>
        <v>tak</v>
      </c>
    </row>
    <row r="842" spans="1:21">
      <c r="A842">
        <v>886</v>
      </c>
      <c r="B842" t="s">
        <v>3939</v>
      </c>
      <c r="C842" t="s">
        <v>3948</v>
      </c>
      <c r="D842" t="s">
        <v>3949</v>
      </c>
      <c r="E842" t="s">
        <v>3950</v>
      </c>
      <c r="F842" t="s">
        <v>3951</v>
      </c>
      <c r="G842" t="s">
        <v>4211</v>
      </c>
      <c r="H842" t="s">
        <v>4210</v>
      </c>
      <c r="I842" t="s">
        <v>8884</v>
      </c>
      <c r="K842" t="s">
        <v>164</v>
      </c>
      <c r="N842" t="str">
        <f t="shared" si="37"/>
        <v>Szanowna Pani</v>
      </c>
      <c r="O842" s="19" t="s">
        <v>9776</v>
      </c>
      <c r="U842" t="str">
        <f t="shared" si="38"/>
        <v>tak</v>
      </c>
    </row>
    <row r="843" spans="1:21">
      <c r="A843">
        <v>887</v>
      </c>
      <c r="B843" t="s">
        <v>3939</v>
      </c>
      <c r="C843" t="s">
        <v>3948</v>
      </c>
      <c r="D843" t="s">
        <v>3949</v>
      </c>
      <c r="E843" t="s">
        <v>3950</v>
      </c>
      <c r="F843" t="s">
        <v>3951</v>
      </c>
      <c r="G843" t="s">
        <v>4211</v>
      </c>
      <c r="H843" t="s">
        <v>4212</v>
      </c>
      <c r="I843" t="s">
        <v>8884</v>
      </c>
      <c r="K843" t="s">
        <v>165</v>
      </c>
      <c r="N843" t="str">
        <f t="shared" si="37"/>
        <v>Szanowna Pani</v>
      </c>
      <c r="P843" s="19" t="s">
        <v>9776</v>
      </c>
      <c r="U843" t="str">
        <f t="shared" si="38"/>
        <v>tak</v>
      </c>
    </row>
    <row r="844" spans="1:21">
      <c r="A844">
        <v>888</v>
      </c>
      <c r="B844" t="s">
        <v>3939</v>
      </c>
      <c r="C844" t="s">
        <v>3952</v>
      </c>
      <c r="D844" t="s">
        <v>4217</v>
      </c>
      <c r="E844" t="s">
        <v>4216</v>
      </c>
      <c r="F844" t="s">
        <v>4215</v>
      </c>
      <c r="G844" t="s">
        <v>4214</v>
      </c>
      <c r="H844" t="s">
        <v>4213</v>
      </c>
      <c r="I844" t="s">
        <v>8885</v>
      </c>
      <c r="K844" t="s">
        <v>164</v>
      </c>
      <c r="N844" t="str">
        <f t="shared" si="37"/>
        <v>Szanowna Pani</v>
      </c>
      <c r="O844" s="19" t="s">
        <v>9776</v>
      </c>
      <c r="U844" t="str">
        <f t="shared" si="38"/>
        <v>tak</v>
      </c>
    </row>
    <row r="845" spans="1:21">
      <c r="A845">
        <v>889</v>
      </c>
      <c r="B845" t="s">
        <v>3939</v>
      </c>
      <c r="C845" t="s">
        <v>3953</v>
      </c>
      <c r="D845" t="s">
        <v>4372</v>
      </c>
      <c r="E845" t="s">
        <v>4371</v>
      </c>
      <c r="F845" t="s">
        <v>4220</v>
      </c>
      <c r="G845" t="s">
        <v>4370</v>
      </c>
      <c r="H845" t="s">
        <v>4369</v>
      </c>
      <c r="I845" t="s">
        <v>8886</v>
      </c>
      <c r="K845" t="s">
        <v>164</v>
      </c>
      <c r="N845" t="str">
        <f t="shared" si="37"/>
        <v>Szanowna Pani</v>
      </c>
      <c r="O845" s="19" t="s">
        <v>9776</v>
      </c>
      <c r="U845" t="str">
        <f t="shared" si="38"/>
        <v>tak</v>
      </c>
    </row>
    <row r="846" spans="1:21">
      <c r="A846">
        <v>890</v>
      </c>
      <c r="B846" t="s">
        <v>3939</v>
      </c>
      <c r="C846" t="s">
        <v>3953</v>
      </c>
      <c r="D846" t="s">
        <v>3954</v>
      </c>
      <c r="E846" t="s">
        <v>3956</v>
      </c>
      <c r="F846" t="s">
        <v>4220</v>
      </c>
      <c r="G846" t="s">
        <v>4219</v>
      </c>
      <c r="H846" t="s">
        <v>4218</v>
      </c>
      <c r="I846" t="s">
        <v>8887</v>
      </c>
      <c r="K846" t="s">
        <v>164</v>
      </c>
      <c r="N846" t="str">
        <f t="shared" si="37"/>
        <v>Szanowna Pani</v>
      </c>
      <c r="O846" s="19" t="s">
        <v>9776</v>
      </c>
      <c r="U846" t="str">
        <f t="shared" si="38"/>
        <v>tak</v>
      </c>
    </row>
    <row r="847" spans="1:21">
      <c r="A847">
        <v>891</v>
      </c>
      <c r="B847" t="s">
        <v>3939</v>
      </c>
      <c r="C847" t="s">
        <v>3953</v>
      </c>
      <c r="D847" t="s">
        <v>3954</v>
      </c>
      <c r="E847" t="s">
        <v>3956</v>
      </c>
      <c r="F847" t="s">
        <v>4220</v>
      </c>
      <c r="G847" t="s">
        <v>4219</v>
      </c>
      <c r="H847" t="s">
        <v>4218</v>
      </c>
      <c r="I847" t="s">
        <v>8887</v>
      </c>
      <c r="K847" t="s">
        <v>3955</v>
      </c>
      <c r="N847" t="str">
        <f t="shared" si="37"/>
        <v>Szanowna Pani</v>
      </c>
      <c r="O847" s="19" t="s">
        <v>9776</v>
      </c>
      <c r="U847" t="str">
        <f t="shared" ref="U847:U874" si="39">+O847 &amp;P847&amp;Q847</f>
        <v>tak</v>
      </c>
    </row>
    <row r="848" spans="1:21">
      <c r="A848">
        <v>892</v>
      </c>
      <c r="B848" t="s">
        <v>3939</v>
      </c>
      <c r="C848" t="s">
        <v>3953</v>
      </c>
      <c r="D848" t="s">
        <v>3954</v>
      </c>
      <c r="E848" t="s">
        <v>3956</v>
      </c>
      <c r="F848" t="s">
        <v>4220</v>
      </c>
      <c r="G848" t="s">
        <v>4219</v>
      </c>
      <c r="H848" t="s">
        <v>4218</v>
      </c>
      <c r="I848" t="s">
        <v>8887</v>
      </c>
      <c r="K848" t="s">
        <v>165</v>
      </c>
      <c r="N848" t="str">
        <f t="shared" si="37"/>
        <v>Szanowna Pani</v>
      </c>
      <c r="P848" s="19" t="s">
        <v>9776</v>
      </c>
      <c r="U848" t="str">
        <f t="shared" si="39"/>
        <v>tak</v>
      </c>
    </row>
    <row r="849" spans="1:21">
      <c r="A849">
        <v>893</v>
      </c>
      <c r="B849" t="s">
        <v>3939</v>
      </c>
      <c r="C849" t="s">
        <v>3953</v>
      </c>
      <c r="D849" t="s">
        <v>3957</v>
      </c>
      <c r="E849" t="s">
        <v>4223</v>
      </c>
      <c r="F849" t="s">
        <v>4220</v>
      </c>
      <c r="G849" t="s">
        <v>4222</v>
      </c>
      <c r="H849" t="s">
        <v>4221</v>
      </c>
      <c r="I849" t="s">
        <v>8888</v>
      </c>
      <c r="K849" t="s">
        <v>164</v>
      </c>
      <c r="N849" t="str">
        <f t="shared" si="37"/>
        <v>Szanowny Pan</v>
      </c>
      <c r="O849" s="19" t="s">
        <v>9776</v>
      </c>
      <c r="U849" t="str">
        <f t="shared" si="39"/>
        <v>tak</v>
      </c>
    </row>
    <row r="850" spans="1:21">
      <c r="A850">
        <v>894</v>
      </c>
      <c r="B850" t="s">
        <v>3939</v>
      </c>
      <c r="C850" t="s">
        <v>3953</v>
      </c>
      <c r="D850" t="s">
        <v>3957</v>
      </c>
      <c r="E850" t="s">
        <v>4223</v>
      </c>
      <c r="F850" t="s">
        <v>4220</v>
      </c>
      <c r="G850" t="s">
        <v>4222</v>
      </c>
      <c r="H850" t="s">
        <v>4224</v>
      </c>
      <c r="I850" t="s">
        <v>8888</v>
      </c>
      <c r="K850" t="s">
        <v>165</v>
      </c>
      <c r="N850" t="str">
        <f t="shared" si="37"/>
        <v>Szanowna Pani</v>
      </c>
      <c r="P850" s="19" t="s">
        <v>9776</v>
      </c>
      <c r="U850" t="str">
        <f t="shared" si="39"/>
        <v>tak</v>
      </c>
    </row>
    <row r="851" spans="1:21">
      <c r="A851">
        <v>895</v>
      </c>
      <c r="B851" t="s">
        <v>3939</v>
      </c>
      <c r="C851" t="s">
        <v>3953</v>
      </c>
      <c r="D851" t="s">
        <v>3958</v>
      </c>
      <c r="E851" t="s">
        <v>3959</v>
      </c>
      <c r="F851" t="s">
        <v>4220</v>
      </c>
      <c r="G851" t="s">
        <v>4226</v>
      </c>
      <c r="H851" t="s">
        <v>4225</v>
      </c>
      <c r="I851" t="s">
        <v>8889</v>
      </c>
      <c r="K851" t="s">
        <v>165</v>
      </c>
      <c r="N851" t="str">
        <f t="shared" si="37"/>
        <v>Szanowna Pani</v>
      </c>
      <c r="P851" s="19" t="s">
        <v>9776</v>
      </c>
      <c r="U851" t="str">
        <f t="shared" si="39"/>
        <v>tak</v>
      </c>
    </row>
    <row r="852" spans="1:21">
      <c r="A852">
        <v>896</v>
      </c>
      <c r="B852" t="s">
        <v>3939</v>
      </c>
      <c r="C852" t="s">
        <v>3953</v>
      </c>
      <c r="D852" t="s">
        <v>3958</v>
      </c>
      <c r="E852" t="s">
        <v>3959</v>
      </c>
      <c r="F852" t="s">
        <v>4220</v>
      </c>
      <c r="G852" t="s">
        <v>4226</v>
      </c>
      <c r="H852" t="s">
        <v>4225</v>
      </c>
      <c r="I852" t="s">
        <v>8889</v>
      </c>
      <c r="K852" t="s">
        <v>4377</v>
      </c>
      <c r="N852" t="str">
        <f t="shared" si="37"/>
        <v>Szanowna Pani</v>
      </c>
      <c r="P852" s="19" t="s">
        <v>9776</v>
      </c>
      <c r="U852" t="str">
        <f t="shared" si="39"/>
        <v>tak</v>
      </c>
    </row>
    <row r="853" spans="1:21">
      <c r="A853">
        <v>897</v>
      </c>
      <c r="B853" t="s">
        <v>3939</v>
      </c>
      <c r="C853" t="s">
        <v>3960</v>
      </c>
      <c r="D853" t="s">
        <v>3961</v>
      </c>
      <c r="E853" t="s">
        <v>3962</v>
      </c>
      <c r="F853" t="s">
        <v>3963</v>
      </c>
      <c r="G853" t="s">
        <v>4228</v>
      </c>
      <c r="H853" t="s">
        <v>4227</v>
      </c>
      <c r="I853" t="s">
        <v>8890</v>
      </c>
      <c r="K853" t="s">
        <v>165</v>
      </c>
      <c r="N853" t="str">
        <f t="shared" si="37"/>
        <v>Szanowna Pani</v>
      </c>
      <c r="P853" s="19" t="s">
        <v>9776</v>
      </c>
      <c r="U853" t="str">
        <f t="shared" si="39"/>
        <v>tak</v>
      </c>
    </row>
    <row r="854" spans="1:21">
      <c r="A854">
        <v>898</v>
      </c>
      <c r="B854" t="s">
        <v>3939</v>
      </c>
      <c r="C854" t="s">
        <v>3960</v>
      </c>
      <c r="D854" t="s">
        <v>3961</v>
      </c>
      <c r="E854" t="s">
        <v>3962</v>
      </c>
      <c r="F854" t="s">
        <v>3963</v>
      </c>
      <c r="G854" t="s">
        <v>4228</v>
      </c>
      <c r="H854" t="s">
        <v>4229</v>
      </c>
      <c r="I854" t="s">
        <v>8890</v>
      </c>
      <c r="K854" t="s">
        <v>164</v>
      </c>
      <c r="N854" t="str">
        <f t="shared" si="37"/>
        <v>Szanowna Pani</v>
      </c>
      <c r="O854" s="19" t="s">
        <v>9776</v>
      </c>
      <c r="U854" t="str">
        <f t="shared" si="39"/>
        <v>tak</v>
      </c>
    </row>
    <row r="855" spans="1:21">
      <c r="A855">
        <v>899</v>
      </c>
      <c r="B855" t="s">
        <v>3939</v>
      </c>
      <c r="C855" t="s">
        <v>3964</v>
      </c>
      <c r="D855" t="s">
        <v>4234</v>
      </c>
      <c r="E855" t="s">
        <v>4233</v>
      </c>
      <c r="F855" t="s">
        <v>4232</v>
      </c>
      <c r="G855" t="s">
        <v>4231</v>
      </c>
      <c r="H855" t="s">
        <v>4230</v>
      </c>
      <c r="I855" t="s">
        <v>8891</v>
      </c>
      <c r="K855" t="s">
        <v>164</v>
      </c>
      <c r="N855" t="str">
        <f t="shared" ref="N855:N918" si="40">IF(ISERROR(FIND(",",H855)),IF(MID(H855,FIND(" ",H855)-1,1)="a","Szanowna Pani","Szanowny Pan"), "Szanowne Panie")</f>
        <v>Szanowna Pani</v>
      </c>
      <c r="O855" s="19" t="s">
        <v>9776</v>
      </c>
      <c r="U855" t="str">
        <f t="shared" si="39"/>
        <v>tak</v>
      </c>
    </row>
    <row r="856" spans="1:21">
      <c r="A856">
        <v>900</v>
      </c>
      <c r="B856" t="s">
        <v>3939</v>
      </c>
      <c r="C856" t="s">
        <v>3965</v>
      </c>
      <c r="D856" t="s">
        <v>4239</v>
      </c>
      <c r="E856" t="s">
        <v>4238</v>
      </c>
      <c r="F856" t="s">
        <v>4237</v>
      </c>
      <c r="G856" t="s">
        <v>4236</v>
      </c>
      <c r="H856" t="s">
        <v>4235</v>
      </c>
      <c r="I856" t="s">
        <v>8892</v>
      </c>
      <c r="K856" t="s">
        <v>164</v>
      </c>
      <c r="N856" t="str">
        <f t="shared" si="40"/>
        <v>Szanowna Pani</v>
      </c>
      <c r="O856" s="19" t="s">
        <v>9776</v>
      </c>
      <c r="U856" t="str">
        <f t="shared" si="39"/>
        <v>tak</v>
      </c>
    </row>
    <row r="857" spans="1:21">
      <c r="A857">
        <v>901</v>
      </c>
      <c r="B857" t="s">
        <v>3939</v>
      </c>
      <c r="C857" t="s">
        <v>3965</v>
      </c>
      <c r="D857" t="s">
        <v>4243</v>
      </c>
      <c r="E857" t="s">
        <v>4242</v>
      </c>
      <c r="F857" t="s">
        <v>4237</v>
      </c>
      <c r="G857" t="s">
        <v>4241</v>
      </c>
      <c r="H857" t="s">
        <v>4240</v>
      </c>
      <c r="I857" t="s">
        <v>8893</v>
      </c>
      <c r="K857" t="s">
        <v>3966</v>
      </c>
      <c r="L857" t="s">
        <v>164</v>
      </c>
      <c r="N857" t="str">
        <f t="shared" si="40"/>
        <v>Szanowna Pani</v>
      </c>
      <c r="O857" s="19" t="s">
        <v>9776</v>
      </c>
      <c r="U857" t="str">
        <f t="shared" si="39"/>
        <v>tak</v>
      </c>
    </row>
    <row r="858" spans="1:21">
      <c r="A858">
        <v>902</v>
      </c>
      <c r="B858" t="s">
        <v>3939</v>
      </c>
      <c r="C858" t="s">
        <v>3965</v>
      </c>
      <c r="D858" t="s">
        <v>4247</v>
      </c>
      <c r="E858" t="s">
        <v>4246</v>
      </c>
      <c r="F858" t="s">
        <v>4237</v>
      </c>
      <c r="G858" t="s">
        <v>4245</v>
      </c>
      <c r="H858" t="s">
        <v>4244</v>
      </c>
      <c r="I858" t="s">
        <v>8894</v>
      </c>
      <c r="K858" t="s">
        <v>164</v>
      </c>
      <c r="N858" t="str">
        <f t="shared" si="40"/>
        <v>Szanowna Pani</v>
      </c>
      <c r="O858" s="19" t="s">
        <v>9776</v>
      </c>
      <c r="U858" t="str">
        <f t="shared" si="39"/>
        <v>tak</v>
      </c>
    </row>
    <row r="859" spans="1:21">
      <c r="A859">
        <v>903</v>
      </c>
      <c r="B859" t="s">
        <v>3939</v>
      </c>
      <c r="C859" t="s">
        <v>3967</v>
      </c>
      <c r="D859" t="s">
        <v>3968</v>
      </c>
      <c r="E859" t="s">
        <v>3969</v>
      </c>
      <c r="F859" t="s">
        <v>3970</v>
      </c>
      <c r="G859" t="s">
        <v>4249</v>
      </c>
      <c r="H859" t="s">
        <v>4248</v>
      </c>
      <c r="I859" t="s">
        <v>8895</v>
      </c>
      <c r="K859" t="s">
        <v>164</v>
      </c>
      <c r="N859" t="str">
        <f t="shared" si="40"/>
        <v>Szanowna Pani</v>
      </c>
      <c r="O859" s="19" t="s">
        <v>9776</v>
      </c>
      <c r="U859" t="str">
        <f t="shared" si="39"/>
        <v>tak</v>
      </c>
    </row>
    <row r="860" spans="1:21">
      <c r="A860">
        <v>904</v>
      </c>
      <c r="B860" t="s">
        <v>3939</v>
      </c>
      <c r="C860" t="s">
        <v>3967</v>
      </c>
      <c r="D860" t="s">
        <v>3971</v>
      </c>
      <c r="E860" t="s">
        <v>3672</v>
      </c>
      <c r="F860" t="s">
        <v>3970</v>
      </c>
      <c r="G860" t="s">
        <v>4251</v>
      </c>
      <c r="H860" t="s">
        <v>4250</v>
      </c>
      <c r="I860" t="s">
        <v>8896</v>
      </c>
      <c r="K860" t="s">
        <v>165</v>
      </c>
      <c r="N860" t="str">
        <f t="shared" si="40"/>
        <v>Szanowna Pani</v>
      </c>
      <c r="P860" s="19" t="s">
        <v>9776</v>
      </c>
      <c r="U860" t="str">
        <f t="shared" si="39"/>
        <v>tak</v>
      </c>
    </row>
    <row r="861" spans="1:21">
      <c r="A861">
        <v>905</v>
      </c>
      <c r="B861" t="s">
        <v>3939</v>
      </c>
      <c r="C861" t="s">
        <v>3972</v>
      </c>
      <c r="D861" t="s">
        <v>4256</v>
      </c>
      <c r="E861" t="s">
        <v>4255</v>
      </c>
      <c r="F861" t="s">
        <v>4254</v>
      </c>
      <c r="G861" t="s">
        <v>4253</v>
      </c>
      <c r="H861" t="s">
        <v>4252</v>
      </c>
      <c r="I861" t="s">
        <v>8897</v>
      </c>
      <c r="K861" t="s">
        <v>164</v>
      </c>
      <c r="N861" t="str">
        <f t="shared" si="40"/>
        <v>Szanowny Pan</v>
      </c>
      <c r="O861" s="19" t="s">
        <v>9776</v>
      </c>
      <c r="U861" t="str">
        <f t="shared" si="39"/>
        <v>tak</v>
      </c>
    </row>
    <row r="862" spans="1:21">
      <c r="A862">
        <v>906</v>
      </c>
      <c r="B862" t="s">
        <v>3939</v>
      </c>
      <c r="C862" t="s">
        <v>3973</v>
      </c>
      <c r="D862" t="s">
        <v>4260</v>
      </c>
      <c r="E862" t="s">
        <v>4259</v>
      </c>
      <c r="F862" t="s">
        <v>4007</v>
      </c>
      <c r="G862" t="s">
        <v>4258</v>
      </c>
      <c r="H862" t="s">
        <v>4257</v>
      </c>
      <c r="I862" t="s">
        <v>8898</v>
      </c>
      <c r="K862" t="s">
        <v>164</v>
      </c>
      <c r="N862" t="str">
        <f t="shared" si="40"/>
        <v>Szanowne Panie</v>
      </c>
      <c r="O862" s="19" t="s">
        <v>9776</v>
      </c>
      <c r="U862" t="str">
        <f t="shared" si="39"/>
        <v>tak</v>
      </c>
    </row>
    <row r="863" spans="1:21">
      <c r="A863">
        <v>907</v>
      </c>
      <c r="B863" t="s">
        <v>3939</v>
      </c>
      <c r="C863" t="s">
        <v>3974</v>
      </c>
      <c r="D863" t="s">
        <v>4265</v>
      </c>
      <c r="E863" t="s">
        <v>4264</v>
      </c>
      <c r="F863" t="s">
        <v>4263</v>
      </c>
      <c r="G863" t="s">
        <v>4262</v>
      </c>
      <c r="H863" t="s">
        <v>4261</v>
      </c>
      <c r="I863" t="s">
        <v>8899</v>
      </c>
      <c r="K863" t="s">
        <v>164</v>
      </c>
      <c r="N863" t="str">
        <f t="shared" si="40"/>
        <v>Szanowna Pani</v>
      </c>
      <c r="O863" s="19" t="s">
        <v>9776</v>
      </c>
      <c r="U863" t="str">
        <f t="shared" si="39"/>
        <v>tak</v>
      </c>
    </row>
    <row r="864" spans="1:21">
      <c r="A864">
        <v>908</v>
      </c>
      <c r="B864" t="s">
        <v>3939</v>
      </c>
      <c r="C864" t="s">
        <v>3975</v>
      </c>
      <c r="D864" t="s">
        <v>4270</v>
      </c>
      <c r="E864" t="s">
        <v>4269</v>
      </c>
      <c r="F864" t="s">
        <v>4268</v>
      </c>
      <c r="G864" t="s">
        <v>4267</v>
      </c>
      <c r="H864" t="s">
        <v>4266</v>
      </c>
      <c r="I864" t="s">
        <v>8900</v>
      </c>
      <c r="K864" t="s">
        <v>164</v>
      </c>
      <c r="N864" t="str">
        <f t="shared" si="40"/>
        <v>Szanowna Pani</v>
      </c>
      <c r="O864" s="19" t="s">
        <v>9776</v>
      </c>
      <c r="U864" t="str">
        <f t="shared" si="39"/>
        <v>tak</v>
      </c>
    </row>
    <row r="865" spans="1:21">
      <c r="A865">
        <v>909</v>
      </c>
      <c r="B865" t="s">
        <v>3939</v>
      </c>
      <c r="C865" t="s">
        <v>3975</v>
      </c>
      <c r="D865" t="s">
        <v>4270</v>
      </c>
      <c r="E865" t="s">
        <v>4269</v>
      </c>
      <c r="F865" t="s">
        <v>4268</v>
      </c>
      <c r="G865" t="s">
        <v>4267</v>
      </c>
      <c r="H865" t="s">
        <v>4271</v>
      </c>
      <c r="I865" t="s">
        <v>8901</v>
      </c>
      <c r="K865" t="s">
        <v>3976</v>
      </c>
      <c r="N865" t="str">
        <f t="shared" si="40"/>
        <v>Szanowny Pan</v>
      </c>
      <c r="O865" s="19" t="s">
        <v>9776</v>
      </c>
      <c r="R865" t="s">
        <v>9777</v>
      </c>
      <c r="U865" t="str">
        <f t="shared" si="39"/>
        <v>tak</v>
      </c>
    </row>
    <row r="866" spans="1:21">
      <c r="A866">
        <v>910</v>
      </c>
      <c r="B866" t="s">
        <v>3939</v>
      </c>
      <c r="C866" t="s">
        <v>3975</v>
      </c>
      <c r="D866" t="s">
        <v>4275</v>
      </c>
      <c r="E866" t="s">
        <v>4274</v>
      </c>
      <c r="F866" t="s">
        <v>4268</v>
      </c>
      <c r="G866" t="s">
        <v>4273</v>
      </c>
      <c r="H866" t="s">
        <v>4272</v>
      </c>
      <c r="I866" t="s">
        <v>8902</v>
      </c>
      <c r="K866" t="s">
        <v>164</v>
      </c>
      <c r="N866" t="str">
        <f t="shared" si="40"/>
        <v>Szanowna Pani</v>
      </c>
      <c r="O866" s="19" t="s">
        <v>9776</v>
      </c>
      <c r="U866" t="str">
        <f t="shared" si="39"/>
        <v>tak</v>
      </c>
    </row>
    <row r="867" spans="1:21">
      <c r="A867">
        <v>911</v>
      </c>
      <c r="B867" t="s">
        <v>3939</v>
      </c>
      <c r="C867" t="s">
        <v>3975</v>
      </c>
      <c r="D867" t="s">
        <v>4279</v>
      </c>
      <c r="E867" t="s">
        <v>4278</v>
      </c>
      <c r="F867" t="s">
        <v>4268</v>
      </c>
      <c r="G867" t="s">
        <v>4277</v>
      </c>
      <c r="H867" t="s">
        <v>4276</v>
      </c>
      <c r="I867" t="s">
        <v>8903</v>
      </c>
      <c r="K867" t="s">
        <v>164</v>
      </c>
      <c r="N867" t="str">
        <f t="shared" si="40"/>
        <v>Szanowna Pani</v>
      </c>
      <c r="O867" s="19" t="s">
        <v>9776</v>
      </c>
      <c r="U867" t="str">
        <f t="shared" si="39"/>
        <v>tak</v>
      </c>
    </row>
    <row r="868" spans="1:21">
      <c r="A868">
        <v>912</v>
      </c>
      <c r="B868" t="s">
        <v>3939</v>
      </c>
      <c r="C868" t="s">
        <v>3977</v>
      </c>
      <c r="D868" t="s">
        <v>4284</v>
      </c>
      <c r="E868" t="s">
        <v>4283</v>
      </c>
      <c r="F868" t="s">
        <v>4282</v>
      </c>
      <c r="G868" t="s">
        <v>4281</v>
      </c>
      <c r="H868" t="s">
        <v>4280</v>
      </c>
      <c r="I868" t="s">
        <v>8904</v>
      </c>
      <c r="K868" t="s">
        <v>164</v>
      </c>
      <c r="N868" t="str">
        <f t="shared" si="40"/>
        <v>Szanowna Pani</v>
      </c>
      <c r="O868" s="19" t="s">
        <v>9776</v>
      </c>
      <c r="U868" t="str">
        <f t="shared" si="39"/>
        <v>tak</v>
      </c>
    </row>
    <row r="869" spans="1:21">
      <c r="A869">
        <v>913</v>
      </c>
      <c r="B869" t="s">
        <v>3939</v>
      </c>
      <c r="C869" t="s">
        <v>3977</v>
      </c>
      <c r="D869" t="s">
        <v>3978</v>
      </c>
      <c r="E869" t="s">
        <v>4287</v>
      </c>
      <c r="F869" t="s">
        <v>4282</v>
      </c>
      <c r="G869" t="s">
        <v>4286</v>
      </c>
      <c r="H869" t="s">
        <v>4285</v>
      </c>
      <c r="I869" t="s">
        <v>8905</v>
      </c>
      <c r="K869" t="s">
        <v>165</v>
      </c>
      <c r="N869" t="str">
        <f t="shared" si="40"/>
        <v>Szanowna Pani</v>
      </c>
      <c r="P869" s="19" t="s">
        <v>9776</v>
      </c>
      <c r="U869" t="str">
        <f t="shared" si="39"/>
        <v>tak</v>
      </c>
    </row>
    <row r="870" spans="1:21">
      <c r="A870">
        <v>914</v>
      </c>
      <c r="B870" t="s">
        <v>3939</v>
      </c>
      <c r="C870" t="s">
        <v>3979</v>
      </c>
      <c r="D870" t="s">
        <v>3980</v>
      </c>
      <c r="E870" t="s">
        <v>261</v>
      </c>
      <c r="F870" t="s">
        <v>4375</v>
      </c>
      <c r="G870" t="s">
        <v>4374</v>
      </c>
      <c r="H870" t="s">
        <v>4373</v>
      </c>
      <c r="I870" t="s">
        <v>8906</v>
      </c>
      <c r="K870" t="s">
        <v>164</v>
      </c>
      <c r="N870" t="str">
        <f t="shared" si="40"/>
        <v>Szanowna Pani</v>
      </c>
      <c r="O870" s="19" t="s">
        <v>9776</v>
      </c>
      <c r="U870" t="str">
        <f t="shared" si="39"/>
        <v>tak</v>
      </c>
    </row>
    <row r="871" spans="1:21">
      <c r="A871">
        <v>915</v>
      </c>
      <c r="B871" t="s">
        <v>3939</v>
      </c>
      <c r="C871" t="s">
        <v>3979</v>
      </c>
      <c r="D871" t="s">
        <v>3980</v>
      </c>
      <c r="E871" t="s">
        <v>261</v>
      </c>
      <c r="F871" t="s">
        <v>4375</v>
      </c>
      <c r="G871" t="s">
        <v>4374</v>
      </c>
      <c r="H871" t="s">
        <v>4376</v>
      </c>
      <c r="I871" t="s">
        <v>8906</v>
      </c>
      <c r="K871" t="s">
        <v>165</v>
      </c>
      <c r="N871" t="str">
        <f t="shared" si="40"/>
        <v>Szanowna Pani</v>
      </c>
      <c r="P871" s="19" t="s">
        <v>9776</v>
      </c>
      <c r="U871" t="str">
        <f t="shared" si="39"/>
        <v>tak</v>
      </c>
    </row>
    <row r="872" spans="1:21">
      <c r="A872">
        <v>916</v>
      </c>
      <c r="B872" t="s">
        <v>3939</v>
      </c>
      <c r="C872" t="s">
        <v>3981</v>
      </c>
      <c r="D872" t="s">
        <v>4292</v>
      </c>
      <c r="E872" t="s">
        <v>4291</v>
      </c>
      <c r="F872" t="s">
        <v>4290</v>
      </c>
      <c r="G872" t="s">
        <v>4289</v>
      </c>
      <c r="H872" t="s">
        <v>4288</v>
      </c>
      <c r="I872" t="s">
        <v>8907</v>
      </c>
      <c r="K872" t="s">
        <v>164</v>
      </c>
      <c r="N872" t="str">
        <f t="shared" si="40"/>
        <v>Szanowna Pani</v>
      </c>
      <c r="O872" s="19" t="s">
        <v>9776</v>
      </c>
      <c r="U872" t="str">
        <f t="shared" si="39"/>
        <v>tak</v>
      </c>
    </row>
    <row r="873" spans="1:21">
      <c r="A873">
        <v>917</v>
      </c>
      <c r="B873" t="s">
        <v>3939</v>
      </c>
      <c r="C873" t="s">
        <v>3982</v>
      </c>
      <c r="D873" t="s">
        <v>4296</v>
      </c>
      <c r="E873" t="s">
        <v>4295</v>
      </c>
      <c r="F873" t="s">
        <v>4007</v>
      </c>
      <c r="G873" t="s">
        <v>4294</v>
      </c>
      <c r="H873" t="s">
        <v>4293</v>
      </c>
      <c r="I873" t="s">
        <v>8908</v>
      </c>
      <c r="K873" t="s">
        <v>165</v>
      </c>
      <c r="N873" t="str">
        <f t="shared" si="40"/>
        <v>Szanowna Pani</v>
      </c>
      <c r="P873" s="19" t="s">
        <v>9776</v>
      </c>
      <c r="U873" t="str">
        <f t="shared" si="39"/>
        <v>tak</v>
      </c>
    </row>
    <row r="874" spans="1:21">
      <c r="A874">
        <v>918</v>
      </c>
      <c r="B874" t="s">
        <v>3939</v>
      </c>
      <c r="C874" t="s">
        <v>3983</v>
      </c>
      <c r="D874" t="s">
        <v>9654</v>
      </c>
      <c r="E874" t="s">
        <v>9655</v>
      </c>
      <c r="F874" t="s">
        <v>4299</v>
      </c>
      <c r="G874" t="s">
        <v>4298</v>
      </c>
      <c r="H874" t="s">
        <v>4297</v>
      </c>
      <c r="I874" t="s">
        <v>8909</v>
      </c>
      <c r="K874" t="s">
        <v>164</v>
      </c>
      <c r="N874" t="str">
        <f t="shared" si="40"/>
        <v>Szanowna Pani</v>
      </c>
      <c r="O874" s="19" t="s">
        <v>9776</v>
      </c>
      <c r="U874" t="str">
        <f t="shared" si="39"/>
        <v>tak</v>
      </c>
    </row>
    <row r="875" spans="1:21">
      <c r="A875">
        <v>919</v>
      </c>
      <c r="B875" t="s">
        <v>3939</v>
      </c>
      <c r="C875" t="s">
        <v>3984</v>
      </c>
      <c r="D875" t="s">
        <v>4304</v>
      </c>
      <c r="E875" t="s">
        <v>4303</v>
      </c>
      <c r="F875" t="s">
        <v>4302</v>
      </c>
      <c r="G875" t="s">
        <v>4301</v>
      </c>
      <c r="H875" t="s">
        <v>4300</v>
      </c>
      <c r="I875" t="s">
        <v>8910</v>
      </c>
      <c r="K875" t="s">
        <v>164</v>
      </c>
      <c r="N875" t="str">
        <f t="shared" si="40"/>
        <v>Szanowna Pani</v>
      </c>
      <c r="O875" s="19" t="s">
        <v>9776</v>
      </c>
      <c r="U875" t="str">
        <f t="shared" ref="U875:U910" si="41">+O875 &amp;P875&amp;Q875</f>
        <v>tak</v>
      </c>
    </row>
    <row r="876" spans="1:21">
      <c r="A876">
        <v>920</v>
      </c>
      <c r="B876" t="s">
        <v>3939</v>
      </c>
      <c r="C876" t="s">
        <v>3984</v>
      </c>
      <c r="D876" t="s">
        <v>4304</v>
      </c>
      <c r="E876" t="s">
        <v>4303</v>
      </c>
      <c r="F876" t="s">
        <v>4302</v>
      </c>
      <c r="G876" t="s">
        <v>4301</v>
      </c>
      <c r="H876" t="s">
        <v>4305</v>
      </c>
      <c r="I876" t="s">
        <v>8910</v>
      </c>
      <c r="K876" t="s">
        <v>1781</v>
      </c>
      <c r="N876" t="str">
        <f t="shared" si="40"/>
        <v>Szanowna Pani</v>
      </c>
      <c r="P876" s="19" t="s">
        <v>9776</v>
      </c>
      <c r="U876" t="str">
        <f t="shared" si="41"/>
        <v>tak</v>
      </c>
    </row>
    <row r="877" spans="1:21">
      <c r="A877">
        <v>921</v>
      </c>
      <c r="B877" t="s">
        <v>3939</v>
      </c>
      <c r="C877" t="s">
        <v>3984</v>
      </c>
      <c r="D877" t="s">
        <v>4304</v>
      </c>
      <c r="E877" t="s">
        <v>4303</v>
      </c>
      <c r="F877" t="s">
        <v>4302</v>
      </c>
      <c r="G877" t="s">
        <v>4307</v>
      </c>
      <c r="H877" t="s">
        <v>4306</v>
      </c>
      <c r="I877" t="s">
        <v>8910</v>
      </c>
      <c r="K877" t="s">
        <v>165</v>
      </c>
      <c r="N877" t="str">
        <f t="shared" si="40"/>
        <v>Szanowna Pani</v>
      </c>
      <c r="P877" s="19" t="s">
        <v>9776</v>
      </c>
      <c r="U877" t="str">
        <f t="shared" si="41"/>
        <v>tak</v>
      </c>
    </row>
    <row r="878" spans="1:21">
      <c r="A878">
        <v>922</v>
      </c>
      <c r="B878" t="s">
        <v>3939</v>
      </c>
      <c r="C878" t="s">
        <v>3985</v>
      </c>
      <c r="D878" t="s">
        <v>4312</v>
      </c>
      <c r="E878" t="s">
        <v>4311</v>
      </c>
      <c r="F878" t="s">
        <v>4310</v>
      </c>
      <c r="G878" t="s">
        <v>4309</v>
      </c>
      <c r="H878" t="s">
        <v>4308</v>
      </c>
      <c r="I878" t="s">
        <v>8911</v>
      </c>
      <c r="K878" t="s">
        <v>224</v>
      </c>
      <c r="N878" t="str">
        <f t="shared" si="40"/>
        <v>Szanowna Pani</v>
      </c>
      <c r="Q878" s="19" t="s">
        <v>9776</v>
      </c>
      <c r="U878" t="str">
        <f t="shared" si="41"/>
        <v>tak</v>
      </c>
    </row>
    <row r="879" spans="1:21">
      <c r="A879">
        <v>923</v>
      </c>
      <c r="B879" t="s">
        <v>3939</v>
      </c>
      <c r="C879" t="s">
        <v>3985</v>
      </c>
      <c r="D879" t="s">
        <v>4312</v>
      </c>
      <c r="E879" t="s">
        <v>4311</v>
      </c>
      <c r="F879" t="s">
        <v>4310</v>
      </c>
      <c r="G879" t="s">
        <v>4309</v>
      </c>
      <c r="H879" t="s">
        <v>4308</v>
      </c>
      <c r="I879" t="s">
        <v>8911</v>
      </c>
      <c r="K879" t="s">
        <v>164</v>
      </c>
      <c r="N879" t="str">
        <f t="shared" si="40"/>
        <v>Szanowna Pani</v>
      </c>
      <c r="O879" s="19" t="s">
        <v>9776</v>
      </c>
      <c r="U879" t="str">
        <f t="shared" si="41"/>
        <v>tak</v>
      </c>
    </row>
    <row r="880" spans="1:21">
      <c r="A880">
        <v>924</v>
      </c>
      <c r="B880" t="s">
        <v>3939</v>
      </c>
      <c r="C880" t="s">
        <v>3986</v>
      </c>
      <c r="D880" t="s">
        <v>4317</v>
      </c>
      <c r="E880" t="s">
        <v>4316</v>
      </c>
      <c r="F880" t="s">
        <v>4315</v>
      </c>
      <c r="G880" t="s">
        <v>4314</v>
      </c>
      <c r="H880" t="s">
        <v>4313</v>
      </c>
      <c r="I880" t="s">
        <v>8912</v>
      </c>
      <c r="K880" t="s">
        <v>164</v>
      </c>
      <c r="N880" t="str">
        <f t="shared" si="40"/>
        <v>Szanowna Pani</v>
      </c>
      <c r="O880" s="19" t="s">
        <v>9776</v>
      </c>
      <c r="U880" t="str">
        <f t="shared" si="41"/>
        <v>tak</v>
      </c>
    </row>
    <row r="881" spans="1:21">
      <c r="A881">
        <v>925</v>
      </c>
      <c r="B881" t="s">
        <v>3939</v>
      </c>
      <c r="C881" t="s">
        <v>3987</v>
      </c>
      <c r="D881" t="s">
        <v>4322</v>
      </c>
      <c r="E881" t="s">
        <v>4321</v>
      </c>
      <c r="F881" t="s">
        <v>4320</v>
      </c>
      <c r="G881" t="s">
        <v>4319</v>
      </c>
      <c r="H881" t="s">
        <v>4318</v>
      </c>
      <c r="I881" t="s">
        <v>8913</v>
      </c>
      <c r="K881" t="s">
        <v>164</v>
      </c>
      <c r="N881" t="str">
        <f t="shared" si="40"/>
        <v>Szanowna Pani</v>
      </c>
      <c r="O881" s="19" t="s">
        <v>9776</v>
      </c>
      <c r="U881" t="str">
        <f t="shared" si="41"/>
        <v>tak</v>
      </c>
    </row>
    <row r="882" spans="1:21">
      <c r="A882">
        <v>926</v>
      </c>
      <c r="B882" t="s">
        <v>3939</v>
      </c>
      <c r="C882" t="s">
        <v>3987</v>
      </c>
      <c r="D882" t="s">
        <v>4322</v>
      </c>
      <c r="E882" t="s">
        <v>4321</v>
      </c>
      <c r="F882" t="s">
        <v>4320</v>
      </c>
      <c r="G882" t="s">
        <v>4319</v>
      </c>
      <c r="H882" t="s">
        <v>4323</v>
      </c>
      <c r="I882" t="s">
        <v>8914</v>
      </c>
      <c r="K882" t="s">
        <v>224</v>
      </c>
      <c r="N882" t="str">
        <f t="shared" si="40"/>
        <v>Szanowna Pani</v>
      </c>
      <c r="Q882" s="19" t="s">
        <v>9776</v>
      </c>
      <c r="U882" t="str">
        <f t="shared" si="41"/>
        <v>tak</v>
      </c>
    </row>
    <row r="883" spans="1:21">
      <c r="A883">
        <v>927</v>
      </c>
      <c r="B883" t="s">
        <v>3939</v>
      </c>
      <c r="C883" t="s">
        <v>3988</v>
      </c>
      <c r="D883" t="s">
        <v>4327</v>
      </c>
      <c r="E883" t="s">
        <v>4326</v>
      </c>
      <c r="F883" t="s">
        <v>3919</v>
      </c>
      <c r="G883" t="s">
        <v>4325</v>
      </c>
      <c r="H883" t="s">
        <v>4324</v>
      </c>
      <c r="I883" t="s">
        <v>8915</v>
      </c>
      <c r="K883" t="s">
        <v>164</v>
      </c>
      <c r="N883" t="str">
        <f t="shared" si="40"/>
        <v>Szanowna Pani</v>
      </c>
      <c r="O883" s="19" t="s">
        <v>9776</v>
      </c>
      <c r="U883" t="str">
        <f t="shared" si="41"/>
        <v>tak</v>
      </c>
    </row>
    <row r="884" spans="1:21">
      <c r="A884">
        <v>928</v>
      </c>
      <c r="B884" t="s">
        <v>3939</v>
      </c>
      <c r="C884" t="s">
        <v>3988</v>
      </c>
      <c r="D884" t="s">
        <v>4327</v>
      </c>
      <c r="E884" t="s">
        <v>4326</v>
      </c>
      <c r="F884" t="s">
        <v>3919</v>
      </c>
      <c r="G884" t="s">
        <v>4325</v>
      </c>
      <c r="H884" t="s">
        <v>4328</v>
      </c>
      <c r="I884" t="s">
        <v>8916</v>
      </c>
      <c r="K884" t="s">
        <v>165</v>
      </c>
      <c r="N884" t="str">
        <f t="shared" si="40"/>
        <v>Szanowne Panie</v>
      </c>
      <c r="P884" s="19" t="s">
        <v>9776</v>
      </c>
      <c r="U884" t="str">
        <f t="shared" si="41"/>
        <v>tak</v>
      </c>
    </row>
    <row r="885" spans="1:21">
      <c r="A885">
        <v>929</v>
      </c>
      <c r="B885" t="s">
        <v>3939</v>
      </c>
      <c r="C885" t="s">
        <v>3989</v>
      </c>
      <c r="D885" t="s">
        <v>4332</v>
      </c>
      <c r="E885" t="s">
        <v>4331</v>
      </c>
      <c r="F885" t="s">
        <v>4330</v>
      </c>
      <c r="G885" t="s">
        <v>4329</v>
      </c>
      <c r="H885" t="s">
        <v>2968</v>
      </c>
      <c r="I885" t="s">
        <v>8917</v>
      </c>
      <c r="K885" t="s">
        <v>164</v>
      </c>
      <c r="N885" t="str">
        <f t="shared" si="40"/>
        <v>Szanowna Pani</v>
      </c>
      <c r="O885" s="19" t="s">
        <v>9776</v>
      </c>
      <c r="U885" t="str">
        <f t="shared" si="41"/>
        <v>tak</v>
      </c>
    </row>
    <row r="886" spans="1:21">
      <c r="A886">
        <v>930</v>
      </c>
      <c r="B886" t="s">
        <v>3939</v>
      </c>
      <c r="C886" t="s">
        <v>3990</v>
      </c>
      <c r="D886" t="s">
        <v>3991</v>
      </c>
      <c r="E886" t="s">
        <v>3672</v>
      </c>
      <c r="F886" t="s">
        <v>4335</v>
      </c>
      <c r="G886" t="s">
        <v>4334</v>
      </c>
      <c r="H886" t="s">
        <v>4333</v>
      </c>
      <c r="I886" t="s">
        <v>8918</v>
      </c>
      <c r="K886" t="s">
        <v>164</v>
      </c>
      <c r="N886" t="str">
        <f t="shared" si="40"/>
        <v>Szanowna Pani</v>
      </c>
      <c r="O886" s="19" t="s">
        <v>9776</v>
      </c>
      <c r="U886" t="str">
        <f t="shared" si="41"/>
        <v>tak</v>
      </c>
    </row>
    <row r="887" spans="1:21">
      <c r="A887">
        <v>931</v>
      </c>
      <c r="B887" t="s">
        <v>3939</v>
      </c>
      <c r="C887" t="s">
        <v>3992</v>
      </c>
      <c r="D887" t="s">
        <v>3993</v>
      </c>
      <c r="E887" t="s">
        <v>4339</v>
      </c>
      <c r="F887" t="s">
        <v>4338</v>
      </c>
      <c r="G887" t="s">
        <v>4337</v>
      </c>
      <c r="H887" t="s">
        <v>4336</v>
      </c>
      <c r="I887" t="s">
        <v>8919</v>
      </c>
      <c r="K887" t="s">
        <v>164</v>
      </c>
      <c r="N887" t="str">
        <f t="shared" si="40"/>
        <v>Szanowna Pani</v>
      </c>
      <c r="O887" s="19" t="s">
        <v>9776</v>
      </c>
      <c r="U887" t="str">
        <f t="shared" si="41"/>
        <v>tak</v>
      </c>
    </row>
    <row r="888" spans="1:21">
      <c r="A888">
        <v>932</v>
      </c>
      <c r="B888" t="s">
        <v>3939</v>
      </c>
      <c r="C888" t="s">
        <v>3992</v>
      </c>
      <c r="D888" t="s">
        <v>3993</v>
      </c>
      <c r="E888" t="s">
        <v>4339</v>
      </c>
      <c r="F888" t="s">
        <v>4338</v>
      </c>
      <c r="G888" t="s">
        <v>4337</v>
      </c>
      <c r="H888" t="s">
        <v>4340</v>
      </c>
      <c r="I888" t="s">
        <v>8920</v>
      </c>
      <c r="K888" t="s">
        <v>165</v>
      </c>
      <c r="N888" t="str">
        <f t="shared" si="40"/>
        <v>Szanowna Pani</v>
      </c>
      <c r="P888" s="19" t="s">
        <v>9776</v>
      </c>
      <c r="U888" t="str">
        <f t="shared" si="41"/>
        <v>tak</v>
      </c>
    </row>
    <row r="889" spans="1:21">
      <c r="A889">
        <v>933</v>
      </c>
      <c r="B889" t="s">
        <v>3939</v>
      </c>
      <c r="C889" t="s">
        <v>3994</v>
      </c>
      <c r="D889" t="s">
        <v>4345</v>
      </c>
      <c r="E889" t="s">
        <v>4344</v>
      </c>
      <c r="F889" t="s">
        <v>4343</v>
      </c>
      <c r="G889" t="s">
        <v>4342</v>
      </c>
      <c r="H889" t="s">
        <v>4341</v>
      </c>
      <c r="I889" t="s">
        <v>8921</v>
      </c>
      <c r="K889" t="s">
        <v>164</v>
      </c>
      <c r="N889" t="str">
        <f t="shared" si="40"/>
        <v>Szanowna Pani</v>
      </c>
      <c r="O889" s="19" t="s">
        <v>9776</v>
      </c>
      <c r="U889" t="str">
        <f t="shared" si="41"/>
        <v>tak</v>
      </c>
    </row>
    <row r="890" spans="1:21">
      <c r="A890">
        <v>934</v>
      </c>
      <c r="B890" t="s">
        <v>3939</v>
      </c>
      <c r="C890" t="s">
        <v>3995</v>
      </c>
      <c r="D890" t="s">
        <v>4350</v>
      </c>
      <c r="E890" t="s">
        <v>4349</v>
      </c>
      <c r="F890" t="s">
        <v>4348</v>
      </c>
      <c r="G890" t="s">
        <v>4347</v>
      </c>
      <c r="H890" t="s">
        <v>4346</v>
      </c>
      <c r="I890" t="s">
        <v>8922</v>
      </c>
      <c r="K890" t="s">
        <v>164</v>
      </c>
      <c r="N890" t="str">
        <f t="shared" si="40"/>
        <v>Szanowna Pani</v>
      </c>
      <c r="O890" s="19" t="s">
        <v>9776</v>
      </c>
      <c r="U890" t="str">
        <f t="shared" si="41"/>
        <v>tak</v>
      </c>
    </row>
    <row r="891" spans="1:21">
      <c r="A891">
        <v>935</v>
      </c>
      <c r="B891" t="s">
        <v>3939</v>
      </c>
      <c r="C891" t="s">
        <v>2200</v>
      </c>
      <c r="D891" t="s">
        <v>4355</v>
      </c>
      <c r="E891" t="s">
        <v>4354</v>
      </c>
      <c r="F891" t="s">
        <v>4353</v>
      </c>
      <c r="G891" t="s">
        <v>4352</v>
      </c>
      <c r="H891" t="s">
        <v>4351</v>
      </c>
      <c r="I891" t="s">
        <v>8923</v>
      </c>
      <c r="K891" t="s">
        <v>164</v>
      </c>
      <c r="N891" t="str">
        <f t="shared" si="40"/>
        <v>Szanowna Pani</v>
      </c>
      <c r="O891" s="19" t="s">
        <v>9776</v>
      </c>
      <c r="U891" t="str">
        <f t="shared" si="41"/>
        <v>tak</v>
      </c>
    </row>
    <row r="892" spans="1:21">
      <c r="A892">
        <v>936</v>
      </c>
      <c r="B892" t="s">
        <v>3939</v>
      </c>
      <c r="C892" t="s">
        <v>3996</v>
      </c>
      <c r="D892" t="s">
        <v>71</v>
      </c>
      <c r="E892" t="s">
        <v>4359</v>
      </c>
      <c r="F892" t="s">
        <v>4358</v>
      </c>
      <c r="G892" t="s">
        <v>4357</v>
      </c>
      <c r="H892" t="s">
        <v>4356</v>
      </c>
      <c r="I892" t="s">
        <v>8924</v>
      </c>
      <c r="K892" t="s">
        <v>164</v>
      </c>
      <c r="N892" t="str">
        <f t="shared" si="40"/>
        <v>Szanowna Pani</v>
      </c>
      <c r="O892" s="19" t="s">
        <v>9776</v>
      </c>
      <c r="U892" t="str">
        <f t="shared" si="41"/>
        <v>tak</v>
      </c>
    </row>
    <row r="893" spans="1:21">
      <c r="A893">
        <v>937</v>
      </c>
      <c r="B893" t="s">
        <v>3939</v>
      </c>
      <c r="C893" t="s">
        <v>3997</v>
      </c>
      <c r="D893" t="s">
        <v>4364</v>
      </c>
      <c r="E893" t="s">
        <v>4363</v>
      </c>
      <c r="F893" t="s">
        <v>4362</v>
      </c>
      <c r="G893" t="s">
        <v>4361</v>
      </c>
      <c r="H893" t="s">
        <v>4360</v>
      </c>
      <c r="I893" t="s">
        <v>8925</v>
      </c>
      <c r="K893" t="s">
        <v>164</v>
      </c>
      <c r="N893" t="str">
        <f t="shared" si="40"/>
        <v>Szanowna Pani</v>
      </c>
      <c r="O893" s="19" t="s">
        <v>9776</v>
      </c>
      <c r="U893" t="str">
        <f t="shared" si="41"/>
        <v>tak</v>
      </c>
    </row>
    <row r="894" spans="1:21">
      <c r="A894">
        <v>938</v>
      </c>
      <c r="B894" t="s">
        <v>3939</v>
      </c>
      <c r="C894" t="s">
        <v>3998</v>
      </c>
      <c r="D894" t="s">
        <v>3999</v>
      </c>
      <c r="E894" t="s">
        <v>4368</v>
      </c>
      <c r="F894" t="s">
        <v>4367</v>
      </c>
      <c r="G894" t="s">
        <v>4366</v>
      </c>
      <c r="H894" t="s">
        <v>4365</v>
      </c>
      <c r="I894" t="s">
        <v>8926</v>
      </c>
      <c r="K894" t="s">
        <v>164</v>
      </c>
      <c r="N894" t="str">
        <f t="shared" si="40"/>
        <v>Szanowna Pani</v>
      </c>
      <c r="O894" s="19" t="s">
        <v>9776</v>
      </c>
      <c r="U894" t="str">
        <f t="shared" si="41"/>
        <v>tak</v>
      </c>
    </row>
    <row r="895" spans="1:21">
      <c r="A895">
        <v>939</v>
      </c>
      <c r="B895" t="s">
        <v>4378</v>
      </c>
      <c r="C895" t="s">
        <v>4379</v>
      </c>
      <c r="D895" t="s">
        <v>4380</v>
      </c>
      <c r="E895" t="s">
        <v>4381</v>
      </c>
      <c r="F895" t="s">
        <v>4382</v>
      </c>
      <c r="G895" t="s">
        <v>4563</v>
      </c>
      <c r="H895" t="s">
        <v>4859</v>
      </c>
      <c r="I895" t="s">
        <v>8927</v>
      </c>
      <c r="K895" t="s">
        <v>164</v>
      </c>
      <c r="N895" t="str">
        <f t="shared" si="40"/>
        <v>Szanowna Pani</v>
      </c>
      <c r="O895" s="19" t="s">
        <v>9776</v>
      </c>
      <c r="U895" t="str">
        <f t="shared" si="41"/>
        <v>tak</v>
      </c>
    </row>
    <row r="896" spans="1:21">
      <c r="A896">
        <v>940</v>
      </c>
      <c r="B896" t="s">
        <v>4378</v>
      </c>
      <c r="C896" t="s">
        <v>4857</v>
      </c>
      <c r="D896" t="s">
        <v>4863</v>
      </c>
      <c r="E896" t="s">
        <v>4862</v>
      </c>
      <c r="F896" t="s">
        <v>4846</v>
      </c>
      <c r="G896" t="s">
        <v>4861</v>
      </c>
      <c r="H896" t="s">
        <v>4860</v>
      </c>
      <c r="I896" t="s">
        <v>8928</v>
      </c>
      <c r="K896" t="s">
        <v>165</v>
      </c>
      <c r="N896" t="str">
        <f t="shared" si="40"/>
        <v>Szanowna Pani</v>
      </c>
      <c r="P896" s="19" t="s">
        <v>9776</v>
      </c>
      <c r="U896" t="str">
        <f t="shared" si="41"/>
        <v>tak</v>
      </c>
    </row>
    <row r="897" spans="1:21">
      <c r="A897">
        <v>941</v>
      </c>
      <c r="B897" t="s">
        <v>4378</v>
      </c>
      <c r="C897" t="s">
        <v>4383</v>
      </c>
      <c r="D897" t="s">
        <v>4868</v>
      </c>
      <c r="E897" t="s">
        <v>4867</v>
      </c>
      <c r="F897" t="s">
        <v>4866</v>
      </c>
      <c r="G897" t="s">
        <v>4865</v>
      </c>
      <c r="H897" t="s">
        <v>4864</v>
      </c>
      <c r="I897" t="s">
        <v>8929</v>
      </c>
      <c r="K897" t="s">
        <v>224</v>
      </c>
      <c r="N897" t="str">
        <f t="shared" si="40"/>
        <v>Szanowne Panie</v>
      </c>
      <c r="Q897" s="19" t="s">
        <v>9776</v>
      </c>
      <c r="U897" t="str">
        <f t="shared" si="41"/>
        <v>tak</v>
      </c>
    </row>
    <row r="898" spans="1:21">
      <c r="A898">
        <v>942</v>
      </c>
      <c r="B898" t="s">
        <v>4378</v>
      </c>
      <c r="C898" t="s">
        <v>4383</v>
      </c>
      <c r="D898" t="s">
        <v>4872</v>
      </c>
      <c r="E898" t="s">
        <v>4871</v>
      </c>
      <c r="F898" t="s">
        <v>4866</v>
      </c>
      <c r="G898" t="s">
        <v>4870</v>
      </c>
      <c r="H898" t="s">
        <v>4869</v>
      </c>
      <c r="I898" t="s">
        <v>8930</v>
      </c>
      <c r="K898" t="s">
        <v>164</v>
      </c>
      <c r="N898" t="str">
        <f t="shared" si="40"/>
        <v>Szanowna Pani</v>
      </c>
      <c r="O898" s="19" t="s">
        <v>9776</v>
      </c>
      <c r="U898" t="str">
        <f t="shared" si="41"/>
        <v>tak</v>
      </c>
    </row>
    <row r="899" spans="1:21">
      <c r="A899">
        <v>943</v>
      </c>
      <c r="B899" t="s">
        <v>4378</v>
      </c>
      <c r="C899" t="s">
        <v>4384</v>
      </c>
      <c r="D899" t="s">
        <v>4567</v>
      </c>
      <c r="E899" t="s">
        <v>2736</v>
      </c>
      <c r="F899" t="s">
        <v>4566</v>
      </c>
      <c r="G899" t="s">
        <v>4565</v>
      </c>
      <c r="H899" t="s">
        <v>4564</v>
      </c>
      <c r="I899" t="s">
        <v>8931</v>
      </c>
      <c r="K899" t="s">
        <v>165</v>
      </c>
      <c r="N899" t="str">
        <f t="shared" si="40"/>
        <v>Szanowna Pani</v>
      </c>
      <c r="P899" s="19" t="s">
        <v>9776</v>
      </c>
      <c r="U899" t="str">
        <f t="shared" si="41"/>
        <v>tak</v>
      </c>
    </row>
    <row r="900" spans="1:21">
      <c r="A900">
        <v>944</v>
      </c>
      <c r="B900" t="s">
        <v>4378</v>
      </c>
      <c r="C900" t="s">
        <v>4385</v>
      </c>
      <c r="D900" t="s">
        <v>4386</v>
      </c>
      <c r="E900" t="s">
        <v>2168</v>
      </c>
      <c r="F900" t="s">
        <v>4387</v>
      </c>
      <c r="G900" t="s">
        <v>4569</v>
      </c>
      <c r="H900" t="s">
        <v>4568</v>
      </c>
      <c r="I900" t="s">
        <v>8932</v>
      </c>
      <c r="K900" t="s">
        <v>164</v>
      </c>
      <c r="N900" t="str">
        <f t="shared" si="40"/>
        <v>Szanowna Pani</v>
      </c>
      <c r="O900" s="19" t="s">
        <v>9776</v>
      </c>
      <c r="U900" t="str">
        <f t="shared" si="41"/>
        <v>tak</v>
      </c>
    </row>
    <row r="901" spans="1:21">
      <c r="A901">
        <v>945</v>
      </c>
      <c r="B901" t="s">
        <v>4378</v>
      </c>
      <c r="C901" t="s">
        <v>4385</v>
      </c>
      <c r="D901" t="s">
        <v>4386</v>
      </c>
      <c r="E901" t="s">
        <v>2168</v>
      </c>
      <c r="F901" t="s">
        <v>4387</v>
      </c>
      <c r="G901" t="s">
        <v>4569</v>
      </c>
      <c r="H901" t="s">
        <v>4568</v>
      </c>
      <c r="I901" t="s">
        <v>8932</v>
      </c>
      <c r="K901" t="s">
        <v>164</v>
      </c>
      <c r="N901" t="str">
        <f t="shared" si="40"/>
        <v>Szanowna Pani</v>
      </c>
      <c r="O901" s="19" t="s">
        <v>9776</v>
      </c>
      <c r="U901" t="str">
        <f t="shared" si="41"/>
        <v>tak</v>
      </c>
    </row>
    <row r="902" spans="1:21">
      <c r="A902">
        <v>946</v>
      </c>
      <c r="B902" t="s">
        <v>4378</v>
      </c>
      <c r="C902" t="s">
        <v>4385</v>
      </c>
      <c r="D902" t="s">
        <v>4386</v>
      </c>
      <c r="E902" t="s">
        <v>2168</v>
      </c>
      <c r="F902" t="s">
        <v>4387</v>
      </c>
      <c r="G902" t="s">
        <v>4569</v>
      </c>
      <c r="H902" t="s">
        <v>4568</v>
      </c>
      <c r="I902" t="s">
        <v>8932</v>
      </c>
      <c r="K902" t="s">
        <v>165</v>
      </c>
      <c r="N902" t="str">
        <f t="shared" si="40"/>
        <v>Szanowna Pani</v>
      </c>
      <c r="P902" s="19" t="s">
        <v>9776</v>
      </c>
      <c r="U902" t="str">
        <f t="shared" si="41"/>
        <v>tak</v>
      </c>
    </row>
    <row r="903" spans="1:21">
      <c r="A903">
        <v>947</v>
      </c>
      <c r="B903" t="s">
        <v>4378</v>
      </c>
      <c r="C903" t="s">
        <v>4388</v>
      </c>
      <c r="D903" t="s">
        <v>4389</v>
      </c>
      <c r="E903" t="s">
        <v>3582</v>
      </c>
      <c r="F903" t="s">
        <v>4390</v>
      </c>
      <c r="G903" t="s">
        <v>4571</v>
      </c>
      <c r="H903" t="s">
        <v>4570</v>
      </c>
      <c r="I903" t="s">
        <v>8933</v>
      </c>
      <c r="K903" t="s">
        <v>224</v>
      </c>
      <c r="N903" t="str">
        <f t="shared" si="40"/>
        <v>Szanowna Pani</v>
      </c>
      <c r="Q903" s="19" t="s">
        <v>9776</v>
      </c>
      <c r="U903" t="str">
        <f t="shared" si="41"/>
        <v>tak</v>
      </c>
    </row>
    <row r="904" spans="1:21">
      <c r="A904">
        <v>948</v>
      </c>
      <c r="B904" t="s">
        <v>4378</v>
      </c>
      <c r="C904" t="s">
        <v>4391</v>
      </c>
      <c r="D904" t="s">
        <v>4392</v>
      </c>
      <c r="E904" t="s">
        <v>4574</v>
      </c>
      <c r="F904" t="s">
        <v>4452</v>
      </c>
      <c r="G904" t="s">
        <v>4573</v>
      </c>
      <c r="H904" t="s">
        <v>4572</v>
      </c>
      <c r="I904" t="s">
        <v>8934</v>
      </c>
      <c r="K904" t="s">
        <v>224</v>
      </c>
      <c r="N904" t="str">
        <f t="shared" si="40"/>
        <v>Szanowna Pani</v>
      </c>
      <c r="Q904" s="19" t="s">
        <v>9776</v>
      </c>
      <c r="U904" t="str">
        <f t="shared" si="41"/>
        <v>tak</v>
      </c>
    </row>
    <row r="905" spans="1:21">
      <c r="A905">
        <v>949</v>
      </c>
      <c r="B905" t="s">
        <v>4378</v>
      </c>
      <c r="C905" t="s">
        <v>4393</v>
      </c>
      <c r="D905" t="s">
        <v>4579</v>
      </c>
      <c r="E905" t="s">
        <v>4578</v>
      </c>
      <c r="F905" t="s">
        <v>4577</v>
      </c>
      <c r="G905" t="s">
        <v>4576</v>
      </c>
      <c r="H905" t="s">
        <v>4575</v>
      </c>
      <c r="I905" t="s">
        <v>8935</v>
      </c>
      <c r="K905" t="s">
        <v>164</v>
      </c>
      <c r="N905" t="str">
        <f t="shared" si="40"/>
        <v>Szanowne Panie</v>
      </c>
      <c r="O905" s="19" t="s">
        <v>9776</v>
      </c>
      <c r="U905" t="str">
        <f t="shared" si="41"/>
        <v>tak</v>
      </c>
    </row>
    <row r="906" spans="1:21">
      <c r="A906">
        <v>950</v>
      </c>
      <c r="B906" t="s">
        <v>4378</v>
      </c>
      <c r="C906" t="s">
        <v>4393</v>
      </c>
      <c r="D906" t="s">
        <v>4579</v>
      </c>
      <c r="E906" t="s">
        <v>4578</v>
      </c>
      <c r="F906" t="s">
        <v>4577</v>
      </c>
      <c r="G906" t="s">
        <v>4576</v>
      </c>
      <c r="H906" t="s">
        <v>4580</v>
      </c>
      <c r="I906" t="s">
        <v>8935</v>
      </c>
      <c r="K906" t="s">
        <v>165</v>
      </c>
      <c r="N906" t="str">
        <f t="shared" si="40"/>
        <v>Szanowna Pani</v>
      </c>
      <c r="P906" s="19" t="s">
        <v>9776</v>
      </c>
      <c r="U906" t="str">
        <f t="shared" si="41"/>
        <v>tak</v>
      </c>
    </row>
    <row r="907" spans="1:21">
      <c r="A907">
        <v>951</v>
      </c>
      <c r="B907" t="s">
        <v>4378</v>
      </c>
      <c r="C907" t="s">
        <v>4394</v>
      </c>
      <c r="D907" t="s">
        <v>4395</v>
      </c>
      <c r="E907" t="s">
        <v>4396</v>
      </c>
      <c r="F907" t="s">
        <v>4397</v>
      </c>
      <c r="G907" t="s">
        <v>4582</v>
      </c>
      <c r="H907" t="s">
        <v>4581</v>
      </c>
      <c r="I907" t="s">
        <v>8936</v>
      </c>
      <c r="K907" t="s">
        <v>164</v>
      </c>
      <c r="N907" t="str">
        <f t="shared" si="40"/>
        <v>Szanowna Pani</v>
      </c>
      <c r="O907" s="19" t="s">
        <v>9776</v>
      </c>
      <c r="U907" t="str">
        <f t="shared" si="41"/>
        <v>tak</v>
      </c>
    </row>
    <row r="908" spans="1:21">
      <c r="A908">
        <v>952</v>
      </c>
      <c r="B908" t="s">
        <v>4378</v>
      </c>
      <c r="C908" t="s">
        <v>4398</v>
      </c>
      <c r="D908" t="s">
        <v>4399</v>
      </c>
      <c r="E908" t="s">
        <v>4400</v>
      </c>
      <c r="F908" t="s">
        <v>4401</v>
      </c>
      <c r="G908" t="s">
        <v>4584</v>
      </c>
      <c r="H908" t="s">
        <v>4583</v>
      </c>
      <c r="I908" t="s">
        <v>8937</v>
      </c>
      <c r="K908" t="s">
        <v>224</v>
      </c>
      <c r="N908" t="str">
        <f t="shared" si="40"/>
        <v>Szanowna Pani</v>
      </c>
      <c r="Q908" s="19" t="s">
        <v>9776</v>
      </c>
      <c r="U908" t="str">
        <f t="shared" si="41"/>
        <v>tak</v>
      </c>
    </row>
    <row r="909" spans="1:21">
      <c r="A909">
        <v>953</v>
      </c>
      <c r="B909" t="s">
        <v>4378</v>
      </c>
      <c r="C909" t="s">
        <v>4402</v>
      </c>
      <c r="D909" t="s">
        <v>4403</v>
      </c>
      <c r="E909" t="s">
        <v>4404</v>
      </c>
      <c r="F909" t="s">
        <v>4405</v>
      </c>
      <c r="G909" t="s">
        <v>4586</v>
      </c>
      <c r="H909" t="s">
        <v>4585</v>
      </c>
      <c r="I909" t="s">
        <v>8938</v>
      </c>
      <c r="K909" t="s">
        <v>164</v>
      </c>
      <c r="N909" t="str">
        <f t="shared" si="40"/>
        <v>Szanowna Pani</v>
      </c>
      <c r="O909" s="19" t="s">
        <v>9776</v>
      </c>
      <c r="U909" t="str">
        <f t="shared" si="41"/>
        <v>tak</v>
      </c>
    </row>
    <row r="910" spans="1:21">
      <c r="A910">
        <v>954</v>
      </c>
      <c r="B910" t="s">
        <v>4378</v>
      </c>
      <c r="C910" t="s">
        <v>4406</v>
      </c>
      <c r="D910" t="s">
        <v>4591</v>
      </c>
      <c r="E910" t="s">
        <v>4590</v>
      </c>
      <c r="F910" t="s">
        <v>4589</v>
      </c>
      <c r="G910" t="s">
        <v>4588</v>
      </c>
      <c r="H910" t="s">
        <v>4587</v>
      </c>
      <c r="I910" t="s">
        <v>8939</v>
      </c>
      <c r="K910" t="s">
        <v>164</v>
      </c>
      <c r="N910" t="str">
        <f t="shared" si="40"/>
        <v>Szanowna Pani</v>
      </c>
      <c r="O910" s="19" t="s">
        <v>9776</v>
      </c>
      <c r="U910" t="str">
        <f t="shared" si="41"/>
        <v>tak</v>
      </c>
    </row>
    <row r="911" spans="1:21">
      <c r="A911">
        <v>955</v>
      </c>
      <c r="B911" t="s">
        <v>4378</v>
      </c>
      <c r="C911" t="s">
        <v>4406</v>
      </c>
      <c r="D911" t="s">
        <v>4591</v>
      </c>
      <c r="E911" t="s">
        <v>4590</v>
      </c>
      <c r="F911" t="s">
        <v>4589</v>
      </c>
      <c r="G911" t="s">
        <v>4588</v>
      </c>
      <c r="H911" t="s">
        <v>4880</v>
      </c>
      <c r="I911" t="s">
        <v>8940</v>
      </c>
      <c r="K911" t="s">
        <v>165</v>
      </c>
      <c r="N911" t="str">
        <f t="shared" si="40"/>
        <v>Szanowna Pani</v>
      </c>
      <c r="P911" s="19" t="s">
        <v>9776</v>
      </c>
      <c r="U911" t="str">
        <f t="shared" ref="U911:U943" si="42">+O911 &amp;P911&amp;Q911</f>
        <v>tak</v>
      </c>
    </row>
    <row r="912" spans="1:21">
      <c r="A912">
        <v>956</v>
      </c>
      <c r="B912" t="s">
        <v>4378</v>
      </c>
      <c r="C912" t="s">
        <v>4406</v>
      </c>
      <c r="D912" t="s">
        <v>4591</v>
      </c>
      <c r="E912" t="s">
        <v>4590</v>
      </c>
      <c r="F912" t="s">
        <v>4589</v>
      </c>
      <c r="G912" t="s">
        <v>4882</v>
      </c>
      <c r="H912" t="s">
        <v>4881</v>
      </c>
      <c r="I912" t="s">
        <v>8941</v>
      </c>
      <c r="K912" t="s">
        <v>224</v>
      </c>
      <c r="N912" t="str">
        <f t="shared" si="40"/>
        <v>Szanowna Pani</v>
      </c>
      <c r="Q912" s="19" t="s">
        <v>9776</v>
      </c>
      <c r="U912" t="str">
        <f t="shared" si="42"/>
        <v>tak</v>
      </c>
    </row>
    <row r="913" spans="1:21">
      <c r="A913">
        <v>957</v>
      </c>
      <c r="B913" t="s">
        <v>4378</v>
      </c>
      <c r="C913" t="s">
        <v>4407</v>
      </c>
      <c r="D913" t="s">
        <v>4408</v>
      </c>
      <c r="E913" t="s">
        <v>4409</v>
      </c>
      <c r="F913" t="s">
        <v>4410</v>
      </c>
      <c r="G913" t="s">
        <v>4593</v>
      </c>
      <c r="H913" t="s">
        <v>4592</v>
      </c>
      <c r="I913" t="s">
        <v>8942</v>
      </c>
      <c r="K913" t="s">
        <v>164</v>
      </c>
      <c r="N913" t="str">
        <f t="shared" si="40"/>
        <v>Szanowne Panie</v>
      </c>
      <c r="O913" s="19" t="s">
        <v>9776</v>
      </c>
      <c r="U913" t="str">
        <f t="shared" si="42"/>
        <v>tak</v>
      </c>
    </row>
    <row r="914" spans="1:21">
      <c r="A914">
        <v>958</v>
      </c>
      <c r="B914" t="s">
        <v>4378</v>
      </c>
      <c r="C914" t="s">
        <v>4407</v>
      </c>
      <c r="D914" t="s">
        <v>4408</v>
      </c>
      <c r="E914" t="s">
        <v>4409</v>
      </c>
      <c r="F914" t="s">
        <v>4410</v>
      </c>
      <c r="G914" t="s">
        <v>4593</v>
      </c>
      <c r="H914" t="s">
        <v>4594</v>
      </c>
      <c r="I914" t="s">
        <v>8942</v>
      </c>
      <c r="K914" t="s">
        <v>165</v>
      </c>
      <c r="N914" t="str">
        <f t="shared" si="40"/>
        <v>Szanowna Pani</v>
      </c>
      <c r="P914" s="19" t="s">
        <v>9776</v>
      </c>
      <c r="U914" t="str">
        <f t="shared" si="42"/>
        <v>tak</v>
      </c>
    </row>
    <row r="915" spans="1:21">
      <c r="A915">
        <v>959</v>
      </c>
      <c r="B915" t="s">
        <v>4378</v>
      </c>
      <c r="C915" t="s">
        <v>4411</v>
      </c>
      <c r="D915" t="s">
        <v>4596</v>
      </c>
      <c r="E915" t="s">
        <v>4595</v>
      </c>
      <c r="F915" t="s">
        <v>4397</v>
      </c>
      <c r="G915" t="s">
        <v>4598</v>
      </c>
      <c r="H915" t="s">
        <v>4597</v>
      </c>
      <c r="I915" t="s">
        <v>8943</v>
      </c>
      <c r="K915" t="s">
        <v>4873</v>
      </c>
      <c r="N915" t="str">
        <f t="shared" si="40"/>
        <v>Szanowna Pani</v>
      </c>
      <c r="O915" s="19" t="s">
        <v>9776</v>
      </c>
      <c r="U915" t="str">
        <f t="shared" si="42"/>
        <v>tak</v>
      </c>
    </row>
    <row r="916" spans="1:21">
      <c r="A916">
        <v>960</v>
      </c>
      <c r="B916" t="s">
        <v>4378</v>
      </c>
      <c r="C916" t="s">
        <v>4411</v>
      </c>
      <c r="D916" t="s">
        <v>4874</v>
      </c>
      <c r="E916" t="s">
        <v>4595</v>
      </c>
      <c r="F916" t="s">
        <v>4397</v>
      </c>
      <c r="G916" t="s">
        <v>4598</v>
      </c>
      <c r="H916" t="s">
        <v>4597</v>
      </c>
      <c r="I916" t="s">
        <v>8943</v>
      </c>
      <c r="K916" t="s">
        <v>164</v>
      </c>
      <c r="N916" t="str">
        <f t="shared" si="40"/>
        <v>Szanowna Pani</v>
      </c>
      <c r="O916" s="19" t="s">
        <v>9776</v>
      </c>
      <c r="U916" t="str">
        <f t="shared" si="42"/>
        <v>tak</v>
      </c>
    </row>
    <row r="917" spans="1:21">
      <c r="A917">
        <v>961</v>
      </c>
      <c r="B917" t="s">
        <v>4378</v>
      </c>
      <c r="C917" t="s">
        <v>4411</v>
      </c>
      <c r="D917" t="s">
        <v>4599</v>
      </c>
      <c r="E917" t="s">
        <v>4595</v>
      </c>
      <c r="F917" t="s">
        <v>4397</v>
      </c>
      <c r="G917" t="s">
        <v>4598</v>
      </c>
      <c r="H917" t="s">
        <v>4597</v>
      </c>
      <c r="I917" t="s">
        <v>8943</v>
      </c>
      <c r="K917" t="s">
        <v>224</v>
      </c>
      <c r="N917" t="str">
        <f t="shared" si="40"/>
        <v>Szanowna Pani</v>
      </c>
      <c r="Q917" s="19" t="s">
        <v>9776</v>
      </c>
      <c r="U917" t="str">
        <f t="shared" si="42"/>
        <v>tak</v>
      </c>
    </row>
    <row r="918" spans="1:21">
      <c r="A918">
        <v>962</v>
      </c>
      <c r="B918" t="s">
        <v>4378</v>
      </c>
      <c r="C918" t="s">
        <v>4411</v>
      </c>
      <c r="D918" t="s">
        <v>4412</v>
      </c>
      <c r="E918" t="s">
        <v>4595</v>
      </c>
      <c r="F918" t="s">
        <v>4397</v>
      </c>
      <c r="G918" t="s">
        <v>4598</v>
      </c>
      <c r="H918" t="s">
        <v>4875</v>
      </c>
      <c r="I918" t="s">
        <v>8944</v>
      </c>
      <c r="K918" t="s">
        <v>164</v>
      </c>
      <c r="N918" t="str">
        <f t="shared" si="40"/>
        <v>Szanowna Pani</v>
      </c>
      <c r="O918" s="19" t="s">
        <v>9776</v>
      </c>
      <c r="U918" t="str">
        <f t="shared" si="42"/>
        <v>tak</v>
      </c>
    </row>
    <row r="919" spans="1:21">
      <c r="A919">
        <v>963</v>
      </c>
      <c r="B919" t="s">
        <v>4378</v>
      </c>
      <c r="C919" t="s">
        <v>4411</v>
      </c>
      <c r="D919" t="s">
        <v>4412</v>
      </c>
      <c r="E919" t="s">
        <v>4595</v>
      </c>
      <c r="F919" t="s">
        <v>4397</v>
      </c>
      <c r="G919" t="s">
        <v>4601</v>
      </c>
      <c r="H919" t="s">
        <v>4600</v>
      </c>
      <c r="I919" t="s">
        <v>8945</v>
      </c>
      <c r="K919" t="s">
        <v>224</v>
      </c>
      <c r="N919" t="str">
        <f t="shared" ref="N919:N982" si="43">IF(ISERROR(FIND(",",H919)),IF(MID(H919,FIND(" ",H919)-1,1)="a","Szanowna Pani","Szanowny Pan"), "Szanowne Panie")</f>
        <v>Szanowna Pani</v>
      </c>
      <c r="Q919" s="19" t="s">
        <v>9776</v>
      </c>
      <c r="U919" t="str">
        <f t="shared" si="42"/>
        <v>tak</v>
      </c>
    </row>
    <row r="920" spans="1:21">
      <c r="A920">
        <v>964</v>
      </c>
      <c r="B920" t="s">
        <v>4378</v>
      </c>
      <c r="C920" t="s">
        <v>4411</v>
      </c>
      <c r="D920" t="s">
        <v>4603</v>
      </c>
      <c r="E920" t="s">
        <v>4595</v>
      </c>
      <c r="F920" t="s">
        <v>4397</v>
      </c>
      <c r="G920" t="s">
        <v>4598</v>
      </c>
      <c r="H920" t="s">
        <v>4602</v>
      </c>
      <c r="I920" t="s">
        <v>8946</v>
      </c>
      <c r="K920" t="s">
        <v>165</v>
      </c>
      <c r="N920" t="str">
        <f t="shared" si="43"/>
        <v>Szanowna Pani</v>
      </c>
      <c r="P920" s="19" t="s">
        <v>9776</v>
      </c>
      <c r="U920" t="str">
        <f t="shared" si="42"/>
        <v>tak</v>
      </c>
    </row>
    <row r="921" spans="1:21">
      <c r="A921">
        <v>965</v>
      </c>
      <c r="B921" t="s">
        <v>4378</v>
      </c>
      <c r="C921" t="s">
        <v>4411</v>
      </c>
      <c r="D921" t="s">
        <v>4603</v>
      </c>
      <c r="E921" t="s">
        <v>4595</v>
      </c>
      <c r="F921" t="s">
        <v>4397</v>
      </c>
      <c r="G921" t="s">
        <v>4598</v>
      </c>
      <c r="H921" t="s">
        <v>4602</v>
      </c>
      <c r="I921" t="s">
        <v>8946</v>
      </c>
      <c r="K921" t="s">
        <v>224</v>
      </c>
      <c r="N921" t="str">
        <f t="shared" si="43"/>
        <v>Szanowna Pani</v>
      </c>
      <c r="Q921" s="19" t="s">
        <v>9776</v>
      </c>
      <c r="U921" t="str">
        <f t="shared" si="42"/>
        <v>tak</v>
      </c>
    </row>
    <row r="922" spans="1:21">
      <c r="A922">
        <v>966</v>
      </c>
      <c r="B922" t="s">
        <v>4378</v>
      </c>
      <c r="C922" t="s">
        <v>4411</v>
      </c>
      <c r="D922" t="s">
        <v>4876</v>
      </c>
      <c r="E922" t="s">
        <v>4595</v>
      </c>
      <c r="F922" t="s">
        <v>4397</v>
      </c>
      <c r="G922" t="s">
        <v>4598</v>
      </c>
      <c r="H922" t="s">
        <v>4602</v>
      </c>
      <c r="I922" t="s">
        <v>8946</v>
      </c>
      <c r="K922" t="s">
        <v>224</v>
      </c>
      <c r="N922" t="str">
        <f t="shared" si="43"/>
        <v>Szanowna Pani</v>
      </c>
      <c r="Q922" s="19" t="s">
        <v>9776</v>
      </c>
      <c r="U922" t="str">
        <f t="shared" si="42"/>
        <v>tak</v>
      </c>
    </row>
    <row r="923" spans="1:21">
      <c r="A923">
        <v>967</v>
      </c>
      <c r="B923" t="s">
        <v>4378</v>
      </c>
      <c r="C923" t="s">
        <v>4413</v>
      </c>
      <c r="D923" t="s">
        <v>4414</v>
      </c>
      <c r="E923" t="s">
        <v>4415</v>
      </c>
      <c r="F923" t="s">
        <v>4416</v>
      </c>
      <c r="G923" t="s">
        <v>4605</v>
      </c>
      <c r="H923" t="s">
        <v>4604</v>
      </c>
      <c r="I923" t="s">
        <v>8947</v>
      </c>
      <c r="K923" t="s">
        <v>164</v>
      </c>
      <c r="N923" t="str">
        <f t="shared" si="43"/>
        <v>Szanowna Pani</v>
      </c>
      <c r="O923" s="19" t="s">
        <v>9776</v>
      </c>
      <c r="U923" t="str">
        <f t="shared" si="42"/>
        <v>tak</v>
      </c>
    </row>
    <row r="924" spans="1:21">
      <c r="A924">
        <v>968</v>
      </c>
      <c r="B924" t="s">
        <v>4378</v>
      </c>
      <c r="C924" t="s">
        <v>4417</v>
      </c>
      <c r="D924" t="s">
        <v>4609</v>
      </c>
      <c r="E924" t="s">
        <v>4608</v>
      </c>
      <c r="F924" t="s">
        <v>4420</v>
      </c>
      <c r="G924" t="s">
        <v>4607</v>
      </c>
      <c r="H924" t="s">
        <v>4606</v>
      </c>
      <c r="I924" t="s">
        <v>8948</v>
      </c>
      <c r="K924" t="s">
        <v>164</v>
      </c>
      <c r="N924" t="str">
        <f t="shared" si="43"/>
        <v>Szanowna Pani</v>
      </c>
      <c r="O924" s="19" t="s">
        <v>9776</v>
      </c>
      <c r="U924" t="str">
        <f t="shared" si="42"/>
        <v>tak</v>
      </c>
    </row>
    <row r="925" spans="1:21">
      <c r="A925">
        <v>969</v>
      </c>
      <c r="B925" t="s">
        <v>4378</v>
      </c>
      <c r="C925" t="s">
        <v>4417</v>
      </c>
      <c r="D925" t="s">
        <v>4611</v>
      </c>
      <c r="E925" t="s">
        <v>4608</v>
      </c>
      <c r="F925" t="s">
        <v>4420</v>
      </c>
      <c r="G925" t="s">
        <v>4607</v>
      </c>
      <c r="H925" t="s">
        <v>4610</v>
      </c>
      <c r="I925" t="s">
        <v>8949</v>
      </c>
      <c r="K925" t="s">
        <v>224</v>
      </c>
      <c r="N925" t="str">
        <f t="shared" si="43"/>
        <v>Szanowna Pani</v>
      </c>
      <c r="Q925" s="19" t="s">
        <v>9776</v>
      </c>
      <c r="U925" t="str">
        <f t="shared" si="42"/>
        <v>tak</v>
      </c>
    </row>
    <row r="926" spans="1:21">
      <c r="A926">
        <v>970</v>
      </c>
      <c r="B926" t="s">
        <v>4378</v>
      </c>
      <c r="C926" t="s">
        <v>4417</v>
      </c>
      <c r="D926" t="s">
        <v>4615</v>
      </c>
      <c r="E926" t="s">
        <v>4614</v>
      </c>
      <c r="F926" t="s">
        <v>4420</v>
      </c>
      <c r="G926" t="s">
        <v>4613</v>
      </c>
      <c r="H926" t="s">
        <v>4612</v>
      </c>
      <c r="I926" t="s">
        <v>8950</v>
      </c>
      <c r="K926" t="s">
        <v>224</v>
      </c>
      <c r="N926" t="str">
        <f t="shared" si="43"/>
        <v>Szanowna Pani</v>
      </c>
      <c r="Q926" s="19" t="s">
        <v>9776</v>
      </c>
      <c r="U926" t="str">
        <f t="shared" si="42"/>
        <v>tak</v>
      </c>
    </row>
    <row r="927" spans="1:21">
      <c r="A927">
        <v>971</v>
      </c>
      <c r="B927" t="s">
        <v>4378</v>
      </c>
      <c r="C927" t="s">
        <v>4417</v>
      </c>
      <c r="D927" t="s">
        <v>4615</v>
      </c>
      <c r="E927" t="s">
        <v>4614</v>
      </c>
      <c r="F927" t="s">
        <v>4420</v>
      </c>
      <c r="G927" t="s">
        <v>4613</v>
      </c>
      <c r="H927" t="s">
        <v>4616</v>
      </c>
      <c r="I927" t="s">
        <v>8951</v>
      </c>
      <c r="K927" t="s">
        <v>165</v>
      </c>
      <c r="N927" t="str">
        <f t="shared" si="43"/>
        <v>Szanowna Pani</v>
      </c>
      <c r="P927" s="19" t="s">
        <v>9776</v>
      </c>
      <c r="U927" t="str">
        <f t="shared" si="42"/>
        <v>tak</v>
      </c>
    </row>
    <row r="928" spans="1:21">
      <c r="A928">
        <v>972</v>
      </c>
      <c r="B928" t="s">
        <v>4378</v>
      </c>
      <c r="C928" t="s">
        <v>4417</v>
      </c>
      <c r="D928" t="s">
        <v>4615</v>
      </c>
      <c r="E928" t="s">
        <v>4614</v>
      </c>
      <c r="F928" t="s">
        <v>4420</v>
      </c>
      <c r="G928" t="s">
        <v>4613</v>
      </c>
      <c r="H928" t="s">
        <v>4616</v>
      </c>
      <c r="I928" t="s">
        <v>8951</v>
      </c>
      <c r="K928" t="s">
        <v>224</v>
      </c>
      <c r="N928" t="str">
        <f t="shared" si="43"/>
        <v>Szanowna Pani</v>
      </c>
      <c r="Q928" s="19" t="s">
        <v>9776</v>
      </c>
      <c r="U928" t="str">
        <f t="shared" si="42"/>
        <v>tak</v>
      </c>
    </row>
    <row r="929" spans="1:21">
      <c r="A929">
        <v>973</v>
      </c>
      <c r="B929" t="s">
        <v>4378</v>
      </c>
      <c r="C929" t="s">
        <v>4417</v>
      </c>
      <c r="D929" t="s">
        <v>4615</v>
      </c>
      <c r="E929" t="s">
        <v>4614</v>
      </c>
      <c r="F929" t="s">
        <v>4420</v>
      </c>
      <c r="G929" t="s">
        <v>4613</v>
      </c>
      <c r="H929" t="s">
        <v>4617</v>
      </c>
      <c r="I929" t="s">
        <v>8951</v>
      </c>
      <c r="K929" t="s">
        <v>165</v>
      </c>
      <c r="N929" t="str">
        <f t="shared" si="43"/>
        <v>Szanowna Pani</v>
      </c>
      <c r="P929" s="19" t="s">
        <v>9776</v>
      </c>
      <c r="U929" t="str">
        <f t="shared" si="42"/>
        <v>tak</v>
      </c>
    </row>
    <row r="930" spans="1:21">
      <c r="A930">
        <v>974</v>
      </c>
      <c r="B930" t="s">
        <v>4378</v>
      </c>
      <c r="C930" t="s">
        <v>4417</v>
      </c>
      <c r="D930" t="s">
        <v>4418</v>
      </c>
      <c r="E930" t="s">
        <v>4419</v>
      </c>
      <c r="F930" t="s">
        <v>4420</v>
      </c>
      <c r="G930" t="s">
        <v>4619</v>
      </c>
      <c r="H930" t="s">
        <v>4618</v>
      </c>
      <c r="I930" t="s">
        <v>8952</v>
      </c>
      <c r="K930" t="s">
        <v>164</v>
      </c>
      <c r="N930" t="str">
        <f t="shared" si="43"/>
        <v>Szanowna Pani</v>
      </c>
      <c r="O930" s="19" t="s">
        <v>9776</v>
      </c>
      <c r="U930" t="str">
        <f t="shared" si="42"/>
        <v>tak</v>
      </c>
    </row>
    <row r="931" spans="1:21">
      <c r="A931">
        <v>975</v>
      </c>
      <c r="B931" t="s">
        <v>4378</v>
      </c>
      <c r="C931" t="s">
        <v>4417</v>
      </c>
      <c r="D931" t="s">
        <v>4418</v>
      </c>
      <c r="E931" t="s">
        <v>4419</v>
      </c>
      <c r="F931" t="s">
        <v>4420</v>
      </c>
      <c r="G931" t="s">
        <v>4620</v>
      </c>
      <c r="H931" t="s">
        <v>4883</v>
      </c>
      <c r="I931" t="s">
        <v>8953</v>
      </c>
      <c r="K931" t="s">
        <v>165</v>
      </c>
      <c r="N931" t="str">
        <f t="shared" si="43"/>
        <v>Szanowna Pani</v>
      </c>
      <c r="P931" s="19" t="s">
        <v>9776</v>
      </c>
      <c r="U931" t="str">
        <f t="shared" si="42"/>
        <v>tak</v>
      </c>
    </row>
    <row r="932" spans="1:21">
      <c r="A932">
        <v>976</v>
      </c>
      <c r="B932" t="s">
        <v>4378</v>
      </c>
      <c r="C932" t="s">
        <v>4417</v>
      </c>
      <c r="D932" t="s">
        <v>4418</v>
      </c>
      <c r="E932" t="s">
        <v>4419</v>
      </c>
      <c r="F932" t="s">
        <v>4420</v>
      </c>
      <c r="G932" t="s">
        <v>4620</v>
      </c>
      <c r="H932" t="s">
        <v>4883</v>
      </c>
      <c r="I932" t="s">
        <v>8953</v>
      </c>
      <c r="K932" t="s">
        <v>224</v>
      </c>
      <c r="N932" t="str">
        <f t="shared" si="43"/>
        <v>Szanowna Pani</v>
      </c>
      <c r="Q932" s="19" t="s">
        <v>9776</v>
      </c>
      <c r="U932" t="str">
        <f t="shared" si="42"/>
        <v>tak</v>
      </c>
    </row>
    <row r="933" spans="1:21">
      <c r="A933">
        <v>977</v>
      </c>
      <c r="B933" t="s">
        <v>4378</v>
      </c>
      <c r="C933" t="s">
        <v>4417</v>
      </c>
      <c r="D933" t="s">
        <v>4421</v>
      </c>
      <c r="E933" t="s">
        <v>4422</v>
      </c>
      <c r="F933" t="s">
        <v>4420</v>
      </c>
      <c r="G933" t="s">
        <v>4622</v>
      </c>
      <c r="H933" t="s">
        <v>4621</v>
      </c>
      <c r="I933" t="s">
        <v>8954</v>
      </c>
      <c r="K933" t="s">
        <v>164</v>
      </c>
      <c r="N933" t="str">
        <f t="shared" si="43"/>
        <v>Szanowna Pani</v>
      </c>
      <c r="O933" s="19" t="s">
        <v>9776</v>
      </c>
      <c r="U933" t="str">
        <f t="shared" si="42"/>
        <v>tak</v>
      </c>
    </row>
    <row r="934" spans="1:21">
      <c r="A934">
        <v>978</v>
      </c>
      <c r="B934" t="s">
        <v>4378</v>
      </c>
      <c r="C934" t="s">
        <v>4423</v>
      </c>
      <c r="D934" t="s">
        <v>4627</v>
      </c>
      <c r="E934" t="s">
        <v>4626</v>
      </c>
      <c r="F934" t="s">
        <v>4625</v>
      </c>
      <c r="G934" t="s">
        <v>4624</v>
      </c>
      <c r="H934" t="s">
        <v>4623</v>
      </c>
      <c r="I934" t="s">
        <v>8955</v>
      </c>
      <c r="K934" t="s">
        <v>164</v>
      </c>
      <c r="N934" t="str">
        <f t="shared" si="43"/>
        <v>Szanowna Pani</v>
      </c>
      <c r="O934" s="19" t="s">
        <v>9776</v>
      </c>
      <c r="U934" t="str">
        <f t="shared" si="42"/>
        <v>tak</v>
      </c>
    </row>
    <row r="935" spans="1:21">
      <c r="A935">
        <v>979</v>
      </c>
      <c r="B935" t="s">
        <v>4378</v>
      </c>
      <c r="C935" t="s">
        <v>4424</v>
      </c>
      <c r="D935" t="s">
        <v>4425</v>
      </c>
      <c r="E935" t="s">
        <v>4631</v>
      </c>
      <c r="F935" t="s">
        <v>4630</v>
      </c>
      <c r="G935" t="s">
        <v>4629</v>
      </c>
      <c r="H935" t="s">
        <v>4628</v>
      </c>
      <c r="I935" t="s">
        <v>8956</v>
      </c>
      <c r="K935" t="s">
        <v>224</v>
      </c>
      <c r="N935" t="str">
        <f t="shared" si="43"/>
        <v>Szanowna Pani</v>
      </c>
      <c r="Q935" s="19" t="s">
        <v>9776</v>
      </c>
      <c r="U935" t="str">
        <f t="shared" si="42"/>
        <v>tak</v>
      </c>
    </row>
    <row r="936" spans="1:21">
      <c r="A936">
        <v>980</v>
      </c>
      <c r="B936" t="s">
        <v>4378</v>
      </c>
      <c r="C936" t="s">
        <v>4426</v>
      </c>
      <c r="D936" t="s">
        <v>4636</v>
      </c>
      <c r="E936" t="s">
        <v>4635</v>
      </c>
      <c r="F936" t="s">
        <v>4634</v>
      </c>
      <c r="G936" t="s">
        <v>4633</v>
      </c>
      <c r="H936" t="s">
        <v>4632</v>
      </c>
      <c r="I936" t="s">
        <v>8957</v>
      </c>
      <c r="K936" t="s">
        <v>164</v>
      </c>
      <c r="N936" t="str">
        <f t="shared" si="43"/>
        <v>Szanowna Pani</v>
      </c>
      <c r="O936" s="19" t="s">
        <v>9776</v>
      </c>
      <c r="U936" t="str">
        <f t="shared" si="42"/>
        <v>tak</v>
      </c>
    </row>
    <row r="937" spans="1:21">
      <c r="A937">
        <v>981</v>
      </c>
      <c r="B937" t="s">
        <v>4378</v>
      </c>
      <c r="C937" t="s">
        <v>4426</v>
      </c>
      <c r="D937" t="s">
        <v>4636</v>
      </c>
      <c r="E937" t="s">
        <v>4635</v>
      </c>
      <c r="F937" t="s">
        <v>4634</v>
      </c>
      <c r="G937" t="s">
        <v>4633</v>
      </c>
      <c r="H937" t="s">
        <v>4637</v>
      </c>
      <c r="I937" t="s">
        <v>8958</v>
      </c>
      <c r="K937" t="s">
        <v>224</v>
      </c>
      <c r="N937" t="str">
        <f t="shared" si="43"/>
        <v>Szanowna Pani</v>
      </c>
      <c r="Q937" s="19" t="s">
        <v>9776</v>
      </c>
      <c r="U937" t="str">
        <f t="shared" si="42"/>
        <v>tak</v>
      </c>
    </row>
    <row r="938" spans="1:21">
      <c r="A938">
        <v>982</v>
      </c>
      <c r="B938" t="s">
        <v>4378</v>
      </c>
      <c r="C938" t="s">
        <v>4427</v>
      </c>
      <c r="D938" t="s">
        <v>4428</v>
      </c>
      <c r="E938" t="s">
        <v>4890</v>
      </c>
      <c r="F938" t="s">
        <v>4889</v>
      </c>
      <c r="G938" t="s">
        <v>4888</v>
      </c>
      <c r="H938" t="s">
        <v>4887</v>
      </c>
      <c r="I938" t="s">
        <v>8959</v>
      </c>
      <c r="K938" t="s">
        <v>164</v>
      </c>
      <c r="N938" t="str">
        <f t="shared" si="43"/>
        <v>Szanowna Pani</v>
      </c>
      <c r="O938" s="19" t="s">
        <v>9776</v>
      </c>
      <c r="U938" t="str">
        <f t="shared" si="42"/>
        <v>tak</v>
      </c>
    </row>
    <row r="939" spans="1:21">
      <c r="A939">
        <v>983</v>
      </c>
      <c r="B939" t="s">
        <v>4378</v>
      </c>
      <c r="C939" t="s">
        <v>4427</v>
      </c>
      <c r="D939" t="s">
        <v>4428</v>
      </c>
      <c r="E939" t="s">
        <v>4890</v>
      </c>
      <c r="F939" t="s">
        <v>4889</v>
      </c>
      <c r="G939" t="s">
        <v>4888</v>
      </c>
      <c r="H939" t="s">
        <v>4887</v>
      </c>
      <c r="I939" t="s">
        <v>8959</v>
      </c>
      <c r="K939" t="s">
        <v>165</v>
      </c>
      <c r="N939" t="str">
        <f t="shared" si="43"/>
        <v>Szanowna Pani</v>
      </c>
      <c r="P939" s="19" t="s">
        <v>9776</v>
      </c>
      <c r="U939" t="str">
        <f t="shared" si="42"/>
        <v>tak</v>
      </c>
    </row>
    <row r="940" spans="1:21">
      <c r="A940">
        <v>984</v>
      </c>
      <c r="B940" t="s">
        <v>4378</v>
      </c>
      <c r="C940" t="s">
        <v>4429</v>
      </c>
      <c r="D940" t="s">
        <v>4641</v>
      </c>
      <c r="E940" t="s">
        <v>4640</v>
      </c>
      <c r="F940" t="s">
        <v>4434</v>
      </c>
      <c r="G940" t="s">
        <v>4639</v>
      </c>
      <c r="H940" t="s">
        <v>4638</v>
      </c>
      <c r="I940" t="s">
        <v>8960</v>
      </c>
      <c r="K940" t="s">
        <v>164</v>
      </c>
      <c r="N940" t="str">
        <f t="shared" si="43"/>
        <v>Szanowna Pani</v>
      </c>
      <c r="O940" s="19" t="s">
        <v>9776</v>
      </c>
      <c r="U940" t="str">
        <f t="shared" si="42"/>
        <v>tak</v>
      </c>
    </row>
    <row r="941" spans="1:21">
      <c r="A941">
        <v>985</v>
      </c>
      <c r="B941" t="s">
        <v>4378</v>
      </c>
      <c r="C941" t="s">
        <v>4430</v>
      </c>
      <c r="D941" t="s">
        <v>4646</v>
      </c>
      <c r="E941" t="s">
        <v>4645</v>
      </c>
      <c r="F941" t="s">
        <v>4644</v>
      </c>
      <c r="G941" t="s">
        <v>4643</v>
      </c>
      <c r="H941" t="s">
        <v>4642</v>
      </c>
      <c r="I941" t="s">
        <v>8961</v>
      </c>
      <c r="K941" t="s">
        <v>164</v>
      </c>
      <c r="N941" t="str">
        <f t="shared" si="43"/>
        <v>Szanowna Pani</v>
      </c>
      <c r="O941" s="19" t="s">
        <v>9776</v>
      </c>
      <c r="U941" t="str">
        <f t="shared" si="42"/>
        <v>tak</v>
      </c>
    </row>
    <row r="942" spans="1:21">
      <c r="A942">
        <v>986</v>
      </c>
      <c r="B942" t="s">
        <v>4378</v>
      </c>
      <c r="C942" t="s">
        <v>4431</v>
      </c>
      <c r="D942" t="s">
        <v>4432</v>
      </c>
      <c r="E942" t="s">
        <v>4433</v>
      </c>
      <c r="F942" t="s">
        <v>4434</v>
      </c>
      <c r="G942" t="s">
        <v>4648</v>
      </c>
      <c r="H942" t="s">
        <v>4647</v>
      </c>
      <c r="I942" t="s">
        <v>8962</v>
      </c>
      <c r="K942" t="s">
        <v>164</v>
      </c>
      <c r="N942" t="str">
        <f t="shared" si="43"/>
        <v>Szanowna Pani</v>
      </c>
      <c r="O942" s="19" t="s">
        <v>9776</v>
      </c>
      <c r="U942" t="str">
        <f t="shared" si="42"/>
        <v>tak</v>
      </c>
    </row>
    <row r="943" spans="1:21">
      <c r="A943">
        <v>987</v>
      </c>
      <c r="B943" t="s">
        <v>4378</v>
      </c>
      <c r="C943" t="s">
        <v>4435</v>
      </c>
      <c r="D943" t="s">
        <v>4436</v>
      </c>
      <c r="E943" t="s">
        <v>4437</v>
      </c>
      <c r="F943" t="s">
        <v>4438</v>
      </c>
      <c r="G943" t="s">
        <v>4650</v>
      </c>
      <c r="H943" t="s">
        <v>4649</v>
      </c>
      <c r="I943" t="s">
        <v>8963</v>
      </c>
      <c r="K943" t="s">
        <v>224</v>
      </c>
      <c r="N943" t="str">
        <f t="shared" si="43"/>
        <v>Szanowna Pani</v>
      </c>
      <c r="Q943" s="19" t="s">
        <v>9776</v>
      </c>
      <c r="U943" t="str">
        <f t="shared" si="42"/>
        <v>tak</v>
      </c>
    </row>
    <row r="944" spans="1:21">
      <c r="A944">
        <v>988</v>
      </c>
      <c r="B944" t="s">
        <v>4378</v>
      </c>
      <c r="C944" t="s">
        <v>4439</v>
      </c>
      <c r="D944" t="s">
        <v>4884</v>
      </c>
      <c r="E944" t="s">
        <v>4440</v>
      </c>
      <c r="F944" t="s">
        <v>4441</v>
      </c>
      <c r="G944" t="s">
        <v>4652</v>
      </c>
      <c r="H944" t="s">
        <v>4651</v>
      </c>
      <c r="I944" t="s">
        <v>8964</v>
      </c>
      <c r="K944" t="s">
        <v>224</v>
      </c>
      <c r="N944" t="str">
        <f t="shared" si="43"/>
        <v>Szanowna Pani</v>
      </c>
      <c r="Q944" s="19" t="s">
        <v>9776</v>
      </c>
      <c r="U944" t="str">
        <f t="shared" ref="U944:U982" si="44">+O944 &amp;P944&amp;Q944</f>
        <v>tak</v>
      </c>
    </row>
    <row r="945" spans="1:21">
      <c r="A945">
        <v>989</v>
      </c>
      <c r="B945" t="s">
        <v>4378</v>
      </c>
      <c r="C945" t="s">
        <v>4442</v>
      </c>
      <c r="D945" t="s">
        <v>4657</v>
      </c>
      <c r="E945" t="s">
        <v>4656</v>
      </c>
      <c r="F945" t="s">
        <v>4655</v>
      </c>
      <c r="G945" t="s">
        <v>4654</v>
      </c>
      <c r="H945" t="s">
        <v>4877</v>
      </c>
      <c r="I945" t="s">
        <v>8965</v>
      </c>
      <c r="K945" t="s">
        <v>164</v>
      </c>
      <c r="N945" t="str">
        <f t="shared" si="43"/>
        <v>Szanowna Pani</v>
      </c>
      <c r="O945" s="19" t="s">
        <v>9776</v>
      </c>
      <c r="U945" t="str">
        <f t="shared" si="44"/>
        <v>tak</v>
      </c>
    </row>
    <row r="946" spans="1:21">
      <c r="A946">
        <v>990</v>
      </c>
      <c r="B946" t="s">
        <v>4378</v>
      </c>
      <c r="C946" t="s">
        <v>4442</v>
      </c>
      <c r="D946" t="s">
        <v>4657</v>
      </c>
      <c r="E946" t="s">
        <v>4656</v>
      </c>
      <c r="F946" t="s">
        <v>4655</v>
      </c>
      <c r="G946" t="s">
        <v>4654</v>
      </c>
      <c r="H946" t="s">
        <v>4878</v>
      </c>
      <c r="K946" t="s">
        <v>4443</v>
      </c>
      <c r="L946" t="s">
        <v>164</v>
      </c>
      <c r="N946" t="str">
        <f t="shared" si="43"/>
        <v>Szanowna Pani</v>
      </c>
      <c r="O946" s="19" t="s">
        <v>9776</v>
      </c>
      <c r="U946" t="str">
        <f t="shared" si="44"/>
        <v>tak</v>
      </c>
    </row>
    <row r="947" spans="1:21">
      <c r="A947">
        <v>991</v>
      </c>
      <c r="B947" t="s">
        <v>4378</v>
      </c>
      <c r="C947" t="s">
        <v>4442</v>
      </c>
      <c r="D947" t="s">
        <v>4657</v>
      </c>
      <c r="E947" t="s">
        <v>4656</v>
      </c>
      <c r="F947" t="s">
        <v>4655</v>
      </c>
      <c r="G947" t="s">
        <v>4654</v>
      </c>
      <c r="H947" t="s">
        <v>4653</v>
      </c>
      <c r="I947" t="s">
        <v>8966</v>
      </c>
      <c r="K947" t="s">
        <v>165</v>
      </c>
      <c r="N947" t="str">
        <f t="shared" si="43"/>
        <v>Szanowna Pani</v>
      </c>
      <c r="P947" s="19" t="s">
        <v>9776</v>
      </c>
      <c r="U947" t="str">
        <f t="shared" si="44"/>
        <v>tak</v>
      </c>
    </row>
    <row r="948" spans="1:21">
      <c r="A948">
        <v>992</v>
      </c>
      <c r="B948" t="s">
        <v>4378</v>
      </c>
      <c r="C948" t="s">
        <v>4444</v>
      </c>
      <c r="D948" t="s">
        <v>4885</v>
      </c>
      <c r="E948" t="s">
        <v>4445</v>
      </c>
      <c r="F948" t="s">
        <v>4446</v>
      </c>
      <c r="G948" t="s">
        <v>4659</v>
      </c>
      <c r="H948" t="s">
        <v>4658</v>
      </c>
      <c r="I948" t="s">
        <v>8967</v>
      </c>
      <c r="K948" t="s">
        <v>224</v>
      </c>
      <c r="N948" t="str">
        <f t="shared" si="43"/>
        <v>Szanowna Pani</v>
      </c>
      <c r="Q948" s="19" t="s">
        <v>9776</v>
      </c>
      <c r="U948" t="str">
        <f t="shared" si="44"/>
        <v>tak</v>
      </c>
    </row>
    <row r="949" spans="1:21">
      <c r="A949">
        <v>993</v>
      </c>
      <c r="B949" t="s">
        <v>4378</v>
      </c>
      <c r="C949" t="s">
        <v>4447</v>
      </c>
      <c r="D949" t="s">
        <v>4448</v>
      </c>
      <c r="E949" t="s">
        <v>4663</v>
      </c>
      <c r="F949" t="s">
        <v>4662</v>
      </c>
      <c r="G949" t="s">
        <v>4661</v>
      </c>
      <c r="H949" t="s">
        <v>4660</v>
      </c>
      <c r="I949" s="15" t="s">
        <v>9745</v>
      </c>
      <c r="K949" t="s">
        <v>164</v>
      </c>
      <c r="N949" t="str">
        <f t="shared" si="43"/>
        <v>Szanowna Pani</v>
      </c>
      <c r="O949" s="19" t="s">
        <v>9776</v>
      </c>
      <c r="U949" t="str">
        <f t="shared" si="44"/>
        <v>tak</v>
      </c>
    </row>
    <row r="950" spans="1:21">
      <c r="A950">
        <v>994</v>
      </c>
      <c r="B950" t="s">
        <v>4378</v>
      </c>
      <c r="C950" t="s">
        <v>4449</v>
      </c>
      <c r="D950" t="s">
        <v>4450</v>
      </c>
      <c r="E950" t="s">
        <v>4451</v>
      </c>
      <c r="F950" t="s">
        <v>4452</v>
      </c>
      <c r="G950" t="s">
        <v>4573</v>
      </c>
      <c r="H950" t="s">
        <v>4572</v>
      </c>
      <c r="I950" t="s">
        <v>8968</v>
      </c>
      <c r="K950" t="s">
        <v>164</v>
      </c>
      <c r="N950" t="str">
        <f t="shared" si="43"/>
        <v>Szanowna Pani</v>
      </c>
      <c r="O950" s="19" t="s">
        <v>9776</v>
      </c>
      <c r="U950" t="str">
        <f t="shared" si="44"/>
        <v>tak</v>
      </c>
    </row>
    <row r="951" spans="1:21">
      <c r="A951">
        <v>995</v>
      </c>
      <c r="B951" t="s">
        <v>4378</v>
      </c>
      <c r="C951" t="s">
        <v>4453</v>
      </c>
      <c r="D951" t="s">
        <v>4668</v>
      </c>
      <c r="E951" t="s">
        <v>4667</v>
      </c>
      <c r="F951" t="s">
        <v>4666</v>
      </c>
      <c r="G951" t="s">
        <v>4665</v>
      </c>
      <c r="H951" t="s">
        <v>4664</v>
      </c>
      <c r="I951" t="s">
        <v>8969</v>
      </c>
      <c r="K951" t="s">
        <v>164</v>
      </c>
      <c r="N951" t="str">
        <f t="shared" si="43"/>
        <v>Szanowna Pani</v>
      </c>
      <c r="O951" s="19" t="s">
        <v>9776</v>
      </c>
      <c r="U951" t="str">
        <f t="shared" si="44"/>
        <v>tak</v>
      </c>
    </row>
    <row r="952" spans="1:21">
      <c r="A952">
        <v>996</v>
      </c>
      <c r="B952" t="s">
        <v>4378</v>
      </c>
      <c r="C952" t="s">
        <v>4454</v>
      </c>
      <c r="D952" t="s">
        <v>4673</v>
      </c>
      <c r="E952" t="s">
        <v>4672</v>
      </c>
      <c r="F952" t="s">
        <v>4671</v>
      </c>
      <c r="G952" t="s">
        <v>4670</v>
      </c>
      <c r="H952" t="s">
        <v>4669</v>
      </c>
      <c r="I952" t="s">
        <v>8970</v>
      </c>
      <c r="K952" t="s">
        <v>164</v>
      </c>
      <c r="N952" t="str">
        <f t="shared" si="43"/>
        <v>Szanowna Pani</v>
      </c>
      <c r="O952" s="19" t="s">
        <v>9776</v>
      </c>
      <c r="U952" t="str">
        <f t="shared" si="44"/>
        <v>tak</v>
      </c>
    </row>
    <row r="953" spans="1:21">
      <c r="A953">
        <v>997</v>
      </c>
      <c r="B953" t="s">
        <v>4378</v>
      </c>
      <c r="C953" t="s">
        <v>4455</v>
      </c>
      <c r="D953" t="s">
        <v>4456</v>
      </c>
      <c r="E953" t="s">
        <v>4457</v>
      </c>
      <c r="F953" t="s">
        <v>4458</v>
      </c>
      <c r="G953" t="s">
        <v>4675</v>
      </c>
      <c r="H953" t="s">
        <v>4674</v>
      </c>
      <c r="I953" t="s">
        <v>8971</v>
      </c>
      <c r="K953" t="s">
        <v>164</v>
      </c>
      <c r="N953" t="str">
        <f t="shared" si="43"/>
        <v>Szanowna Pani</v>
      </c>
      <c r="O953" s="19" t="s">
        <v>9776</v>
      </c>
      <c r="U953" t="str">
        <f t="shared" si="44"/>
        <v>tak</v>
      </c>
    </row>
    <row r="954" spans="1:21">
      <c r="A954">
        <v>998</v>
      </c>
      <c r="B954" t="s">
        <v>4378</v>
      </c>
      <c r="C954" t="s">
        <v>4459</v>
      </c>
      <c r="D954" t="s">
        <v>4460</v>
      </c>
      <c r="E954" t="s">
        <v>4679</v>
      </c>
      <c r="F954" t="s">
        <v>4678</v>
      </c>
      <c r="G954" t="s">
        <v>4677</v>
      </c>
      <c r="H954" t="s">
        <v>4676</v>
      </c>
      <c r="I954" t="s">
        <v>8972</v>
      </c>
      <c r="K954" t="s">
        <v>164</v>
      </c>
      <c r="N954" t="str">
        <f t="shared" si="43"/>
        <v>Szanowna Pani</v>
      </c>
      <c r="O954" s="19" t="s">
        <v>9776</v>
      </c>
      <c r="U954" t="str">
        <f t="shared" si="44"/>
        <v>tak</v>
      </c>
    </row>
    <row r="955" spans="1:21">
      <c r="A955">
        <v>999</v>
      </c>
      <c r="B955" t="s">
        <v>4378</v>
      </c>
      <c r="C955" t="s">
        <v>4858</v>
      </c>
      <c r="D955" t="s">
        <v>4461</v>
      </c>
      <c r="E955" t="s">
        <v>4879</v>
      </c>
      <c r="F955" t="s">
        <v>4682</v>
      </c>
      <c r="G955" t="s">
        <v>4681</v>
      </c>
      <c r="H955" t="s">
        <v>4680</v>
      </c>
      <c r="I955" t="s">
        <v>8973</v>
      </c>
      <c r="K955" t="s">
        <v>164</v>
      </c>
      <c r="N955" t="str">
        <f t="shared" si="43"/>
        <v>Szanowna Pani</v>
      </c>
      <c r="O955" s="19" t="s">
        <v>9776</v>
      </c>
      <c r="U955" t="str">
        <f t="shared" si="44"/>
        <v>tak</v>
      </c>
    </row>
    <row r="956" spans="1:21">
      <c r="A956">
        <v>1000</v>
      </c>
      <c r="B956" t="s">
        <v>4378</v>
      </c>
      <c r="C956" t="s">
        <v>4462</v>
      </c>
      <c r="D956" t="s">
        <v>4687</v>
      </c>
      <c r="E956" t="s">
        <v>4686</v>
      </c>
      <c r="F956" t="s">
        <v>4685</v>
      </c>
      <c r="G956" t="s">
        <v>4684</v>
      </c>
      <c r="H956" t="s">
        <v>4683</v>
      </c>
      <c r="I956" t="s">
        <v>8974</v>
      </c>
      <c r="K956" t="s">
        <v>165</v>
      </c>
      <c r="N956" t="str">
        <f t="shared" si="43"/>
        <v>Szanowna Pani</v>
      </c>
      <c r="P956" s="19" t="s">
        <v>9776</v>
      </c>
      <c r="U956" t="str">
        <f t="shared" si="44"/>
        <v>tak</v>
      </c>
    </row>
    <row r="957" spans="1:21">
      <c r="A957">
        <v>1001</v>
      </c>
      <c r="B957" t="s">
        <v>4378</v>
      </c>
      <c r="C957" t="s">
        <v>4462</v>
      </c>
      <c r="D957" t="s">
        <v>4687</v>
      </c>
      <c r="E957" t="s">
        <v>4686</v>
      </c>
      <c r="F957" t="s">
        <v>4685</v>
      </c>
      <c r="G957" t="s">
        <v>4684</v>
      </c>
      <c r="H957" t="s">
        <v>4688</v>
      </c>
      <c r="I957" t="s">
        <v>8975</v>
      </c>
      <c r="K957" t="s">
        <v>224</v>
      </c>
      <c r="N957" t="str">
        <f t="shared" si="43"/>
        <v>Szanowna Pani</v>
      </c>
      <c r="Q957" s="19" t="s">
        <v>9776</v>
      </c>
      <c r="U957" t="str">
        <f t="shared" si="44"/>
        <v>tak</v>
      </c>
    </row>
    <row r="958" spans="1:21">
      <c r="A958">
        <v>1002</v>
      </c>
      <c r="B958" t="s">
        <v>4378</v>
      </c>
      <c r="C958" t="s">
        <v>4462</v>
      </c>
      <c r="D958" t="s">
        <v>4687</v>
      </c>
      <c r="E958" t="s">
        <v>4686</v>
      </c>
      <c r="F958" t="s">
        <v>4685</v>
      </c>
      <c r="G958" t="s">
        <v>4684</v>
      </c>
      <c r="H958" t="s">
        <v>4689</v>
      </c>
      <c r="I958" t="s">
        <v>8976</v>
      </c>
      <c r="K958" t="s">
        <v>164</v>
      </c>
      <c r="N958" t="str">
        <f t="shared" si="43"/>
        <v>Szanowne Panie</v>
      </c>
      <c r="O958" s="19" t="s">
        <v>9776</v>
      </c>
      <c r="U958" t="str">
        <f t="shared" si="44"/>
        <v>tak</v>
      </c>
    </row>
    <row r="959" spans="1:21">
      <c r="A959">
        <v>1003</v>
      </c>
      <c r="B959" t="s">
        <v>4378</v>
      </c>
      <c r="C959" t="s">
        <v>4463</v>
      </c>
      <c r="D959" t="s">
        <v>4464</v>
      </c>
      <c r="E959" t="s">
        <v>4465</v>
      </c>
      <c r="F959" t="s">
        <v>4466</v>
      </c>
      <c r="G959" t="s">
        <v>4691</v>
      </c>
      <c r="H959" t="s">
        <v>4690</v>
      </c>
      <c r="I959" t="s">
        <v>8977</v>
      </c>
      <c r="K959" t="s">
        <v>164</v>
      </c>
      <c r="N959" t="str">
        <f t="shared" si="43"/>
        <v>Szanowna Pani</v>
      </c>
      <c r="O959" s="19" t="s">
        <v>9776</v>
      </c>
      <c r="U959" t="str">
        <f t="shared" si="44"/>
        <v>tak</v>
      </c>
    </row>
    <row r="960" spans="1:21">
      <c r="A960">
        <v>1004</v>
      </c>
      <c r="B960" t="s">
        <v>4378</v>
      </c>
      <c r="C960" t="s">
        <v>4467</v>
      </c>
      <c r="D960" t="s">
        <v>4468</v>
      </c>
      <c r="E960" t="s">
        <v>4469</v>
      </c>
      <c r="F960" t="s">
        <v>4470</v>
      </c>
      <c r="G960" t="s">
        <v>4692</v>
      </c>
      <c r="H960" t="s">
        <v>2397</v>
      </c>
      <c r="I960" t="s">
        <v>8978</v>
      </c>
      <c r="K960" t="s">
        <v>164</v>
      </c>
      <c r="N960" t="str">
        <f t="shared" si="43"/>
        <v>Szanowna Pani</v>
      </c>
      <c r="O960" s="19" t="s">
        <v>9776</v>
      </c>
      <c r="S960" t="s">
        <v>9712</v>
      </c>
      <c r="U960" t="str">
        <f t="shared" si="44"/>
        <v>tak</v>
      </c>
    </row>
    <row r="961" spans="1:21">
      <c r="A961">
        <v>1005</v>
      </c>
      <c r="B961" t="s">
        <v>4378</v>
      </c>
      <c r="C961" t="s">
        <v>4467</v>
      </c>
      <c r="D961" t="s">
        <v>4468</v>
      </c>
      <c r="E961" t="s">
        <v>4469</v>
      </c>
      <c r="F961" t="s">
        <v>4470</v>
      </c>
      <c r="G961" t="s">
        <v>4692</v>
      </c>
      <c r="H961" t="s">
        <v>2397</v>
      </c>
      <c r="I961" t="s">
        <v>8978</v>
      </c>
      <c r="K961" t="s">
        <v>4471</v>
      </c>
      <c r="N961" t="str">
        <f t="shared" si="43"/>
        <v>Szanowna Pani</v>
      </c>
      <c r="P961" s="19" t="s">
        <v>9776</v>
      </c>
      <c r="U961" t="str">
        <f t="shared" si="44"/>
        <v>tak</v>
      </c>
    </row>
    <row r="962" spans="1:21">
      <c r="A962">
        <v>1006</v>
      </c>
      <c r="B962" t="s">
        <v>4378</v>
      </c>
      <c r="C962" t="s">
        <v>4467</v>
      </c>
      <c r="D962" t="s">
        <v>4468</v>
      </c>
      <c r="E962" t="s">
        <v>4469</v>
      </c>
      <c r="F962" t="s">
        <v>4470</v>
      </c>
      <c r="G962" t="s">
        <v>4692</v>
      </c>
      <c r="H962" t="s">
        <v>2397</v>
      </c>
      <c r="I962" t="s">
        <v>8978</v>
      </c>
      <c r="K962" t="s">
        <v>4472</v>
      </c>
      <c r="N962" t="str">
        <f t="shared" si="43"/>
        <v>Szanowna Pani</v>
      </c>
      <c r="P962" s="19" t="s">
        <v>9776</v>
      </c>
      <c r="U962" t="str">
        <f t="shared" si="44"/>
        <v>tak</v>
      </c>
    </row>
    <row r="963" spans="1:21">
      <c r="A963">
        <v>1007</v>
      </c>
      <c r="B963" t="s">
        <v>4378</v>
      </c>
      <c r="C963" t="s">
        <v>4473</v>
      </c>
      <c r="D963" t="s">
        <v>4696</v>
      </c>
      <c r="E963" t="s">
        <v>4490</v>
      </c>
      <c r="F963" t="s">
        <v>4695</v>
      </c>
      <c r="G963" t="s">
        <v>4694</v>
      </c>
      <c r="H963" t="s">
        <v>4693</v>
      </c>
      <c r="I963" t="s">
        <v>8979</v>
      </c>
      <c r="K963" t="s">
        <v>165</v>
      </c>
      <c r="N963" t="str">
        <f t="shared" si="43"/>
        <v>Szanowna Pani</v>
      </c>
      <c r="P963" s="19" t="s">
        <v>9776</v>
      </c>
      <c r="U963" t="str">
        <f t="shared" si="44"/>
        <v>tak</v>
      </c>
    </row>
    <row r="964" spans="1:21">
      <c r="A964">
        <v>1008</v>
      </c>
      <c r="B964" t="s">
        <v>4378</v>
      </c>
      <c r="C964" t="s">
        <v>4473</v>
      </c>
      <c r="D964" t="s">
        <v>4696</v>
      </c>
      <c r="E964" t="s">
        <v>4490</v>
      </c>
      <c r="F964" t="s">
        <v>4695</v>
      </c>
      <c r="G964" t="s">
        <v>4694</v>
      </c>
      <c r="H964" t="s">
        <v>4697</v>
      </c>
      <c r="I964" t="s">
        <v>8979</v>
      </c>
      <c r="K964" t="s">
        <v>164</v>
      </c>
      <c r="N964" t="str">
        <f t="shared" si="43"/>
        <v>Szanowna Pani</v>
      </c>
      <c r="O964" s="19" t="s">
        <v>9776</v>
      </c>
      <c r="U964" t="str">
        <f t="shared" si="44"/>
        <v>tak</v>
      </c>
    </row>
    <row r="965" spans="1:21">
      <c r="A965">
        <v>1009</v>
      </c>
      <c r="B965" t="s">
        <v>4378</v>
      </c>
      <c r="C965" t="s">
        <v>4474</v>
      </c>
      <c r="D965" t="s">
        <v>251</v>
      </c>
      <c r="E965" t="s">
        <v>4701</v>
      </c>
      <c r="F965" t="s">
        <v>4700</v>
      </c>
      <c r="G965" t="s">
        <v>4699</v>
      </c>
      <c r="H965" t="s">
        <v>4698</v>
      </c>
      <c r="I965" t="s">
        <v>8980</v>
      </c>
      <c r="K965" t="s">
        <v>164</v>
      </c>
      <c r="N965" t="str">
        <f t="shared" si="43"/>
        <v>Szanowna Pani</v>
      </c>
      <c r="O965" s="19" t="s">
        <v>9776</v>
      </c>
      <c r="U965" t="str">
        <f t="shared" si="44"/>
        <v>tak</v>
      </c>
    </row>
    <row r="966" spans="1:21">
      <c r="A966">
        <v>1010</v>
      </c>
      <c r="B966" t="s">
        <v>4378</v>
      </c>
      <c r="C966" t="s">
        <v>4474</v>
      </c>
      <c r="D966" t="s">
        <v>251</v>
      </c>
      <c r="E966" t="s">
        <v>4701</v>
      </c>
      <c r="F966" t="s">
        <v>4700</v>
      </c>
      <c r="G966" t="s">
        <v>4703</v>
      </c>
      <c r="H966" t="s">
        <v>4702</v>
      </c>
      <c r="I966" t="s">
        <v>8981</v>
      </c>
      <c r="K966" t="s">
        <v>224</v>
      </c>
      <c r="N966" t="str">
        <f t="shared" si="43"/>
        <v>Szanowna Pani</v>
      </c>
      <c r="Q966" s="19" t="s">
        <v>9776</v>
      </c>
      <c r="U966" t="str">
        <f t="shared" si="44"/>
        <v>tak</v>
      </c>
    </row>
    <row r="967" spans="1:21">
      <c r="A967">
        <v>1011</v>
      </c>
      <c r="B967" t="s">
        <v>4378</v>
      </c>
      <c r="C967" t="s">
        <v>4475</v>
      </c>
      <c r="D967" t="s">
        <v>4708</v>
      </c>
      <c r="E967" t="s">
        <v>4707</v>
      </c>
      <c r="F967" t="s">
        <v>4706</v>
      </c>
      <c r="G967" t="s">
        <v>4705</v>
      </c>
      <c r="H967" t="s">
        <v>4704</v>
      </c>
      <c r="I967" t="s">
        <v>8982</v>
      </c>
      <c r="K967" t="s">
        <v>164</v>
      </c>
      <c r="N967" t="str">
        <f t="shared" si="43"/>
        <v>Szanowna Pani</v>
      </c>
      <c r="O967" s="19" t="s">
        <v>9776</v>
      </c>
      <c r="U967" t="str">
        <f t="shared" si="44"/>
        <v>tak</v>
      </c>
    </row>
    <row r="968" spans="1:21">
      <c r="A968">
        <v>1012</v>
      </c>
      <c r="B968" t="s">
        <v>4378</v>
      </c>
      <c r="C968" t="s">
        <v>4476</v>
      </c>
      <c r="D968" t="s">
        <v>4477</v>
      </c>
      <c r="E968" t="s">
        <v>4478</v>
      </c>
      <c r="F968" t="s">
        <v>4479</v>
      </c>
      <c r="G968" t="s">
        <v>4710</v>
      </c>
      <c r="H968" t="s">
        <v>4709</v>
      </c>
      <c r="I968" t="s">
        <v>8983</v>
      </c>
      <c r="K968" t="s">
        <v>164</v>
      </c>
      <c r="N968" t="str">
        <f t="shared" si="43"/>
        <v>Szanowna Pani</v>
      </c>
      <c r="O968" s="19" t="s">
        <v>9776</v>
      </c>
      <c r="U968" t="str">
        <f t="shared" si="44"/>
        <v>tak</v>
      </c>
    </row>
    <row r="969" spans="1:21">
      <c r="A969">
        <v>1013</v>
      </c>
      <c r="B969" t="s">
        <v>4378</v>
      </c>
      <c r="C969" t="s">
        <v>4480</v>
      </c>
      <c r="D969" t="s">
        <v>4481</v>
      </c>
      <c r="E969" t="s">
        <v>4714</v>
      </c>
      <c r="F969" t="s">
        <v>4713</v>
      </c>
      <c r="G969" t="s">
        <v>4712</v>
      </c>
      <c r="H969" t="s">
        <v>4711</v>
      </c>
      <c r="I969" t="s">
        <v>8984</v>
      </c>
      <c r="K969" t="s">
        <v>164</v>
      </c>
      <c r="N969" t="str">
        <f t="shared" si="43"/>
        <v>Szanowna Pani</v>
      </c>
      <c r="O969" s="19" t="s">
        <v>9776</v>
      </c>
      <c r="U969" t="str">
        <f t="shared" si="44"/>
        <v>tak</v>
      </c>
    </row>
    <row r="970" spans="1:21">
      <c r="A970">
        <v>1014</v>
      </c>
      <c r="B970" t="s">
        <v>4378</v>
      </c>
      <c r="C970" t="s">
        <v>4886</v>
      </c>
      <c r="D970" t="s">
        <v>4482</v>
      </c>
      <c r="E970" t="s">
        <v>4718</v>
      </c>
      <c r="F970" t="s">
        <v>4717</v>
      </c>
      <c r="G970" t="s">
        <v>4716</v>
      </c>
      <c r="H970" t="s">
        <v>4715</v>
      </c>
      <c r="I970" t="s">
        <v>8985</v>
      </c>
      <c r="K970" t="s">
        <v>164</v>
      </c>
      <c r="N970" t="str">
        <f t="shared" si="43"/>
        <v>Szanowna Pani</v>
      </c>
      <c r="O970" s="19" t="s">
        <v>9776</v>
      </c>
      <c r="U970" t="str">
        <f t="shared" si="44"/>
        <v>tak</v>
      </c>
    </row>
    <row r="971" spans="1:21">
      <c r="A971">
        <v>1015</v>
      </c>
      <c r="B971" t="s">
        <v>4378</v>
      </c>
      <c r="C971" t="s">
        <v>4483</v>
      </c>
      <c r="D971" t="s">
        <v>4894</v>
      </c>
      <c r="E971" t="s">
        <v>4893</v>
      </c>
      <c r="F971" t="s">
        <v>4846</v>
      </c>
      <c r="G971" t="s">
        <v>4892</v>
      </c>
      <c r="H971" t="s">
        <v>4891</v>
      </c>
      <c r="I971" t="s">
        <v>8986</v>
      </c>
      <c r="K971" t="s">
        <v>164</v>
      </c>
      <c r="N971" t="str">
        <f t="shared" si="43"/>
        <v>Szanowna Pani</v>
      </c>
      <c r="O971" s="19" t="s">
        <v>9776</v>
      </c>
      <c r="S971" t="s">
        <v>9712</v>
      </c>
      <c r="U971" t="str">
        <f t="shared" si="44"/>
        <v>tak</v>
      </c>
    </row>
    <row r="972" spans="1:21">
      <c r="A972">
        <v>1016</v>
      </c>
      <c r="B972" t="s">
        <v>4378</v>
      </c>
      <c r="C972" t="s">
        <v>4483</v>
      </c>
      <c r="D972" t="s">
        <v>4894</v>
      </c>
      <c r="E972" t="s">
        <v>4893</v>
      </c>
      <c r="F972" t="s">
        <v>4846</v>
      </c>
      <c r="G972" t="s">
        <v>4896</v>
      </c>
      <c r="H972" t="s">
        <v>4895</v>
      </c>
      <c r="I972" t="s">
        <v>8987</v>
      </c>
      <c r="K972" t="s">
        <v>224</v>
      </c>
      <c r="N972" t="str">
        <f t="shared" si="43"/>
        <v>Szanowna Pani</v>
      </c>
      <c r="Q972" s="19" t="s">
        <v>9776</v>
      </c>
      <c r="U972" t="str">
        <f t="shared" si="44"/>
        <v>tak</v>
      </c>
    </row>
    <row r="973" spans="1:21">
      <c r="A973">
        <v>1017</v>
      </c>
      <c r="B973" t="s">
        <v>4378</v>
      </c>
      <c r="C973" t="s">
        <v>4484</v>
      </c>
      <c r="D973" t="s">
        <v>4723</v>
      </c>
      <c r="E973" t="s">
        <v>4722</v>
      </c>
      <c r="F973" t="s">
        <v>4721</v>
      </c>
      <c r="G973" t="s">
        <v>4720</v>
      </c>
      <c r="H973" t="s">
        <v>4719</v>
      </c>
      <c r="I973" t="s">
        <v>8988</v>
      </c>
      <c r="K973" t="s">
        <v>164</v>
      </c>
      <c r="N973" t="str">
        <f t="shared" si="43"/>
        <v>Szanowna Pani</v>
      </c>
      <c r="O973" s="19" t="s">
        <v>9776</v>
      </c>
      <c r="U973" t="str">
        <f t="shared" si="44"/>
        <v>tak</v>
      </c>
    </row>
    <row r="974" spans="1:21">
      <c r="A974">
        <v>1018</v>
      </c>
      <c r="B974" t="s">
        <v>4378</v>
      </c>
      <c r="C974" t="s">
        <v>4485</v>
      </c>
      <c r="D974" t="s">
        <v>4728</v>
      </c>
      <c r="E974" t="s">
        <v>4727</v>
      </c>
      <c r="F974" t="s">
        <v>4726</v>
      </c>
      <c r="G974" t="s">
        <v>4725</v>
      </c>
      <c r="H974" t="s">
        <v>4724</v>
      </c>
      <c r="I974" s="15" t="s">
        <v>9717</v>
      </c>
      <c r="K974" t="s">
        <v>164</v>
      </c>
      <c r="N974" t="str">
        <f t="shared" si="43"/>
        <v>Szanowna Pani</v>
      </c>
      <c r="O974" s="19" t="s">
        <v>9776</v>
      </c>
      <c r="U974" t="str">
        <f t="shared" si="44"/>
        <v>tak</v>
      </c>
    </row>
    <row r="975" spans="1:21">
      <c r="A975">
        <v>1019</v>
      </c>
      <c r="B975" t="s">
        <v>4378</v>
      </c>
      <c r="C975" t="s">
        <v>4486</v>
      </c>
      <c r="D975" t="s">
        <v>4732</v>
      </c>
      <c r="E975" t="s">
        <v>3618</v>
      </c>
      <c r="F975" t="s">
        <v>4731</v>
      </c>
      <c r="G975" t="s">
        <v>4730</v>
      </c>
      <c r="H975" t="s">
        <v>4729</v>
      </c>
      <c r="I975" t="s">
        <v>8989</v>
      </c>
      <c r="K975" t="s">
        <v>164</v>
      </c>
      <c r="N975" t="str">
        <f t="shared" si="43"/>
        <v>Szanowna Pani</v>
      </c>
      <c r="O975" s="19" t="s">
        <v>9776</v>
      </c>
      <c r="U975" t="str">
        <f t="shared" si="44"/>
        <v>tak</v>
      </c>
    </row>
    <row r="976" spans="1:21">
      <c r="A976">
        <v>1020</v>
      </c>
      <c r="B976" t="s">
        <v>4378</v>
      </c>
      <c r="C976" t="s">
        <v>4487</v>
      </c>
      <c r="D976" t="s">
        <v>4737</v>
      </c>
      <c r="E976" t="s">
        <v>4736</v>
      </c>
      <c r="F976" t="s">
        <v>4735</v>
      </c>
      <c r="G976" t="s">
        <v>4734</v>
      </c>
      <c r="H976" t="s">
        <v>4733</v>
      </c>
      <c r="I976" t="s">
        <v>8990</v>
      </c>
      <c r="K976" t="s">
        <v>164</v>
      </c>
      <c r="N976" t="str">
        <f t="shared" si="43"/>
        <v>Szanowna Pani</v>
      </c>
      <c r="O976" s="19" t="s">
        <v>9776</v>
      </c>
      <c r="U976" t="str">
        <f t="shared" si="44"/>
        <v>tak</v>
      </c>
    </row>
    <row r="977" spans="1:21">
      <c r="A977">
        <v>1021</v>
      </c>
      <c r="B977" t="s">
        <v>4378</v>
      </c>
      <c r="C977" t="s">
        <v>4487</v>
      </c>
      <c r="D977" t="s">
        <v>4737</v>
      </c>
      <c r="E977" t="s">
        <v>4736</v>
      </c>
      <c r="F977" t="s">
        <v>4735</v>
      </c>
      <c r="G977" t="s">
        <v>4739</v>
      </c>
      <c r="H977" t="s">
        <v>4738</v>
      </c>
      <c r="I977" t="s">
        <v>8991</v>
      </c>
      <c r="K977" t="s">
        <v>224</v>
      </c>
      <c r="N977" t="str">
        <f t="shared" si="43"/>
        <v>Szanowna Pani</v>
      </c>
      <c r="Q977" s="19" t="s">
        <v>9776</v>
      </c>
      <c r="U977" t="str">
        <f t="shared" si="44"/>
        <v>tak</v>
      </c>
    </row>
    <row r="978" spans="1:21">
      <c r="A978">
        <v>1022</v>
      </c>
      <c r="B978" t="s">
        <v>4378</v>
      </c>
      <c r="C978" t="s">
        <v>4488</v>
      </c>
      <c r="D978" t="s">
        <v>4489</v>
      </c>
      <c r="E978" t="s">
        <v>4490</v>
      </c>
      <c r="F978" t="s">
        <v>4491</v>
      </c>
      <c r="G978" t="s">
        <v>4741</v>
      </c>
      <c r="H978" t="s">
        <v>4740</v>
      </c>
      <c r="I978" t="s">
        <v>8992</v>
      </c>
      <c r="K978" t="s">
        <v>164</v>
      </c>
      <c r="N978" t="str">
        <f t="shared" si="43"/>
        <v>Szanowna Pani</v>
      </c>
      <c r="O978" s="19" t="s">
        <v>9776</v>
      </c>
      <c r="U978" t="str">
        <f t="shared" si="44"/>
        <v>tak</v>
      </c>
    </row>
    <row r="979" spans="1:21">
      <c r="A979">
        <v>1023</v>
      </c>
      <c r="B979" t="s">
        <v>4378</v>
      </c>
      <c r="C979" t="s">
        <v>4492</v>
      </c>
      <c r="D979" t="s">
        <v>4493</v>
      </c>
      <c r="E979" t="s">
        <v>4494</v>
      </c>
      <c r="F979" t="s">
        <v>4495</v>
      </c>
      <c r="G979" t="s">
        <v>4743</v>
      </c>
      <c r="H979" t="s">
        <v>4742</v>
      </c>
      <c r="I979" t="s">
        <v>8993</v>
      </c>
      <c r="K979" t="s">
        <v>224</v>
      </c>
      <c r="N979" t="str">
        <f t="shared" si="43"/>
        <v>Szanowna Pani</v>
      </c>
      <c r="Q979" s="19" t="s">
        <v>9776</v>
      </c>
      <c r="U979" t="str">
        <f t="shared" si="44"/>
        <v>tak</v>
      </c>
    </row>
    <row r="980" spans="1:21">
      <c r="A980">
        <v>1024</v>
      </c>
      <c r="B980" t="s">
        <v>4378</v>
      </c>
      <c r="C980" t="s">
        <v>4496</v>
      </c>
      <c r="D980" t="s">
        <v>4747</v>
      </c>
      <c r="E980" t="s">
        <v>4746</v>
      </c>
      <c r="F980" t="s">
        <v>4441</v>
      </c>
      <c r="G980" t="s">
        <v>4745</v>
      </c>
      <c r="H980" t="s">
        <v>4744</v>
      </c>
      <c r="I980" t="s">
        <v>8994</v>
      </c>
      <c r="K980" t="s">
        <v>164</v>
      </c>
      <c r="N980" t="str">
        <f t="shared" si="43"/>
        <v>Szanowna Pani</v>
      </c>
      <c r="O980" s="19" t="s">
        <v>9776</v>
      </c>
      <c r="U980" t="str">
        <f t="shared" si="44"/>
        <v>tak</v>
      </c>
    </row>
    <row r="981" spans="1:21">
      <c r="A981">
        <v>1025</v>
      </c>
      <c r="B981" t="s">
        <v>4378</v>
      </c>
      <c r="C981" t="s">
        <v>4496</v>
      </c>
      <c r="D981" t="s">
        <v>4747</v>
      </c>
      <c r="E981" t="s">
        <v>4746</v>
      </c>
      <c r="F981" t="s">
        <v>4441</v>
      </c>
      <c r="G981" t="s">
        <v>4745</v>
      </c>
      <c r="H981" t="s">
        <v>4744</v>
      </c>
      <c r="I981" t="s">
        <v>8994</v>
      </c>
      <c r="K981" t="s">
        <v>165</v>
      </c>
      <c r="N981" t="str">
        <f t="shared" si="43"/>
        <v>Szanowna Pani</v>
      </c>
      <c r="P981" s="19" t="s">
        <v>9776</v>
      </c>
      <c r="U981" t="str">
        <f t="shared" si="44"/>
        <v>tak</v>
      </c>
    </row>
    <row r="982" spans="1:21">
      <c r="A982">
        <v>1026</v>
      </c>
      <c r="B982" t="s">
        <v>4378</v>
      </c>
      <c r="C982" t="s">
        <v>4497</v>
      </c>
      <c r="D982" t="s">
        <v>4752</v>
      </c>
      <c r="E982" t="s">
        <v>4751</v>
      </c>
      <c r="F982" t="s">
        <v>4750</v>
      </c>
      <c r="G982" t="s">
        <v>4749</v>
      </c>
      <c r="H982" t="s">
        <v>4748</v>
      </c>
      <c r="I982" t="s">
        <v>8995</v>
      </c>
      <c r="K982" t="s">
        <v>164</v>
      </c>
      <c r="N982" t="str">
        <f t="shared" si="43"/>
        <v>Szanowne Panie</v>
      </c>
      <c r="O982" s="19" t="s">
        <v>9776</v>
      </c>
      <c r="S982" t="s">
        <v>9712</v>
      </c>
      <c r="U982" t="str">
        <f t="shared" si="44"/>
        <v>tak</v>
      </c>
    </row>
    <row r="983" spans="1:21">
      <c r="A983">
        <v>1027</v>
      </c>
      <c r="B983" t="s">
        <v>4378</v>
      </c>
      <c r="C983" t="s">
        <v>4378</v>
      </c>
      <c r="D983" t="s">
        <v>719</v>
      </c>
      <c r="E983" t="s">
        <v>4756</v>
      </c>
      <c r="F983" t="s">
        <v>4755</v>
      </c>
      <c r="G983" t="s">
        <v>4754</v>
      </c>
      <c r="H983" t="s">
        <v>4753</v>
      </c>
      <c r="I983" t="s">
        <v>8996</v>
      </c>
      <c r="K983" t="s">
        <v>164</v>
      </c>
      <c r="N983" t="str">
        <f t="shared" ref="N983:N1046" si="45">IF(ISERROR(FIND(",",H983)),IF(MID(H983,FIND(" ",H983)-1,1)="a","Szanowna Pani","Szanowny Pan"), "Szanowne Panie")</f>
        <v>Szanowna Pani</v>
      </c>
      <c r="O983" s="19" t="s">
        <v>9776</v>
      </c>
      <c r="U983" t="str">
        <f t="shared" ref="U983:U1015" si="46">+O983 &amp;P983&amp;Q983</f>
        <v>tak</v>
      </c>
    </row>
    <row r="984" spans="1:21">
      <c r="A984">
        <v>1028</v>
      </c>
      <c r="B984" t="s">
        <v>4378</v>
      </c>
      <c r="C984" t="s">
        <v>4378</v>
      </c>
      <c r="D984" t="s">
        <v>719</v>
      </c>
      <c r="E984" t="s">
        <v>4756</v>
      </c>
      <c r="F984" t="s">
        <v>4755</v>
      </c>
      <c r="G984" t="s">
        <v>4758</v>
      </c>
      <c r="H984" t="s">
        <v>4757</v>
      </c>
      <c r="I984" t="s">
        <v>8997</v>
      </c>
      <c r="K984" t="s">
        <v>164</v>
      </c>
      <c r="N984" t="str">
        <f t="shared" si="45"/>
        <v>Szanowne Panie</v>
      </c>
      <c r="O984" s="19" t="s">
        <v>9776</v>
      </c>
      <c r="U984" t="str">
        <f t="shared" si="46"/>
        <v>tak</v>
      </c>
    </row>
    <row r="985" spans="1:21">
      <c r="A985">
        <v>1029</v>
      </c>
      <c r="B985" t="s">
        <v>4378</v>
      </c>
      <c r="C985" t="s">
        <v>4498</v>
      </c>
      <c r="D985" t="s">
        <v>4763</v>
      </c>
      <c r="E985" t="s">
        <v>4762</v>
      </c>
      <c r="F985" t="s">
        <v>4761</v>
      </c>
      <c r="G985" t="s">
        <v>4760</v>
      </c>
      <c r="H985" t="s">
        <v>4759</v>
      </c>
      <c r="I985" t="s">
        <v>8998</v>
      </c>
      <c r="K985" t="s">
        <v>164</v>
      </c>
      <c r="N985" t="str">
        <f t="shared" si="45"/>
        <v>Szanowna Pani</v>
      </c>
      <c r="O985" s="19" t="s">
        <v>9776</v>
      </c>
      <c r="U985" t="str">
        <f t="shared" si="46"/>
        <v>tak</v>
      </c>
    </row>
    <row r="986" spans="1:21">
      <c r="A986">
        <v>1030</v>
      </c>
      <c r="B986" t="s">
        <v>4378</v>
      </c>
      <c r="C986" t="s">
        <v>4498</v>
      </c>
      <c r="D986" t="s">
        <v>4763</v>
      </c>
      <c r="E986" t="s">
        <v>4762</v>
      </c>
      <c r="F986" t="s">
        <v>4761</v>
      </c>
      <c r="G986">
        <v>693331169</v>
      </c>
      <c r="H986" t="s">
        <v>4764</v>
      </c>
      <c r="I986" t="s">
        <v>8999</v>
      </c>
      <c r="K986" t="s">
        <v>165</v>
      </c>
      <c r="N986" t="str">
        <f t="shared" si="45"/>
        <v>Szanowna Pani</v>
      </c>
      <c r="P986" s="19" t="s">
        <v>9776</v>
      </c>
      <c r="U986" t="str">
        <f t="shared" si="46"/>
        <v>tak</v>
      </c>
    </row>
    <row r="987" spans="1:21">
      <c r="A987">
        <v>1031</v>
      </c>
      <c r="B987" t="s">
        <v>4378</v>
      </c>
      <c r="C987" t="s">
        <v>4498</v>
      </c>
      <c r="D987" t="s">
        <v>4763</v>
      </c>
      <c r="E987" t="s">
        <v>4762</v>
      </c>
      <c r="F987" t="s">
        <v>4761</v>
      </c>
      <c r="G987">
        <v>693331169</v>
      </c>
      <c r="H987" t="s">
        <v>4764</v>
      </c>
      <c r="I987" t="s">
        <v>8999</v>
      </c>
      <c r="K987" t="s">
        <v>224</v>
      </c>
      <c r="N987" t="str">
        <f t="shared" si="45"/>
        <v>Szanowna Pani</v>
      </c>
      <c r="Q987" s="19" t="s">
        <v>9776</v>
      </c>
      <c r="U987" t="str">
        <f t="shared" si="46"/>
        <v>tak</v>
      </c>
    </row>
    <row r="988" spans="1:21">
      <c r="A988">
        <v>1032</v>
      </c>
      <c r="B988" t="s">
        <v>4378</v>
      </c>
      <c r="C988" t="s">
        <v>4499</v>
      </c>
      <c r="D988" t="s">
        <v>4769</v>
      </c>
      <c r="E988" t="s">
        <v>4768</v>
      </c>
      <c r="F988" t="s">
        <v>4767</v>
      </c>
      <c r="G988" t="s">
        <v>4766</v>
      </c>
      <c r="H988" t="s">
        <v>4765</v>
      </c>
      <c r="I988" t="s">
        <v>9000</v>
      </c>
      <c r="K988" t="s">
        <v>164</v>
      </c>
      <c r="N988" t="str">
        <f t="shared" si="45"/>
        <v>Szanowna Pani</v>
      </c>
      <c r="O988" s="19" t="s">
        <v>9776</v>
      </c>
      <c r="U988" t="str">
        <f t="shared" si="46"/>
        <v>tak</v>
      </c>
    </row>
    <row r="989" spans="1:21">
      <c r="A989">
        <v>1033</v>
      </c>
      <c r="B989" t="s">
        <v>4378</v>
      </c>
      <c r="C989" t="s">
        <v>4499</v>
      </c>
      <c r="D989" t="s">
        <v>4769</v>
      </c>
      <c r="E989" t="s">
        <v>4768</v>
      </c>
      <c r="F989" t="s">
        <v>4767</v>
      </c>
      <c r="G989" t="s">
        <v>4766</v>
      </c>
      <c r="H989" t="s">
        <v>4765</v>
      </c>
      <c r="I989" t="s">
        <v>9000</v>
      </c>
      <c r="K989" t="s">
        <v>165</v>
      </c>
      <c r="N989" t="str">
        <f t="shared" si="45"/>
        <v>Szanowna Pani</v>
      </c>
      <c r="P989" s="19" t="s">
        <v>9776</v>
      </c>
      <c r="U989" t="str">
        <f t="shared" si="46"/>
        <v>tak</v>
      </c>
    </row>
    <row r="990" spans="1:21">
      <c r="A990">
        <v>1034</v>
      </c>
      <c r="B990" t="s">
        <v>4378</v>
      </c>
      <c r="C990" t="s">
        <v>4499</v>
      </c>
      <c r="D990" t="s">
        <v>4769</v>
      </c>
      <c r="E990" t="s">
        <v>4768</v>
      </c>
      <c r="F990" t="s">
        <v>4767</v>
      </c>
      <c r="G990" t="s">
        <v>4898</v>
      </c>
      <c r="H990" t="s">
        <v>4897</v>
      </c>
      <c r="I990" t="s">
        <v>9001</v>
      </c>
      <c r="K990" t="s">
        <v>165</v>
      </c>
      <c r="N990" t="str">
        <f t="shared" si="45"/>
        <v>Szanowna Pani</v>
      </c>
      <c r="P990" s="19" t="s">
        <v>9776</v>
      </c>
      <c r="U990" t="str">
        <f t="shared" si="46"/>
        <v>tak</v>
      </c>
    </row>
    <row r="991" spans="1:21">
      <c r="A991">
        <v>1035</v>
      </c>
      <c r="B991" t="s">
        <v>4378</v>
      </c>
      <c r="C991" t="s">
        <v>4500</v>
      </c>
      <c r="D991" t="s">
        <v>4501</v>
      </c>
      <c r="E991" t="s">
        <v>4502</v>
      </c>
      <c r="F991" t="s">
        <v>4503</v>
      </c>
      <c r="G991" t="s">
        <v>4771</v>
      </c>
      <c r="H991" t="s">
        <v>4770</v>
      </c>
      <c r="I991" t="s">
        <v>9002</v>
      </c>
      <c r="K991" t="s">
        <v>4504</v>
      </c>
      <c r="N991" t="str">
        <f t="shared" si="45"/>
        <v>Szanowna Pani</v>
      </c>
      <c r="O991" s="19" t="s">
        <v>9776</v>
      </c>
      <c r="U991" t="str">
        <f t="shared" si="46"/>
        <v>tak</v>
      </c>
    </row>
    <row r="992" spans="1:21">
      <c r="A992">
        <v>1036</v>
      </c>
      <c r="B992" t="s">
        <v>4378</v>
      </c>
      <c r="C992" t="s">
        <v>4500</v>
      </c>
      <c r="D992" t="s">
        <v>4776</v>
      </c>
      <c r="E992" t="s">
        <v>4775</v>
      </c>
      <c r="F992" t="s">
        <v>4774</v>
      </c>
      <c r="G992" t="s">
        <v>4773</v>
      </c>
      <c r="H992" t="s">
        <v>4772</v>
      </c>
      <c r="I992" t="s">
        <v>9003</v>
      </c>
      <c r="K992" t="s">
        <v>164</v>
      </c>
      <c r="N992" t="str">
        <f t="shared" si="45"/>
        <v>Szanowna Pani</v>
      </c>
      <c r="O992" s="19" t="s">
        <v>9776</v>
      </c>
      <c r="U992" t="str">
        <f t="shared" si="46"/>
        <v>tak</v>
      </c>
    </row>
    <row r="993" spans="1:21">
      <c r="A993">
        <v>1037</v>
      </c>
      <c r="B993" t="s">
        <v>4378</v>
      </c>
      <c r="C993" t="s">
        <v>4505</v>
      </c>
      <c r="D993" t="s">
        <v>4780</v>
      </c>
      <c r="E993" t="s">
        <v>313</v>
      </c>
      <c r="F993" t="s">
        <v>4779</v>
      </c>
      <c r="G993" t="s">
        <v>4778</v>
      </c>
      <c r="H993" t="s">
        <v>4777</v>
      </c>
      <c r="I993" t="s">
        <v>9004</v>
      </c>
      <c r="K993" t="s">
        <v>164</v>
      </c>
      <c r="N993" t="str">
        <f t="shared" si="45"/>
        <v>Szanowna Pani</v>
      </c>
      <c r="O993" s="19" t="s">
        <v>9776</v>
      </c>
      <c r="U993" t="str">
        <f t="shared" si="46"/>
        <v>tak</v>
      </c>
    </row>
    <row r="994" spans="1:21">
      <c r="A994">
        <v>1038</v>
      </c>
      <c r="B994" t="s">
        <v>4378</v>
      </c>
      <c r="C994" t="s">
        <v>4506</v>
      </c>
      <c r="D994" t="s">
        <v>4784</v>
      </c>
      <c r="E994" t="s">
        <v>4783</v>
      </c>
      <c r="F994" t="s">
        <v>4507</v>
      </c>
      <c r="G994" t="s">
        <v>4782</v>
      </c>
      <c r="H994" t="s">
        <v>4781</v>
      </c>
      <c r="I994" t="s">
        <v>9005</v>
      </c>
      <c r="K994" t="s">
        <v>164</v>
      </c>
      <c r="N994" t="str">
        <f t="shared" si="45"/>
        <v>Szanowna Pani</v>
      </c>
      <c r="O994" s="19" t="s">
        <v>9776</v>
      </c>
      <c r="U994" t="str">
        <f t="shared" si="46"/>
        <v>tak</v>
      </c>
    </row>
    <row r="995" spans="1:21">
      <c r="A995">
        <v>1039</v>
      </c>
      <c r="B995" t="s">
        <v>4378</v>
      </c>
      <c r="C995" t="s">
        <v>4506</v>
      </c>
      <c r="D995" t="s">
        <v>4784</v>
      </c>
      <c r="E995" t="s">
        <v>4783</v>
      </c>
      <c r="F995" t="s">
        <v>4507</v>
      </c>
      <c r="G995" t="s">
        <v>4782</v>
      </c>
      <c r="H995" t="s">
        <v>4781</v>
      </c>
      <c r="I995" t="s">
        <v>9005</v>
      </c>
      <c r="K995" t="s">
        <v>224</v>
      </c>
      <c r="N995" t="str">
        <f t="shared" si="45"/>
        <v>Szanowna Pani</v>
      </c>
      <c r="Q995" s="19" t="s">
        <v>9776</v>
      </c>
      <c r="U995" t="str">
        <f t="shared" si="46"/>
        <v>tak</v>
      </c>
    </row>
    <row r="996" spans="1:21">
      <c r="A996">
        <v>1040</v>
      </c>
      <c r="B996" t="s">
        <v>4378</v>
      </c>
      <c r="C996" t="s">
        <v>4508</v>
      </c>
      <c r="D996" t="s">
        <v>4788</v>
      </c>
      <c r="E996" t="s">
        <v>4787</v>
      </c>
      <c r="F996" t="s">
        <v>4786</v>
      </c>
      <c r="G996" t="s">
        <v>4576</v>
      </c>
      <c r="H996" t="s">
        <v>4785</v>
      </c>
      <c r="I996" t="s">
        <v>8935</v>
      </c>
      <c r="K996" t="s">
        <v>224</v>
      </c>
      <c r="N996" t="str">
        <f t="shared" si="45"/>
        <v>Szanowne Panie</v>
      </c>
      <c r="Q996" s="19" t="s">
        <v>9776</v>
      </c>
      <c r="U996" t="str">
        <f t="shared" si="46"/>
        <v>tak</v>
      </c>
    </row>
    <row r="997" spans="1:21">
      <c r="A997">
        <v>1041</v>
      </c>
      <c r="B997" t="s">
        <v>4378</v>
      </c>
      <c r="C997" t="s">
        <v>4509</v>
      </c>
      <c r="D997" t="s">
        <v>4510</v>
      </c>
      <c r="E997" t="s">
        <v>4511</v>
      </c>
      <c r="F997" t="s">
        <v>4512</v>
      </c>
      <c r="G997" t="s">
        <v>4790</v>
      </c>
      <c r="H997" t="s">
        <v>4789</v>
      </c>
      <c r="I997" t="s">
        <v>9006</v>
      </c>
      <c r="K997" t="s">
        <v>224</v>
      </c>
      <c r="L997" t="s">
        <v>164</v>
      </c>
      <c r="N997" t="str">
        <f t="shared" si="45"/>
        <v>Szanowna Pani</v>
      </c>
      <c r="Q997" s="19" t="s">
        <v>9776</v>
      </c>
      <c r="U997" t="str">
        <f t="shared" si="46"/>
        <v>tak</v>
      </c>
    </row>
    <row r="998" spans="1:21">
      <c r="A998">
        <v>1042</v>
      </c>
      <c r="B998" t="s">
        <v>4378</v>
      </c>
      <c r="C998" t="s">
        <v>4513</v>
      </c>
      <c r="D998" t="s">
        <v>4514</v>
      </c>
      <c r="E998" t="s">
        <v>4515</v>
      </c>
      <c r="F998" t="s">
        <v>4516</v>
      </c>
      <c r="G998" t="s">
        <v>4792</v>
      </c>
      <c r="H998" t="s">
        <v>4791</v>
      </c>
      <c r="I998" t="s">
        <v>9007</v>
      </c>
      <c r="K998" t="s">
        <v>164</v>
      </c>
      <c r="N998" t="str">
        <f t="shared" si="45"/>
        <v>Szanowna Pani</v>
      </c>
      <c r="O998" s="19" t="s">
        <v>9776</v>
      </c>
      <c r="U998" t="str">
        <f t="shared" si="46"/>
        <v>tak</v>
      </c>
    </row>
    <row r="999" spans="1:21">
      <c r="A999">
        <v>1043</v>
      </c>
      <c r="B999" t="s">
        <v>4378</v>
      </c>
      <c r="C999" t="s">
        <v>4517</v>
      </c>
      <c r="D999" t="s">
        <v>4518</v>
      </c>
      <c r="E999" t="s">
        <v>4519</v>
      </c>
      <c r="F999" t="s">
        <v>4520</v>
      </c>
      <c r="G999" t="s">
        <v>4794</v>
      </c>
      <c r="H999" t="s">
        <v>4793</v>
      </c>
      <c r="I999" t="s">
        <v>9008</v>
      </c>
      <c r="K999" t="s">
        <v>164</v>
      </c>
      <c r="N999" t="str">
        <f t="shared" si="45"/>
        <v>Szanowna Pani</v>
      </c>
      <c r="O999" s="19" t="s">
        <v>9776</v>
      </c>
      <c r="U999" t="str">
        <f t="shared" si="46"/>
        <v>tak</v>
      </c>
    </row>
    <row r="1000" spans="1:21">
      <c r="A1000">
        <v>1044</v>
      </c>
      <c r="B1000" t="s">
        <v>4378</v>
      </c>
      <c r="C1000" t="s">
        <v>4521</v>
      </c>
      <c r="D1000" t="s">
        <v>4522</v>
      </c>
      <c r="E1000" t="s">
        <v>4523</v>
      </c>
      <c r="F1000" t="s">
        <v>4524</v>
      </c>
      <c r="G1000" t="s">
        <v>4796</v>
      </c>
      <c r="H1000" t="s">
        <v>4795</v>
      </c>
      <c r="I1000" t="s">
        <v>9009</v>
      </c>
      <c r="K1000" t="s">
        <v>164</v>
      </c>
      <c r="N1000" t="str">
        <f t="shared" si="45"/>
        <v>Szanowna Pani</v>
      </c>
      <c r="O1000" s="19" t="s">
        <v>9776</v>
      </c>
      <c r="U1000" t="str">
        <f t="shared" si="46"/>
        <v>tak</v>
      </c>
    </row>
    <row r="1001" spans="1:21">
      <c r="A1001">
        <v>1045</v>
      </c>
      <c r="B1001" t="s">
        <v>4378</v>
      </c>
      <c r="C1001" t="s">
        <v>4525</v>
      </c>
      <c r="D1001" t="s">
        <v>4526</v>
      </c>
      <c r="E1001" t="s">
        <v>4800</v>
      </c>
      <c r="F1001" t="s">
        <v>4799</v>
      </c>
      <c r="G1001" t="s">
        <v>4798</v>
      </c>
      <c r="H1001" t="s">
        <v>4797</v>
      </c>
      <c r="I1001" t="s">
        <v>9010</v>
      </c>
      <c r="K1001" t="s">
        <v>164</v>
      </c>
      <c r="N1001" t="str">
        <f t="shared" si="45"/>
        <v>Szanowna Pani</v>
      </c>
      <c r="O1001" s="19" t="s">
        <v>9776</v>
      </c>
      <c r="U1001" t="str">
        <f t="shared" si="46"/>
        <v>tak</v>
      </c>
    </row>
    <row r="1002" spans="1:21">
      <c r="A1002">
        <v>1046</v>
      </c>
      <c r="B1002" t="s">
        <v>4378</v>
      </c>
      <c r="C1002" t="s">
        <v>4525</v>
      </c>
      <c r="D1002" t="s">
        <v>4526</v>
      </c>
      <c r="E1002" t="s">
        <v>4800</v>
      </c>
      <c r="F1002" t="s">
        <v>4799</v>
      </c>
      <c r="G1002" t="s">
        <v>4900</v>
      </c>
      <c r="H1002" t="s">
        <v>4899</v>
      </c>
      <c r="I1002" t="s">
        <v>9011</v>
      </c>
      <c r="K1002" t="s">
        <v>224</v>
      </c>
      <c r="N1002" t="str">
        <f t="shared" si="45"/>
        <v>Szanowna Pani</v>
      </c>
      <c r="Q1002" s="19" t="s">
        <v>9776</v>
      </c>
      <c r="U1002" t="str">
        <f t="shared" si="46"/>
        <v>tak</v>
      </c>
    </row>
    <row r="1003" spans="1:21">
      <c r="A1003">
        <v>1047</v>
      </c>
      <c r="B1003" t="s">
        <v>4378</v>
      </c>
      <c r="C1003" t="s">
        <v>4525</v>
      </c>
      <c r="D1003" t="s">
        <v>9656</v>
      </c>
      <c r="E1003" t="s">
        <v>9657</v>
      </c>
      <c r="F1003" t="s">
        <v>4390</v>
      </c>
      <c r="G1003" t="s">
        <v>4803</v>
      </c>
      <c r="H1003" t="s">
        <v>4802</v>
      </c>
      <c r="I1003" t="s">
        <v>9012</v>
      </c>
      <c r="K1003" t="s">
        <v>4801</v>
      </c>
      <c r="N1003" t="str">
        <f t="shared" si="45"/>
        <v>Szanowna Pani</v>
      </c>
      <c r="P1003" s="19" t="s">
        <v>9776</v>
      </c>
      <c r="U1003" t="str">
        <f t="shared" si="46"/>
        <v>tak</v>
      </c>
    </row>
    <row r="1004" spans="1:21">
      <c r="A1004">
        <v>1048</v>
      </c>
      <c r="B1004" t="s">
        <v>4378</v>
      </c>
      <c r="C1004" t="s">
        <v>4525</v>
      </c>
      <c r="D1004" t="s">
        <v>4808</v>
      </c>
      <c r="E1004" t="s">
        <v>4807</v>
      </c>
      <c r="F1004" t="s">
        <v>4806</v>
      </c>
      <c r="G1004" t="s">
        <v>4805</v>
      </c>
      <c r="H1004" t="s">
        <v>4804</v>
      </c>
      <c r="I1004" t="s">
        <v>9013</v>
      </c>
      <c r="K1004" t="s">
        <v>164</v>
      </c>
      <c r="N1004" t="str">
        <f t="shared" si="45"/>
        <v>Szanowna Pani</v>
      </c>
      <c r="O1004" s="19" t="s">
        <v>9776</v>
      </c>
      <c r="U1004" t="str">
        <f t="shared" si="46"/>
        <v>tak</v>
      </c>
    </row>
    <row r="1005" spans="1:21">
      <c r="A1005">
        <v>1049</v>
      </c>
      <c r="B1005" t="s">
        <v>4378</v>
      </c>
      <c r="C1005" t="s">
        <v>4527</v>
      </c>
      <c r="D1005" t="s">
        <v>4813</v>
      </c>
      <c r="E1005" t="s">
        <v>4812</v>
      </c>
      <c r="F1005" t="s">
        <v>4811</v>
      </c>
      <c r="G1005" t="s">
        <v>4810</v>
      </c>
      <c r="H1005" t="s">
        <v>4809</v>
      </c>
      <c r="I1005" t="s">
        <v>9014</v>
      </c>
      <c r="K1005" t="s">
        <v>165</v>
      </c>
      <c r="N1005" t="str">
        <f t="shared" si="45"/>
        <v>Szanowna Pani</v>
      </c>
      <c r="P1005" s="19" t="s">
        <v>9776</v>
      </c>
      <c r="U1005" t="str">
        <f t="shared" si="46"/>
        <v>tak</v>
      </c>
    </row>
    <row r="1006" spans="1:21">
      <c r="A1006">
        <v>1050</v>
      </c>
      <c r="B1006" t="s">
        <v>4378</v>
      </c>
      <c r="C1006" t="s">
        <v>4528</v>
      </c>
      <c r="D1006" t="s">
        <v>4817</v>
      </c>
      <c r="E1006" t="s">
        <v>4816</v>
      </c>
      <c r="F1006" t="s">
        <v>4799</v>
      </c>
      <c r="G1006" t="s">
        <v>4815</v>
      </c>
      <c r="H1006" t="s">
        <v>4814</v>
      </c>
      <c r="I1006" t="s">
        <v>9015</v>
      </c>
      <c r="K1006" t="s">
        <v>164</v>
      </c>
      <c r="N1006" t="str">
        <f t="shared" si="45"/>
        <v>Szanowna Pani</v>
      </c>
      <c r="O1006" s="19" t="s">
        <v>9776</v>
      </c>
      <c r="U1006" t="str">
        <f t="shared" si="46"/>
        <v>tak</v>
      </c>
    </row>
    <row r="1007" spans="1:21">
      <c r="A1007">
        <v>1051</v>
      </c>
      <c r="B1007" t="s">
        <v>4378</v>
      </c>
      <c r="C1007" t="s">
        <v>4529</v>
      </c>
      <c r="D1007" t="s">
        <v>4822</v>
      </c>
      <c r="E1007" t="s">
        <v>4821</v>
      </c>
      <c r="F1007" t="s">
        <v>4820</v>
      </c>
      <c r="G1007" t="s">
        <v>4819</v>
      </c>
      <c r="H1007" t="s">
        <v>4818</v>
      </c>
      <c r="I1007" t="s">
        <v>9016</v>
      </c>
      <c r="K1007" t="s">
        <v>164</v>
      </c>
      <c r="N1007" t="str">
        <f t="shared" si="45"/>
        <v>Szanowna Pani</v>
      </c>
      <c r="O1007" s="19" t="s">
        <v>9776</v>
      </c>
      <c r="U1007" t="str">
        <f t="shared" si="46"/>
        <v>tak</v>
      </c>
    </row>
    <row r="1008" spans="1:21">
      <c r="A1008">
        <v>1052</v>
      </c>
      <c r="B1008" t="s">
        <v>4378</v>
      </c>
      <c r="C1008" t="s">
        <v>4530</v>
      </c>
      <c r="D1008" t="s">
        <v>4826</v>
      </c>
      <c r="E1008" t="s">
        <v>4825</v>
      </c>
      <c r="F1008" t="s">
        <v>4706</v>
      </c>
      <c r="G1008" t="s">
        <v>4824</v>
      </c>
      <c r="H1008" t="s">
        <v>4823</v>
      </c>
      <c r="I1008" t="s">
        <v>9017</v>
      </c>
      <c r="K1008" t="s">
        <v>164</v>
      </c>
      <c r="N1008" t="str">
        <f t="shared" si="45"/>
        <v>Szanowna Pani</v>
      </c>
      <c r="O1008" s="19" t="s">
        <v>9776</v>
      </c>
      <c r="U1008" t="str">
        <f t="shared" si="46"/>
        <v>tak</v>
      </c>
    </row>
    <row r="1009" spans="1:21">
      <c r="A1009">
        <v>1053</v>
      </c>
      <c r="B1009" t="s">
        <v>4378</v>
      </c>
      <c r="C1009" t="s">
        <v>4531</v>
      </c>
      <c r="D1009" t="s">
        <v>4830</v>
      </c>
      <c r="E1009" t="s">
        <v>4829</v>
      </c>
      <c r="F1009" t="s">
        <v>4706</v>
      </c>
      <c r="G1009" t="s">
        <v>4828</v>
      </c>
      <c r="H1009" t="s">
        <v>4827</v>
      </c>
      <c r="I1009" t="s">
        <v>9018</v>
      </c>
      <c r="K1009" t="s">
        <v>165</v>
      </c>
      <c r="N1009" t="str">
        <f t="shared" si="45"/>
        <v>Szanowna Pani</v>
      </c>
      <c r="P1009" s="19" t="s">
        <v>9776</v>
      </c>
      <c r="U1009" t="str">
        <f t="shared" si="46"/>
        <v>tak</v>
      </c>
    </row>
    <row r="1010" spans="1:21">
      <c r="A1010">
        <v>1054</v>
      </c>
      <c r="B1010" t="s">
        <v>4378</v>
      </c>
      <c r="C1010" t="s">
        <v>4532</v>
      </c>
      <c r="D1010" t="s">
        <v>4533</v>
      </c>
      <c r="E1010" t="s">
        <v>4534</v>
      </c>
      <c r="F1010" t="s">
        <v>4535</v>
      </c>
      <c r="G1010" t="s">
        <v>4832</v>
      </c>
      <c r="H1010" t="s">
        <v>4831</v>
      </c>
      <c r="I1010" t="s">
        <v>9019</v>
      </c>
      <c r="K1010" t="s">
        <v>164</v>
      </c>
      <c r="N1010" t="str">
        <f t="shared" si="45"/>
        <v>Szanowna Pani</v>
      </c>
      <c r="O1010" s="19" t="s">
        <v>9776</v>
      </c>
      <c r="U1010" t="str">
        <f t="shared" si="46"/>
        <v>tak</v>
      </c>
    </row>
    <row r="1011" spans="1:21">
      <c r="A1011">
        <v>1055</v>
      </c>
      <c r="B1011" t="s">
        <v>4378</v>
      </c>
      <c r="C1011" t="s">
        <v>4536</v>
      </c>
      <c r="D1011" t="s">
        <v>4837</v>
      </c>
      <c r="E1011" t="s">
        <v>4836</v>
      </c>
      <c r="F1011" t="s">
        <v>4835</v>
      </c>
      <c r="G1011" t="s">
        <v>4834</v>
      </c>
      <c r="H1011" t="s">
        <v>4833</v>
      </c>
      <c r="I1011" t="s">
        <v>9020</v>
      </c>
      <c r="K1011" t="s">
        <v>164</v>
      </c>
      <c r="N1011" t="str">
        <f t="shared" si="45"/>
        <v>Szanowna Pani</v>
      </c>
      <c r="O1011" s="19" t="s">
        <v>9776</v>
      </c>
      <c r="U1011" t="str">
        <f t="shared" si="46"/>
        <v>tak</v>
      </c>
    </row>
    <row r="1012" spans="1:21">
      <c r="A1012">
        <v>1056</v>
      </c>
      <c r="B1012" t="s">
        <v>4378</v>
      </c>
      <c r="C1012" t="s">
        <v>4537</v>
      </c>
      <c r="D1012" t="s">
        <v>4538</v>
      </c>
      <c r="E1012" t="s">
        <v>4539</v>
      </c>
      <c r="F1012" t="s">
        <v>4540</v>
      </c>
      <c r="G1012" t="s">
        <v>4839</v>
      </c>
      <c r="H1012" t="s">
        <v>4838</v>
      </c>
      <c r="I1012" t="s">
        <v>9021</v>
      </c>
      <c r="K1012" t="s">
        <v>164</v>
      </c>
      <c r="N1012" t="str">
        <f t="shared" si="45"/>
        <v>Szanowna Pani</v>
      </c>
      <c r="O1012" s="19" t="s">
        <v>9776</v>
      </c>
      <c r="U1012" t="str">
        <f t="shared" si="46"/>
        <v>tak</v>
      </c>
    </row>
    <row r="1013" spans="1:21">
      <c r="A1013">
        <v>1057</v>
      </c>
      <c r="B1013" t="s">
        <v>4378</v>
      </c>
      <c r="C1013" t="s">
        <v>4541</v>
      </c>
      <c r="D1013" t="s">
        <v>4542</v>
      </c>
      <c r="E1013" t="s">
        <v>4543</v>
      </c>
      <c r="F1013" t="s">
        <v>4544</v>
      </c>
      <c r="G1013" t="s">
        <v>4841</v>
      </c>
      <c r="H1013" t="s">
        <v>4840</v>
      </c>
      <c r="I1013" t="s">
        <v>9022</v>
      </c>
      <c r="K1013" t="s">
        <v>164</v>
      </c>
      <c r="N1013" t="str">
        <f t="shared" si="45"/>
        <v>Szanowna Pani</v>
      </c>
      <c r="O1013" s="19" t="s">
        <v>9776</v>
      </c>
      <c r="U1013" t="str">
        <f t="shared" si="46"/>
        <v>tak</v>
      </c>
    </row>
    <row r="1014" spans="1:21">
      <c r="A1014">
        <v>1058</v>
      </c>
      <c r="B1014" t="s">
        <v>4378</v>
      </c>
      <c r="C1014" t="s">
        <v>4545</v>
      </c>
      <c r="D1014" t="s">
        <v>4546</v>
      </c>
      <c r="E1014" t="s">
        <v>4547</v>
      </c>
      <c r="F1014" t="s">
        <v>4548</v>
      </c>
      <c r="G1014" t="s">
        <v>4843</v>
      </c>
      <c r="H1014" t="s">
        <v>4842</v>
      </c>
      <c r="I1014" t="s">
        <v>9023</v>
      </c>
      <c r="K1014" t="s">
        <v>164</v>
      </c>
      <c r="N1014" t="str">
        <f t="shared" si="45"/>
        <v>Szanowna Pani</v>
      </c>
      <c r="O1014" s="19" t="s">
        <v>9776</v>
      </c>
      <c r="U1014" t="str">
        <f t="shared" si="46"/>
        <v>tak</v>
      </c>
    </row>
    <row r="1015" spans="1:21">
      <c r="A1015">
        <v>1059</v>
      </c>
      <c r="B1015" t="s">
        <v>4378</v>
      </c>
      <c r="C1015" t="s">
        <v>4545</v>
      </c>
      <c r="D1015" t="s">
        <v>4546</v>
      </c>
      <c r="E1015" t="s">
        <v>4547</v>
      </c>
      <c r="F1015" t="s">
        <v>4548</v>
      </c>
      <c r="G1015" t="s">
        <v>4843</v>
      </c>
      <c r="H1015" t="s">
        <v>4842</v>
      </c>
      <c r="I1015" t="s">
        <v>9023</v>
      </c>
      <c r="K1015" t="s">
        <v>165</v>
      </c>
      <c r="N1015" t="str">
        <f t="shared" si="45"/>
        <v>Szanowna Pani</v>
      </c>
      <c r="P1015" s="19" t="s">
        <v>9776</v>
      </c>
      <c r="U1015" t="str">
        <f t="shared" si="46"/>
        <v>tak</v>
      </c>
    </row>
    <row r="1016" spans="1:21">
      <c r="A1016">
        <v>1060</v>
      </c>
      <c r="B1016" t="s">
        <v>4378</v>
      </c>
      <c r="C1016" t="s">
        <v>4549</v>
      </c>
      <c r="D1016" t="s">
        <v>4848</v>
      </c>
      <c r="E1016" t="s">
        <v>4847</v>
      </c>
      <c r="F1016" t="s">
        <v>4846</v>
      </c>
      <c r="G1016" t="s">
        <v>4845</v>
      </c>
      <c r="H1016" t="s">
        <v>4844</v>
      </c>
      <c r="I1016" t="s">
        <v>9024</v>
      </c>
      <c r="K1016" t="s">
        <v>164</v>
      </c>
      <c r="N1016" t="str">
        <f t="shared" si="45"/>
        <v>Szanowna Pani</v>
      </c>
      <c r="O1016" s="19" t="s">
        <v>9776</v>
      </c>
      <c r="S1016" t="s">
        <v>9712</v>
      </c>
      <c r="U1016" t="str">
        <f t="shared" ref="U1016:U1051" si="47">+O1016 &amp;P1016&amp;Q1016</f>
        <v>tak</v>
      </c>
    </row>
    <row r="1017" spans="1:21">
      <c r="A1017">
        <v>1061</v>
      </c>
      <c r="B1017" t="s">
        <v>4378</v>
      </c>
      <c r="C1017" t="s">
        <v>4550</v>
      </c>
      <c r="D1017" t="s">
        <v>4551</v>
      </c>
      <c r="E1017" t="s">
        <v>4552</v>
      </c>
      <c r="F1017" t="s">
        <v>4452</v>
      </c>
      <c r="G1017" t="s">
        <v>4850</v>
      </c>
      <c r="H1017" t="s">
        <v>4849</v>
      </c>
      <c r="I1017" t="s">
        <v>9025</v>
      </c>
      <c r="K1017" t="s">
        <v>164</v>
      </c>
      <c r="N1017" t="str">
        <f t="shared" si="45"/>
        <v>Szanowna Pani</v>
      </c>
      <c r="O1017" s="19" t="s">
        <v>9776</v>
      </c>
      <c r="U1017" t="str">
        <f t="shared" si="47"/>
        <v>tak</v>
      </c>
    </row>
    <row r="1018" spans="1:21">
      <c r="A1018">
        <v>1062</v>
      </c>
      <c r="B1018" t="s">
        <v>4378</v>
      </c>
      <c r="C1018" t="s">
        <v>4553</v>
      </c>
      <c r="D1018" t="s">
        <v>4554</v>
      </c>
      <c r="E1018" t="s">
        <v>4555</v>
      </c>
      <c r="F1018" t="s">
        <v>4503</v>
      </c>
      <c r="G1018" t="s">
        <v>4852</v>
      </c>
      <c r="H1018" t="s">
        <v>4851</v>
      </c>
      <c r="I1018" t="s">
        <v>9026</v>
      </c>
      <c r="K1018" t="s">
        <v>165</v>
      </c>
      <c r="N1018" t="str">
        <f t="shared" si="45"/>
        <v>Szanowna Pani</v>
      </c>
      <c r="P1018" s="19" t="s">
        <v>9776</v>
      </c>
      <c r="U1018" t="str">
        <f t="shared" si="47"/>
        <v>tak</v>
      </c>
    </row>
    <row r="1019" spans="1:21">
      <c r="A1019">
        <v>1063</v>
      </c>
      <c r="B1019" t="s">
        <v>4378</v>
      </c>
      <c r="C1019" t="s">
        <v>4556</v>
      </c>
      <c r="D1019" t="s">
        <v>4557</v>
      </c>
      <c r="E1019" t="s">
        <v>4558</v>
      </c>
      <c r="F1019" t="s">
        <v>4559</v>
      </c>
      <c r="G1019" t="s">
        <v>4854</v>
      </c>
      <c r="H1019" t="s">
        <v>4853</v>
      </c>
      <c r="I1019" t="s">
        <v>9027</v>
      </c>
      <c r="K1019" t="s">
        <v>164</v>
      </c>
      <c r="N1019" t="str">
        <f t="shared" si="45"/>
        <v>Szanowna Pani</v>
      </c>
      <c r="O1019" s="19" t="s">
        <v>9776</v>
      </c>
      <c r="U1019" t="str">
        <f t="shared" si="47"/>
        <v>tak</v>
      </c>
    </row>
    <row r="1020" spans="1:21">
      <c r="A1020">
        <v>1064</v>
      </c>
      <c r="B1020" t="s">
        <v>4378</v>
      </c>
      <c r="C1020" t="s">
        <v>4560</v>
      </c>
      <c r="D1020" t="s">
        <v>4561</v>
      </c>
      <c r="E1020" t="s">
        <v>4562</v>
      </c>
      <c r="F1020" t="s">
        <v>4559</v>
      </c>
      <c r="G1020" t="s">
        <v>4856</v>
      </c>
      <c r="H1020" t="s">
        <v>4855</v>
      </c>
      <c r="I1020" t="s">
        <v>9028</v>
      </c>
      <c r="K1020" t="s">
        <v>164</v>
      </c>
      <c r="N1020" t="str">
        <f t="shared" si="45"/>
        <v>Szanowna Pani</v>
      </c>
      <c r="O1020" s="19" t="s">
        <v>9776</v>
      </c>
      <c r="U1020" t="str">
        <f t="shared" si="47"/>
        <v>tak</v>
      </c>
    </row>
    <row r="1021" spans="1:21">
      <c r="A1021">
        <v>1065</v>
      </c>
      <c r="B1021" t="s">
        <v>4993</v>
      </c>
      <c r="C1021" t="s">
        <v>4901</v>
      </c>
      <c r="D1021" t="s">
        <v>4902</v>
      </c>
      <c r="E1021" t="s">
        <v>4903</v>
      </c>
      <c r="F1021" t="s">
        <v>4904</v>
      </c>
      <c r="G1021" t="s">
        <v>5071</v>
      </c>
      <c r="H1021" t="s">
        <v>5070</v>
      </c>
      <c r="I1021" t="s">
        <v>9029</v>
      </c>
      <c r="K1021" t="s">
        <v>224</v>
      </c>
      <c r="N1021" t="str">
        <f t="shared" si="45"/>
        <v>Szanowna Pani</v>
      </c>
      <c r="Q1021" s="19" t="s">
        <v>9776</v>
      </c>
      <c r="U1021" t="str">
        <f t="shared" si="47"/>
        <v>tak</v>
      </c>
    </row>
    <row r="1022" spans="1:21">
      <c r="A1022">
        <v>1066</v>
      </c>
      <c r="B1022" t="s">
        <v>4993</v>
      </c>
      <c r="C1022" t="s">
        <v>4905</v>
      </c>
      <c r="D1022" t="s">
        <v>5075</v>
      </c>
      <c r="E1022" t="s">
        <v>5074</v>
      </c>
      <c r="F1022" t="s">
        <v>4906</v>
      </c>
      <c r="G1022" t="s">
        <v>5073</v>
      </c>
      <c r="H1022" t="s">
        <v>5072</v>
      </c>
      <c r="I1022" t="s">
        <v>9030</v>
      </c>
      <c r="K1022" t="s">
        <v>165</v>
      </c>
      <c r="N1022" t="str">
        <f t="shared" si="45"/>
        <v>Szanowna Pani</v>
      </c>
      <c r="P1022" s="19" t="s">
        <v>9776</v>
      </c>
      <c r="U1022" t="str">
        <f t="shared" si="47"/>
        <v>tak</v>
      </c>
    </row>
    <row r="1023" spans="1:21">
      <c r="A1023">
        <v>1067</v>
      </c>
      <c r="B1023" t="s">
        <v>4993</v>
      </c>
      <c r="C1023" t="s">
        <v>4907</v>
      </c>
      <c r="D1023" t="s">
        <v>4908</v>
      </c>
      <c r="E1023" t="s">
        <v>4909</v>
      </c>
      <c r="F1023" t="s">
        <v>4910</v>
      </c>
      <c r="G1023" t="s">
        <v>5077</v>
      </c>
      <c r="H1023" t="s">
        <v>5076</v>
      </c>
      <c r="I1023" t="s">
        <v>9031</v>
      </c>
      <c r="K1023" t="s">
        <v>4911</v>
      </c>
      <c r="N1023" t="str">
        <f t="shared" si="45"/>
        <v>Szanowna Pani</v>
      </c>
      <c r="O1023" s="19" t="s">
        <v>9776</v>
      </c>
      <c r="U1023" t="str">
        <f t="shared" si="47"/>
        <v>tak</v>
      </c>
    </row>
    <row r="1024" spans="1:21">
      <c r="A1024">
        <v>1068</v>
      </c>
      <c r="B1024" t="s">
        <v>4993</v>
      </c>
      <c r="C1024" t="s">
        <v>4907</v>
      </c>
      <c r="D1024" t="s">
        <v>9659</v>
      </c>
      <c r="E1024" t="s">
        <v>9658</v>
      </c>
      <c r="F1024" t="s">
        <v>5081</v>
      </c>
      <c r="G1024" t="s">
        <v>5080</v>
      </c>
      <c r="H1024" t="s">
        <v>5079</v>
      </c>
      <c r="I1024" t="s">
        <v>5078</v>
      </c>
      <c r="K1024" t="s">
        <v>164</v>
      </c>
      <c r="N1024" t="str">
        <f t="shared" si="45"/>
        <v>Szanowna Pani</v>
      </c>
      <c r="O1024" s="19" t="s">
        <v>9776</v>
      </c>
      <c r="U1024" t="str">
        <f t="shared" si="47"/>
        <v>tak</v>
      </c>
    </row>
    <row r="1025" spans="1:21">
      <c r="A1025">
        <v>1069</v>
      </c>
      <c r="B1025" t="s">
        <v>4993</v>
      </c>
      <c r="C1025" t="s">
        <v>4912</v>
      </c>
      <c r="D1025" t="s">
        <v>4913</v>
      </c>
      <c r="E1025" t="s">
        <v>1440</v>
      </c>
      <c r="F1025" t="s">
        <v>4914</v>
      </c>
      <c r="G1025" t="s">
        <v>5083</v>
      </c>
      <c r="H1025" t="s">
        <v>5082</v>
      </c>
      <c r="I1025" t="s">
        <v>9032</v>
      </c>
      <c r="K1025" t="s">
        <v>165</v>
      </c>
      <c r="N1025" t="str">
        <f t="shared" si="45"/>
        <v>Szanowny Pan</v>
      </c>
      <c r="P1025" s="19" t="s">
        <v>9776</v>
      </c>
      <c r="U1025" t="str">
        <f t="shared" si="47"/>
        <v>tak</v>
      </c>
    </row>
    <row r="1026" spans="1:21">
      <c r="A1026">
        <v>1070</v>
      </c>
      <c r="B1026" t="s">
        <v>4993</v>
      </c>
      <c r="C1026" t="s">
        <v>4912</v>
      </c>
      <c r="D1026" t="s">
        <v>4913</v>
      </c>
      <c r="E1026" t="s">
        <v>1440</v>
      </c>
      <c r="F1026" t="s">
        <v>4914</v>
      </c>
      <c r="G1026" t="s">
        <v>5083</v>
      </c>
      <c r="H1026" t="s">
        <v>5084</v>
      </c>
      <c r="I1026" t="s">
        <v>9032</v>
      </c>
      <c r="K1026" t="s">
        <v>164</v>
      </c>
      <c r="N1026" t="str">
        <f t="shared" si="45"/>
        <v>Szanowna Pani</v>
      </c>
      <c r="O1026" s="19" t="s">
        <v>9776</v>
      </c>
      <c r="U1026" t="str">
        <f t="shared" si="47"/>
        <v>tak</v>
      </c>
    </row>
    <row r="1027" spans="1:21">
      <c r="A1027">
        <v>1071</v>
      </c>
      <c r="B1027" t="s">
        <v>4993</v>
      </c>
      <c r="C1027" t="s">
        <v>4915</v>
      </c>
      <c r="D1027" t="s">
        <v>4916</v>
      </c>
      <c r="E1027" t="s">
        <v>4917</v>
      </c>
      <c r="F1027" t="s">
        <v>4918</v>
      </c>
      <c r="G1027" t="s">
        <v>5086</v>
      </c>
      <c r="H1027" t="s">
        <v>5085</v>
      </c>
      <c r="I1027" t="s">
        <v>9033</v>
      </c>
      <c r="K1027" t="s">
        <v>164</v>
      </c>
      <c r="N1027" t="str">
        <f t="shared" si="45"/>
        <v>Szanowna Pani</v>
      </c>
      <c r="O1027" s="19" t="s">
        <v>9776</v>
      </c>
      <c r="U1027" t="str">
        <f t="shared" si="47"/>
        <v>tak</v>
      </c>
    </row>
    <row r="1028" spans="1:21">
      <c r="A1028">
        <v>1072</v>
      </c>
      <c r="B1028" t="s">
        <v>4993</v>
      </c>
      <c r="C1028" t="s">
        <v>4919</v>
      </c>
      <c r="D1028" t="s">
        <v>4920</v>
      </c>
      <c r="E1028" t="s">
        <v>4921</v>
      </c>
      <c r="F1028" t="s">
        <v>4922</v>
      </c>
      <c r="G1028" t="s">
        <v>5088</v>
      </c>
      <c r="H1028" t="s">
        <v>5087</v>
      </c>
      <c r="I1028" t="s">
        <v>9034</v>
      </c>
      <c r="K1028" t="s">
        <v>164</v>
      </c>
      <c r="N1028" t="str">
        <f t="shared" si="45"/>
        <v>Szanowna Pani</v>
      </c>
      <c r="O1028" s="19" t="s">
        <v>9776</v>
      </c>
      <c r="U1028" t="str">
        <f t="shared" si="47"/>
        <v>tak</v>
      </c>
    </row>
    <row r="1029" spans="1:21">
      <c r="A1029">
        <v>1073</v>
      </c>
      <c r="B1029" t="s">
        <v>4993</v>
      </c>
      <c r="C1029" t="s">
        <v>4923</v>
      </c>
      <c r="D1029" t="s">
        <v>4924</v>
      </c>
      <c r="E1029" t="s">
        <v>3540</v>
      </c>
      <c r="F1029" t="s">
        <v>4925</v>
      </c>
      <c r="G1029" t="s">
        <v>5090</v>
      </c>
      <c r="H1029" t="s">
        <v>5089</v>
      </c>
      <c r="I1029" t="s">
        <v>9035</v>
      </c>
      <c r="K1029" t="s">
        <v>164</v>
      </c>
      <c r="N1029" t="str">
        <f t="shared" si="45"/>
        <v>Szanowna Pani</v>
      </c>
      <c r="O1029" s="19" t="s">
        <v>9776</v>
      </c>
      <c r="U1029" t="str">
        <f t="shared" si="47"/>
        <v>tak</v>
      </c>
    </row>
    <row r="1030" spans="1:21">
      <c r="A1030">
        <v>1074</v>
      </c>
      <c r="B1030" t="s">
        <v>4993</v>
      </c>
      <c r="C1030" t="s">
        <v>4926</v>
      </c>
      <c r="D1030" t="s">
        <v>4927</v>
      </c>
      <c r="E1030" t="s">
        <v>5094</v>
      </c>
      <c r="F1030" t="s">
        <v>5093</v>
      </c>
      <c r="G1030" t="s">
        <v>5092</v>
      </c>
      <c r="H1030" t="s">
        <v>5091</v>
      </c>
      <c r="I1030" t="s">
        <v>9036</v>
      </c>
      <c r="K1030" t="s">
        <v>165</v>
      </c>
      <c r="N1030" t="str">
        <f t="shared" si="45"/>
        <v>Szanowna Pani</v>
      </c>
      <c r="P1030" s="19" t="s">
        <v>9776</v>
      </c>
      <c r="U1030" t="str">
        <f t="shared" si="47"/>
        <v>tak</v>
      </c>
    </row>
    <row r="1031" spans="1:21">
      <c r="A1031">
        <v>1075</v>
      </c>
      <c r="B1031" t="s">
        <v>4993</v>
      </c>
      <c r="C1031" t="s">
        <v>4928</v>
      </c>
      <c r="D1031" t="s">
        <v>4929</v>
      </c>
      <c r="E1031" t="s">
        <v>4930</v>
      </c>
      <c r="F1031" t="s">
        <v>4931</v>
      </c>
      <c r="G1031" t="s">
        <v>5096</v>
      </c>
      <c r="H1031" t="s">
        <v>5095</v>
      </c>
      <c r="I1031" t="s">
        <v>9037</v>
      </c>
      <c r="K1031" t="s">
        <v>164</v>
      </c>
      <c r="N1031" t="str">
        <f t="shared" si="45"/>
        <v>Szanowna Pani</v>
      </c>
      <c r="O1031" s="19" t="s">
        <v>9776</v>
      </c>
      <c r="U1031" t="str">
        <f t="shared" si="47"/>
        <v>tak</v>
      </c>
    </row>
    <row r="1032" spans="1:21">
      <c r="A1032">
        <v>1076</v>
      </c>
      <c r="B1032" t="s">
        <v>4993</v>
      </c>
      <c r="C1032" t="s">
        <v>4932</v>
      </c>
      <c r="D1032" t="s">
        <v>5100</v>
      </c>
      <c r="E1032" t="s">
        <v>5099</v>
      </c>
      <c r="F1032" t="s">
        <v>4933</v>
      </c>
      <c r="G1032" t="s">
        <v>5098</v>
      </c>
      <c r="H1032" t="s">
        <v>5097</v>
      </c>
      <c r="I1032" t="s">
        <v>9038</v>
      </c>
      <c r="K1032" t="s">
        <v>165</v>
      </c>
      <c r="N1032" t="str">
        <f t="shared" si="45"/>
        <v>Szanowna Pani</v>
      </c>
      <c r="P1032" s="19" t="s">
        <v>9776</v>
      </c>
      <c r="U1032" t="str">
        <f t="shared" si="47"/>
        <v>tak</v>
      </c>
    </row>
    <row r="1033" spans="1:21">
      <c r="A1033">
        <v>1077</v>
      </c>
      <c r="B1033" t="s">
        <v>4993</v>
      </c>
      <c r="C1033" t="s">
        <v>4934</v>
      </c>
      <c r="D1033" t="s">
        <v>4935</v>
      </c>
      <c r="E1033" t="s">
        <v>4936</v>
      </c>
      <c r="F1033" t="s">
        <v>4937</v>
      </c>
      <c r="G1033" t="s">
        <v>5102</v>
      </c>
      <c r="H1033" t="s">
        <v>5101</v>
      </c>
      <c r="I1033" t="s">
        <v>9039</v>
      </c>
      <c r="K1033" t="s">
        <v>165</v>
      </c>
      <c r="N1033" t="str">
        <f t="shared" si="45"/>
        <v>Szanowna Pani</v>
      </c>
      <c r="P1033" s="19" t="s">
        <v>9776</v>
      </c>
      <c r="U1033" t="str">
        <f t="shared" si="47"/>
        <v>tak</v>
      </c>
    </row>
    <row r="1034" spans="1:21">
      <c r="A1034">
        <v>1078</v>
      </c>
      <c r="B1034" t="s">
        <v>4993</v>
      </c>
      <c r="C1034" t="s">
        <v>4938</v>
      </c>
      <c r="D1034" t="s">
        <v>4939</v>
      </c>
      <c r="E1034" t="s">
        <v>4940</v>
      </c>
      <c r="F1034" t="s">
        <v>4941</v>
      </c>
      <c r="H1034" t="s">
        <v>5103</v>
      </c>
      <c r="I1034" t="s">
        <v>9040</v>
      </c>
      <c r="K1034" t="s">
        <v>164</v>
      </c>
      <c r="N1034" t="str">
        <f t="shared" si="45"/>
        <v>Szanowna Pani</v>
      </c>
      <c r="O1034" s="19" t="s">
        <v>9776</v>
      </c>
      <c r="U1034" t="str">
        <f t="shared" si="47"/>
        <v>tak</v>
      </c>
    </row>
    <row r="1035" spans="1:21">
      <c r="A1035">
        <v>1079</v>
      </c>
      <c r="B1035" t="s">
        <v>4993</v>
      </c>
      <c r="C1035" t="s">
        <v>4942</v>
      </c>
      <c r="D1035" t="s">
        <v>4943</v>
      </c>
      <c r="E1035" t="s">
        <v>4944</v>
      </c>
      <c r="F1035" t="s">
        <v>4945</v>
      </c>
      <c r="G1035" t="s">
        <v>5105</v>
      </c>
      <c r="H1035" t="s">
        <v>5104</v>
      </c>
      <c r="I1035" t="s">
        <v>9041</v>
      </c>
      <c r="K1035" t="s">
        <v>164</v>
      </c>
      <c r="N1035" t="str">
        <f t="shared" si="45"/>
        <v>Szanowna Pani</v>
      </c>
      <c r="O1035" s="19" t="s">
        <v>9776</v>
      </c>
      <c r="U1035" t="str">
        <f t="shared" si="47"/>
        <v>tak</v>
      </c>
    </row>
    <row r="1036" spans="1:21">
      <c r="A1036">
        <v>1080</v>
      </c>
      <c r="B1036" t="s">
        <v>4993</v>
      </c>
      <c r="C1036" t="s">
        <v>4946</v>
      </c>
      <c r="D1036" t="s">
        <v>4947</v>
      </c>
      <c r="E1036" t="s">
        <v>5109</v>
      </c>
      <c r="F1036" t="s">
        <v>5108</v>
      </c>
      <c r="G1036" t="s">
        <v>5107</v>
      </c>
      <c r="H1036" t="s">
        <v>5106</v>
      </c>
      <c r="I1036" t="s">
        <v>9042</v>
      </c>
      <c r="K1036" t="s">
        <v>164</v>
      </c>
      <c r="N1036" t="str">
        <f t="shared" si="45"/>
        <v>Szanowna Pani</v>
      </c>
      <c r="O1036" s="19" t="s">
        <v>9776</v>
      </c>
      <c r="U1036" t="str">
        <f t="shared" si="47"/>
        <v>tak</v>
      </c>
    </row>
    <row r="1037" spans="1:21">
      <c r="A1037">
        <v>1081</v>
      </c>
      <c r="B1037" t="s">
        <v>4993</v>
      </c>
      <c r="C1037" t="s">
        <v>4948</v>
      </c>
      <c r="D1037" t="s">
        <v>4949</v>
      </c>
      <c r="E1037" t="s">
        <v>4950</v>
      </c>
      <c r="F1037" t="s">
        <v>4951</v>
      </c>
      <c r="G1037" t="s">
        <v>5111</v>
      </c>
      <c r="H1037" t="s">
        <v>5110</v>
      </c>
      <c r="I1037" t="s">
        <v>9043</v>
      </c>
      <c r="K1037" t="s">
        <v>164</v>
      </c>
      <c r="N1037" t="str">
        <f t="shared" si="45"/>
        <v>Szanowna Pani</v>
      </c>
      <c r="O1037" s="19" t="s">
        <v>9776</v>
      </c>
      <c r="U1037" t="str">
        <f t="shared" si="47"/>
        <v>tak</v>
      </c>
    </row>
    <row r="1038" spans="1:21">
      <c r="A1038">
        <v>1082</v>
      </c>
      <c r="B1038" t="s">
        <v>4993</v>
      </c>
      <c r="C1038" t="s">
        <v>4952</v>
      </c>
      <c r="D1038" t="s">
        <v>4953</v>
      </c>
      <c r="F1038" t="s">
        <v>4954</v>
      </c>
      <c r="G1038" t="s">
        <v>5113</v>
      </c>
      <c r="H1038" t="s">
        <v>5112</v>
      </c>
      <c r="I1038" t="s">
        <v>9044</v>
      </c>
      <c r="K1038" t="s">
        <v>164</v>
      </c>
      <c r="N1038" t="str">
        <f t="shared" si="45"/>
        <v>Szanowna Pani</v>
      </c>
      <c r="O1038" s="19" t="s">
        <v>9776</v>
      </c>
      <c r="U1038" t="str">
        <f t="shared" si="47"/>
        <v>tak</v>
      </c>
    </row>
    <row r="1039" spans="1:21">
      <c r="A1039">
        <v>1083</v>
      </c>
      <c r="B1039" t="s">
        <v>4993</v>
      </c>
      <c r="C1039" t="s">
        <v>4955</v>
      </c>
      <c r="D1039" t="s">
        <v>4956</v>
      </c>
      <c r="E1039" t="s">
        <v>4957</v>
      </c>
      <c r="F1039" t="s">
        <v>4958</v>
      </c>
      <c r="G1039" t="s">
        <v>5115</v>
      </c>
      <c r="H1039" t="s">
        <v>5114</v>
      </c>
      <c r="I1039" t="s">
        <v>9045</v>
      </c>
      <c r="K1039" t="s">
        <v>164</v>
      </c>
      <c r="N1039" t="str">
        <f t="shared" si="45"/>
        <v>Szanowna Pani</v>
      </c>
      <c r="O1039" s="19" t="s">
        <v>9776</v>
      </c>
      <c r="U1039" t="str">
        <f t="shared" si="47"/>
        <v>tak</v>
      </c>
    </row>
    <row r="1040" spans="1:21">
      <c r="A1040">
        <v>1084</v>
      </c>
      <c r="B1040" t="s">
        <v>4993</v>
      </c>
      <c r="C1040" t="s">
        <v>4959</v>
      </c>
      <c r="D1040" t="s">
        <v>4960</v>
      </c>
      <c r="E1040" t="s">
        <v>4961</v>
      </c>
      <c r="F1040" t="s">
        <v>4962</v>
      </c>
      <c r="G1040" t="s">
        <v>5117</v>
      </c>
      <c r="H1040" t="s">
        <v>5116</v>
      </c>
      <c r="I1040" t="s">
        <v>9046</v>
      </c>
      <c r="K1040" t="s">
        <v>164</v>
      </c>
      <c r="N1040" t="str">
        <f t="shared" si="45"/>
        <v>Szanowna Pani</v>
      </c>
      <c r="O1040" s="19" t="s">
        <v>9776</v>
      </c>
      <c r="U1040" t="str">
        <f t="shared" si="47"/>
        <v>tak</v>
      </c>
    </row>
    <row r="1041" spans="1:21">
      <c r="A1041">
        <v>1085</v>
      </c>
      <c r="B1041" t="s">
        <v>4993</v>
      </c>
      <c r="C1041" t="s">
        <v>4963</v>
      </c>
      <c r="D1041" t="s">
        <v>5121</v>
      </c>
      <c r="E1041" t="s">
        <v>5120</v>
      </c>
      <c r="F1041" t="s">
        <v>4964</v>
      </c>
      <c r="G1041" t="s">
        <v>5119</v>
      </c>
      <c r="H1041" t="s">
        <v>5118</v>
      </c>
      <c r="I1041" t="s">
        <v>9047</v>
      </c>
      <c r="K1041" t="s">
        <v>165</v>
      </c>
      <c r="N1041" t="str">
        <f t="shared" si="45"/>
        <v>Szanowna Pani</v>
      </c>
      <c r="P1041" s="19" t="s">
        <v>9776</v>
      </c>
      <c r="U1041" t="str">
        <f t="shared" si="47"/>
        <v>tak</v>
      </c>
    </row>
    <row r="1042" spans="1:21">
      <c r="A1042">
        <v>1086</v>
      </c>
      <c r="B1042" t="s">
        <v>4993</v>
      </c>
      <c r="C1042" t="s">
        <v>4965</v>
      </c>
      <c r="D1042" t="s">
        <v>4966</v>
      </c>
      <c r="E1042" t="s">
        <v>4967</v>
      </c>
      <c r="F1042" t="s">
        <v>4968</v>
      </c>
      <c r="G1042" t="s">
        <v>5123</v>
      </c>
      <c r="H1042" t="s">
        <v>5122</v>
      </c>
      <c r="I1042" t="s">
        <v>9048</v>
      </c>
      <c r="K1042" t="s">
        <v>164</v>
      </c>
      <c r="N1042" t="str">
        <f t="shared" si="45"/>
        <v>Szanowna Pani</v>
      </c>
      <c r="O1042" s="19" t="s">
        <v>9776</v>
      </c>
      <c r="U1042" t="str">
        <f t="shared" si="47"/>
        <v>tak</v>
      </c>
    </row>
    <row r="1043" spans="1:21">
      <c r="A1043">
        <v>1087</v>
      </c>
      <c r="B1043" t="s">
        <v>4993</v>
      </c>
      <c r="C1043" t="s">
        <v>4969</v>
      </c>
      <c r="D1043" t="s">
        <v>4970</v>
      </c>
      <c r="E1043" t="s">
        <v>4971</v>
      </c>
      <c r="F1043" t="s">
        <v>4972</v>
      </c>
      <c r="H1043" t="s">
        <v>5124</v>
      </c>
      <c r="I1043" t="s">
        <v>9049</v>
      </c>
      <c r="K1043" t="s">
        <v>164</v>
      </c>
      <c r="N1043" t="str">
        <f t="shared" si="45"/>
        <v>Szanowna Pani</v>
      </c>
      <c r="O1043" s="19" t="s">
        <v>9776</v>
      </c>
      <c r="U1043" t="str">
        <f t="shared" si="47"/>
        <v>tak</v>
      </c>
    </row>
    <row r="1044" spans="1:21">
      <c r="A1044">
        <v>1088</v>
      </c>
      <c r="B1044" t="s">
        <v>4993</v>
      </c>
      <c r="C1044" t="s">
        <v>4973</v>
      </c>
      <c r="D1044" t="s">
        <v>4974</v>
      </c>
      <c r="E1044" t="s">
        <v>4975</v>
      </c>
      <c r="F1044" t="s">
        <v>4976</v>
      </c>
      <c r="G1044" t="s">
        <v>5126</v>
      </c>
      <c r="H1044" t="s">
        <v>5125</v>
      </c>
      <c r="I1044" t="s">
        <v>9050</v>
      </c>
      <c r="K1044" t="s">
        <v>164</v>
      </c>
      <c r="N1044" t="str">
        <f t="shared" si="45"/>
        <v>Szanowna Pani</v>
      </c>
      <c r="O1044" s="19" t="s">
        <v>9776</v>
      </c>
      <c r="U1044" t="str">
        <f t="shared" si="47"/>
        <v>tak</v>
      </c>
    </row>
    <row r="1045" spans="1:21">
      <c r="A1045">
        <v>1089</v>
      </c>
      <c r="B1045" t="s">
        <v>4993</v>
      </c>
      <c r="C1045" t="s">
        <v>151</v>
      </c>
      <c r="D1045" t="s">
        <v>4977</v>
      </c>
      <c r="E1045" t="s">
        <v>4978</v>
      </c>
      <c r="F1045" t="s">
        <v>4979</v>
      </c>
      <c r="G1045" t="s">
        <v>5128</v>
      </c>
      <c r="H1045" t="s">
        <v>5127</v>
      </c>
      <c r="I1045" t="s">
        <v>9051</v>
      </c>
      <c r="K1045" t="s">
        <v>165</v>
      </c>
      <c r="L1045" t="s">
        <v>164</v>
      </c>
      <c r="N1045" t="str">
        <f t="shared" si="45"/>
        <v>Szanowna Pani</v>
      </c>
      <c r="P1045" s="19" t="s">
        <v>9776</v>
      </c>
      <c r="U1045" t="str">
        <f t="shared" si="47"/>
        <v>tak</v>
      </c>
    </row>
    <row r="1046" spans="1:21">
      <c r="A1046">
        <v>1090</v>
      </c>
      <c r="B1046" t="s">
        <v>4993</v>
      </c>
      <c r="C1046" t="s">
        <v>4980</v>
      </c>
      <c r="D1046" t="s">
        <v>4981</v>
      </c>
      <c r="E1046" t="s">
        <v>4982</v>
      </c>
      <c r="F1046" t="s">
        <v>4983</v>
      </c>
      <c r="G1046" t="s">
        <v>5130</v>
      </c>
      <c r="H1046" t="s">
        <v>5129</v>
      </c>
      <c r="I1046" t="s">
        <v>9052</v>
      </c>
      <c r="K1046" t="s">
        <v>164</v>
      </c>
      <c r="N1046" t="str">
        <f t="shared" si="45"/>
        <v>Szanowna Pani</v>
      </c>
      <c r="O1046" s="19" t="s">
        <v>9776</v>
      </c>
      <c r="U1046" t="str">
        <f t="shared" si="47"/>
        <v>tak</v>
      </c>
    </row>
    <row r="1047" spans="1:21">
      <c r="A1047">
        <v>1091</v>
      </c>
      <c r="B1047" t="s">
        <v>4993</v>
      </c>
      <c r="C1047" t="s">
        <v>4984</v>
      </c>
      <c r="D1047" t="s">
        <v>4784</v>
      </c>
      <c r="E1047" t="s">
        <v>5133</v>
      </c>
      <c r="F1047" t="s">
        <v>4985</v>
      </c>
      <c r="G1047" t="s">
        <v>5132</v>
      </c>
      <c r="H1047" t="s">
        <v>5131</v>
      </c>
      <c r="I1047" t="s">
        <v>9053</v>
      </c>
      <c r="K1047" t="s">
        <v>164</v>
      </c>
      <c r="N1047" t="str">
        <f t="shared" ref="N1047:N1110" si="48">IF(ISERROR(FIND(",",H1047)),IF(MID(H1047,FIND(" ",H1047)-1,1)="a","Szanowna Pani","Szanowny Pan"), "Szanowne Panie")</f>
        <v>Szanowna Pani</v>
      </c>
      <c r="O1047" s="19" t="s">
        <v>9776</v>
      </c>
      <c r="U1047" t="str">
        <f t="shared" si="47"/>
        <v>tak</v>
      </c>
    </row>
    <row r="1048" spans="1:21">
      <c r="A1048">
        <v>1092</v>
      </c>
      <c r="B1048" t="s">
        <v>4993</v>
      </c>
      <c r="C1048" t="s">
        <v>4986</v>
      </c>
      <c r="D1048" t="s">
        <v>4987</v>
      </c>
      <c r="E1048" t="s">
        <v>4988</v>
      </c>
      <c r="F1048" t="s">
        <v>4989</v>
      </c>
      <c r="G1048" t="s">
        <v>5135</v>
      </c>
      <c r="H1048" t="s">
        <v>5134</v>
      </c>
      <c r="I1048" t="s">
        <v>9054</v>
      </c>
      <c r="K1048" t="s">
        <v>164</v>
      </c>
      <c r="N1048" t="str">
        <f t="shared" si="48"/>
        <v>Szanowna Pani</v>
      </c>
      <c r="O1048" s="19" t="s">
        <v>9776</v>
      </c>
      <c r="U1048" t="str">
        <f t="shared" si="47"/>
        <v>tak</v>
      </c>
    </row>
    <row r="1049" spans="1:21">
      <c r="A1049">
        <v>1093</v>
      </c>
      <c r="B1049" t="s">
        <v>4993</v>
      </c>
      <c r="C1049" t="s">
        <v>1547</v>
      </c>
      <c r="D1049" t="s">
        <v>4990</v>
      </c>
      <c r="E1049" t="s">
        <v>4991</v>
      </c>
      <c r="F1049" t="s">
        <v>4992</v>
      </c>
      <c r="G1049" t="s">
        <v>5137</v>
      </c>
      <c r="H1049" t="s">
        <v>5136</v>
      </c>
      <c r="I1049" t="s">
        <v>9055</v>
      </c>
      <c r="K1049" t="s">
        <v>164</v>
      </c>
      <c r="N1049" t="str">
        <f t="shared" si="48"/>
        <v>Szanowna Pani</v>
      </c>
      <c r="O1049" s="19" t="s">
        <v>9776</v>
      </c>
      <c r="U1049" t="str">
        <f t="shared" si="47"/>
        <v>tak</v>
      </c>
    </row>
    <row r="1050" spans="1:21">
      <c r="A1050">
        <v>1094</v>
      </c>
      <c r="B1050" t="s">
        <v>4993</v>
      </c>
      <c r="C1050" t="s">
        <v>4993</v>
      </c>
      <c r="D1050" t="s">
        <v>9660</v>
      </c>
      <c r="E1050" t="s">
        <v>9661</v>
      </c>
      <c r="F1050" t="s">
        <v>4994</v>
      </c>
      <c r="G1050" t="s">
        <v>5139</v>
      </c>
      <c r="H1050" t="s">
        <v>5138</v>
      </c>
      <c r="I1050" t="s">
        <v>9056</v>
      </c>
      <c r="K1050" t="s">
        <v>165</v>
      </c>
      <c r="N1050" t="str">
        <f t="shared" si="48"/>
        <v>Szanowna Pani</v>
      </c>
      <c r="P1050" s="19" t="s">
        <v>9776</v>
      </c>
      <c r="U1050" t="str">
        <f t="shared" si="47"/>
        <v>tak</v>
      </c>
    </row>
    <row r="1051" spans="1:21">
      <c r="A1051">
        <v>1095</v>
      </c>
      <c r="B1051" t="s">
        <v>4993</v>
      </c>
      <c r="C1051" t="s">
        <v>4993</v>
      </c>
      <c r="D1051" t="s">
        <v>4995</v>
      </c>
      <c r="E1051" t="s">
        <v>4996</v>
      </c>
      <c r="F1051" t="s">
        <v>4997</v>
      </c>
      <c r="G1051" t="s">
        <v>5141</v>
      </c>
      <c r="H1051" t="s">
        <v>5140</v>
      </c>
      <c r="I1051" t="s">
        <v>9057</v>
      </c>
      <c r="K1051" t="s">
        <v>164</v>
      </c>
      <c r="N1051" t="str">
        <f t="shared" si="48"/>
        <v>Szanowna Pani</v>
      </c>
      <c r="O1051" s="19" t="s">
        <v>9776</v>
      </c>
      <c r="U1051" t="str">
        <f t="shared" si="47"/>
        <v>tak</v>
      </c>
    </row>
    <row r="1052" spans="1:21">
      <c r="A1052">
        <v>1096</v>
      </c>
      <c r="B1052" t="s">
        <v>4993</v>
      </c>
      <c r="C1052" t="s">
        <v>4993</v>
      </c>
      <c r="D1052" t="s">
        <v>4998</v>
      </c>
      <c r="E1052" t="s">
        <v>4996</v>
      </c>
      <c r="F1052" t="s">
        <v>4997</v>
      </c>
      <c r="G1052" t="s">
        <v>5141</v>
      </c>
      <c r="H1052" t="s">
        <v>5142</v>
      </c>
      <c r="I1052" t="s">
        <v>9058</v>
      </c>
      <c r="K1052" t="s">
        <v>164</v>
      </c>
      <c r="N1052" t="str">
        <f t="shared" si="48"/>
        <v>Szanowna Pani</v>
      </c>
      <c r="O1052" s="19" t="s">
        <v>9776</v>
      </c>
      <c r="R1052" t="s">
        <v>9777</v>
      </c>
      <c r="U1052" t="str">
        <f>+O1052 &amp;P1052&amp;Q1052</f>
        <v>tak</v>
      </c>
    </row>
    <row r="1053" spans="1:21">
      <c r="A1053">
        <v>1097</v>
      </c>
      <c r="B1053" t="s">
        <v>4993</v>
      </c>
      <c r="C1053" t="s">
        <v>4993</v>
      </c>
      <c r="D1053" t="s">
        <v>9662</v>
      </c>
      <c r="E1053" t="s">
        <v>9663</v>
      </c>
      <c r="F1053" t="s">
        <v>4999</v>
      </c>
      <c r="G1053" t="s">
        <v>5144</v>
      </c>
      <c r="H1053" t="s">
        <v>5143</v>
      </c>
      <c r="I1053" t="s">
        <v>9059</v>
      </c>
      <c r="K1053" t="s">
        <v>224</v>
      </c>
      <c r="N1053" t="str">
        <f t="shared" si="48"/>
        <v>Szanowna Pani</v>
      </c>
      <c r="Q1053" s="19" t="s">
        <v>9776</v>
      </c>
      <c r="U1053" t="str">
        <f t="shared" ref="U1053:U1116" si="49">+O1053 &amp;P1053&amp;Q1053</f>
        <v>tak</v>
      </c>
    </row>
    <row r="1054" spans="1:21">
      <c r="A1054">
        <v>1098</v>
      </c>
      <c r="B1054" t="s">
        <v>4993</v>
      </c>
      <c r="C1054" t="s">
        <v>4993</v>
      </c>
      <c r="D1054" t="s">
        <v>5000</v>
      </c>
      <c r="E1054" t="s">
        <v>5001</v>
      </c>
      <c r="F1054" t="s">
        <v>5002</v>
      </c>
      <c r="G1054" t="s">
        <v>5146</v>
      </c>
      <c r="H1054" t="s">
        <v>5145</v>
      </c>
      <c r="I1054" t="s">
        <v>9060</v>
      </c>
      <c r="K1054" t="s">
        <v>164</v>
      </c>
      <c r="N1054" t="str">
        <f t="shared" si="48"/>
        <v>Szanowna Pani</v>
      </c>
      <c r="O1054" s="19" t="s">
        <v>9776</v>
      </c>
      <c r="U1054" t="str">
        <f t="shared" si="49"/>
        <v>tak</v>
      </c>
    </row>
    <row r="1055" spans="1:21">
      <c r="A1055">
        <v>1099</v>
      </c>
      <c r="B1055" t="s">
        <v>4993</v>
      </c>
      <c r="C1055" t="s">
        <v>4993</v>
      </c>
      <c r="D1055" t="s">
        <v>5003</v>
      </c>
      <c r="E1055" t="s">
        <v>5004</v>
      </c>
      <c r="F1055" t="s">
        <v>5005</v>
      </c>
      <c r="G1055" t="s">
        <v>5148</v>
      </c>
      <c r="H1055" t="s">
        <v>5147</v>
      </c>
      <c r="I1055" t="s">
        <v>9061</v>
      </c>
      <c r="K1055" t="s">
        <v>164</v>
      </c>
      <c r="N1055" t="str">
        <f t="shared" si="48"/>
        <v>Szanowna Pani</v>
      </c>
      <c r="O1055" s="19" t="s">
        <v>9776</v>
      </c>
      <c r="U1055" t="str">
        <f t="shared" si="49"/>
        <v>tak</v>
      </c>
    </row>
    <row r="1056" spans="1:21">
      <c r="A1056">
        <v>1100</v>
      </c>
      <c r="B1056" t="s">
        <v>4993</v>
      </c>
      <c r="C1056" t="s">
        <v>5006</v>
      </c>
      <c r="D1056" t="s">
        <v>5007</v>
      </c>
      <c r="E1056" t="s">
        <v>3298</v>
      </c>
      <c r="F1056" t="s">
        <v>4933</v>
      </c>
      <c r="G1056" t="s">
        <v>5098</v>
      </c>
      <c r="H1056" t="s">
        <v>5149</v>
      </c>
      <c r="I1056" s="15" t="s">
        <v>9038</v>
      </c>
      <c r="K1056" t="s">
        <v>164</v>
      </c>
      <c r="N1056" t="str">
        <f t="shared" si="48"/>
        <v>Szanowna Pani</v>
      </c>
      <c r="O1056" s="19" t="s">
        <v>9776</v>
      </c>
      <c r="U1056" t="str">
        <f t="shared" si="49"/>
        <v>tak</v>
      </c>
    </row>
    <row r="1057" spans="1:21">
      <c r="A1057">
        <v>1101</v>
      </c>
      <c r="B1057" t="s">
        <v>4993</v>
      </c>
      <c r="C1057" t="s">
        <v>5008</v>
      </c>
      <c r="D1057" t="s">
        <v>5009</v>
      </c>
      <c r="E1057" t="s">
        <v>5010</v>
      </c>
      <c r="F1057" t="s">
        <v>5011</v>
      </c>
      <c r="G1057" t="s">
        <v>5151</v>
      </c>
      <c r="H1057" t="s">
        <v>5150</v>
      </c>
      <c r="I1057" t="s">
        <v>9062</v>
      </c>
      <c r="K1057" t="s">
        <v>164</v>
      </c>
      <c r="N1057" t="str">
        <f t="shared" si="48"/>
        <v>Szanowna Pani</v>
      </c>
      <c r="O1057" s="19" t="s">
        <v>9776</v>
      </c>
      <c r="U1057" t="str">
        <f t="shared" si="49"/>
        <v>tak</v>
      </c>
    </row>
    <row r="1058" spans="1:21">
      <c r="A1058">
        <v>1102</v>
      </c>
      <c r="B1058" t="s">
        <v>4993</v>
      </c>
      <c r="C1058" t="s">
        <v>5012</v>
      </c>
      <c r="D1058" t="s">
        <v>5013</v>
      </c>
      <c r="E1058" t="s">
        <v>5154</v>
      </c>
      <c r="F1058" t="s">
        <v>5032</v>
      </c>
      <c r="G1058" t="s">
        <v>5153</v>
      </c>
      <c r="H1058" t="s">
        <v>5152</v>
      </c>
      <c r="I1058" t="s">
        <v>9063</v>
      </c>
      <c r="K1058" t="s">
        <v>164</v>
      </c>
      <c r="N1058" t="str">
        <f t="shared" si="48"/>
        <v>Szanowna Pani</v>
      </c>
      <c r="O1058" s="19" t="s">
        <v>9776</v>
      </c>
      <c r="U1058" t="str">
        <f t="shared" si="49"/>
        <v>tak</v>
      </c>
    </row>
    <row r="1059" spans="1:21">
      <c r="A1059">
        <v>1103</v>
      </c>
      <c r="B1059" t="s">
        <v>4993</v>
      </c>
      <c r="C1059" t="s">
        <v>5014</v>
      </c>
      <c r="D1059" t="s">
        <v>5015</v>
      </c>
      <c r="E1059" t="s">
        <v>5016</v>
      </c>
      <c r="F1059" t="s">
        <v>5017</v>
      </c>
      <c r="G1059" t="s">
        <v>5156</v>
      </c>
      <c r="H1059" t="s">
        <v>5155</v>
      </c>
      <c r="I1059" t="s">
        <v>9064</v>
      </c>
      <c r="K1059" t="s">
        <v>164</v>
      </c>
      <c r="N1059" t="str">
        <f t="shared" si="48"/>
        <v>Szanowna Pani</v>
      </c>
      <c r="O1059" s="19" t="s">
        <v>9776</v>
      </c>
      <c r="U1059" t="str">
        <f t="shared" si="49"/>
        <v>tak</v>
      </c>
    </row>
    <row r="1060" spans="1:21">
      <c r="A1060">
        <v>1104</v>
      </c>
      <c r="B1060" t="s">
        <v>4993</v>
      </c>
      <c r="C1060" t="s">
        <v>5018</v>
      </c>
      <c r="D1060" t="s">
        <v>5019</v>
      </c>
      <c r="E1060" t="s">
        <v>5020</v>
      </c>
      <c r="F1060" t="s">
        <v>5021</v>
      </c>
      <c r="G1060" t="s">
        <v>5157</v>
      </c>
      <c r="H1060" t="s">
        <v>5095</v>
      </c>
      <c r="I1060" t="s">
        <v>9065</v>
      </c>
      <c r="K1060" t="s">
        <v>5022</v>
      </c>
      <c r="N1060" t="str">
        <f t="shared" si="48"/>
        <v>Szanowna Pani</v>
      </c>
      <c r="O1060" s="19" t="s">
        <v>9776</v>
      </c>
      <c r="U1060" t="str">
        <f t="shared" si="49"/>
        <v>tak</v>
      </c>
    </row>
    <row r="1061" spans="1:21">
      <c r="A1061">
        <v>1105</v>
      </c>
      <c r="B1061" t="s">
        <v>4993</v>
      </c>
      <c r="C1061" t="s">
        <v>5018</v>
      </c>
      <c r="D1061" t="s">
        <v>9664</v>
      </c>
      <c r="E1061" t="s">
        <v>9665</v>
      </c>
      <c r="F1061" t="s">
        <v>5160</v>
      </c>
      <c r="G1061" t="s">
        <v>5158</v>
      </c>
      <c r="H1061" t="s">
        <v>5159</v>
      </c>
      <c r="I1061" t="s">
        <v>9066</v>
      </c>
      <c r="K1061" t="s">
        <v>164</v>
      </c>
      <c r="N1061" t="str">
        <f t="shared" si="48"/>
        <v>Szanowna Pani</v>
      </c>
      <c r="O1061" s="19" t="s">
        <v>9776</v>
      </c>
      <c r="U1061" t="str">
        <f t="shared" si="49"/>
        <v>tak</v>
      </c>
    </row>
    <row r="1062" spans="1:21">
      <c r="A1062">
        <v>1106</v>
      </c>
      <c r="B1062" t="s">
        <v>4993</v>
      </c>
      <c r="C1062" t="s">
        <v>5023</v>
      </c>
      <c r="D1062" t="s">
        <v>5024</v>
      </c>
      <c r="E1062" t="s">
        <v>5025</v>
      </c>
      <c r="F1062" t="s">
        <v>5026</v>
      </c>
      <c r="G1062" t="s">
        <v>5162</v>
      </c>
      <c r="H1062" t="s">
        <v>5161</v>
      </c>
      <c r="I1062" t="s">
        <v>9067</v>
      </c>
      <c r="K1062" t="s">
        <v>164</v>
      </c>
      <c r="N1062" t="str">
        <f t="shared" si="48"/>
        <v>Szanowna Pani</v>
      </c>
      <c r="O1062" s="19" t="s">
        <v>9776</v>
      </c>
      <c r="U1062" t="str">
        <f t="shared" si="49"/>
        <v>tak</v>
      </c>
    </row>
    <row r="1063" spans="1:21">
      <c r="A1063">
        <v>1107</v>
      </c>
      <c r="B1063" t="s">
        <v>4993</v>
      </c>
      <c r="C1063" t="s">
        <v>5027</v>
      </c>
      <c r="D1063" t="s">
        <v>5028</v>
      </c>
      <c r="E1063" t="s">
        <v>5029</v>
      </c>
      <c r="F1063" t="s">
        <v>5030</v>
      </c>
      <c r="G1063" t="s">
        <v>5105</v>
      </c>
      <c r="H1063" t="s">
        <v>5163</v>
      </c>
      <c r="I1063" t="s">
        <v>9041</v>
      </c>
      <c r="K1063" t="s">
        <v>164</v>
      </c>
      <c r="N1063" t="str">
        <f t="shared" si="48"/>
        <v>Szanowna Pani</v>
      </c>
      <c r="O1063" s="19" t="s">
        <v>9776</v>
      </c>
      <c r="U1063" t="str">
        <f t="shared" si="49"/>
        <v>tak</v>
      </c>
    </row>
    <row r="1064" spans="1:21">
      <c r="A1064">
        <v>1108</v>
      </c>
      <c r="B1064" t="s">
        <v>4993</v>
      </c>
      <c r="C1064" t="s">
        <v>5031</v>
      </c>
      <c r="D1064" t="s">
        <v>5167</v>
      </c>
      <c r="E1064" t="s">
        <v>5166</v>
      </c>
      <c r="F1064" t="s">
        <v>5032</v>
      </c>
      <c r="G1064" t="s">
        <v>5165</v>
      </c>
      <c r="H1064" t="s">
        <v>5164</v>
      </c>
      <c r="I1064" t="s">
        <v>9068</v>
      </c>
      <c r="K1064" t="s">
        <v>164</v>
      </c>
      <c r="N1064" t="str">
        <f t="shared" si="48"/>
        <v>Szanowna Pani</v>
      </c>
      <c r="O1064" s="19" t="s">
        <v>9776</v>
      </c>
      <c r="U1064" t="str">
        <f t="shared" si="49"/>
        <v>tak</v>
      </c>
    </row>
    <row r="1065" spans="1:21">
      <c r="A1065">
        <v>1109</v>
      </c>
      <c r="B1065" t="s">
        <v>4993</v>
      </c>
      <c r="C1065" t="s">
        <v>5033</v>
      </c>
      <c r="D1065" t="s">
        <v>5034</v>
      </c>
      <c r="E1065" t="s">
        <v>5035</v>
      </c>
      <c r="F1065" t="s">
        <v>5036</v>
      </c>
      <c r="G1065" t="s">
        <v>5169</v>
      </c>
      <c r="H1065" t="s">
        <v>5168</v>
      </c>
      <c r="I1065" t="s">
        <v>9069</v>
      </c>
      <c r="K1065" t="s">
        <v>164</v>
      </c>
      <c r="N1065" t="str">
        <f t="shared" si="48"/>
        <v>Szanowna Pani</v>
      </c>
      <c r="O1065" s="19" t="s">
        <v>9776</v>
      </c>
      <c r="U1065" t="str">
        <f t="shared" si="49"/>
        <v>tak</v>
      </c>
    </row>
    <row r="1066" spans="1:21">
      <c r="A1066">
        <v>1110</v>
      </c>
      <c r="B1066" t="s">
        <v>4993</v>
      </c>
      <c r="C1066" t="s">
        <v>5037</v>
      </c>
      <c r="D1066" t="s">
        <v>5038</v>
      </c>
      <c r="E1066" t="s">
        <v>5039</v>
      </c>
      <c r="F1066" t="s">
        <v>5040</v>
      </c>
      <c r="G1066" t="s">
        <v>5171</v>
      </c>
      <c r="H1066" t="s">
        <v>5170</v>
      </c>
      <c r="I1066" t="s">
        <v>9070</v>
      </c>
      <c r="K1066" t="s">
        <v>164</v>
      </c>
      <c r="N1066" t="str">
        <f t="shared" si="48"/>
        <v>Szanowna Pani</v>
      </c>
      <c r="O1066" s="19" t="s">
        <v>9776</v>
      </c>
      <c r="U1066" t="str">
        <f t="shared" si="49"/>
        <v>tak</v>
      </c>
    </row>
    <row r="1067" spans="1:21">
      <c r="A1067">
        <v>1111</v>
      </c>
      <c r="B1067" t="s">
        <v>4993</v>
      </c>
      <c r="C1067" t="s">
        <v>5041</v>
      </c>
      <c r="D1067" t="s">
        <v>5042</v>
      </c>
      <c r="E1067" t="s">
        <v>5043</v>
      </c>
      <c r="F1067" t="s">
        <v>5044</v>
      </c>
      <c r="H1067" t="s">
        <v>5172</v>
      </c>
      <c r="I1067" t="s">
        <v>9071</v>
      </c>
      <c r="K1067" t="s">
        <v>165</v>
      </c>
      <c r="N1067" t="str">
        <f t="shared" si="48"/>
        <v>Szanowna Pani</v>
      </c>
      <c r="P1067" s="19" t="s">
        <v>9776</v>
      </c>
      <c r="U1067" t="str">
        <f t="shared" si="49"/>
        <v>tak</v>
      </c>
    </row>
    <row r="1068" spans="1:21">
      <c r="A1068">
        <v>1112</v>
      </c>
      <c r="B1068" t="s">
        <v>4993</v>
      </c>
      <c r="C1068" t="s">
        <v>5045</v>
      </c>
      <c r="D1068" t="s">
        <v>9666</v>
      </c>
      <c r="E1068" t="s">
        <v>9667</v>
      </c>
      <c r="F1068" t="s">
        <v>5046</v>
      </c>
      <c r="G1068" t="s">
        <v>5174</v>
      </c>
      <c r="H1068" t="s">
        <v>5173</v>
      </c>
      <c r="I1068" t="s">
        <v>9072</v>
      </c>
      <c r="K1068" t="s">
        <v>164</v>
      </c>
      <c r="N1068" t="str">
        <f t="shared" si="48"/>
        <v>Szanowna Pani</v>
      </c>
      <c r="O1068" s="19" t="s">
        <v>9776</v>
      </c>
      <c r="U1068" t="str">
        <f t="shared" si="49"/>
        <v>tak</v>
      </c>
    </row>
    <row r="1069" spans="1:21">
      <c r="A1069">
        <v>1113</v>
      </c>
      <c r="B1069" t="s">
        <v>4993</v>
      </c>
      <c r="C1069" t="s">
        <v>5047</v>
      </c>
      <c r="D1069" t="s">
        <v>5048</v>
      </c>
      <c r="E1069" t="s">
        <v>5049</v>
      </c>
      <c r="F1069" t="s">
        <v>5050</v>
      </c>
      <c r="G1069" t="s">
        <v>5176</v>
      </c>
      <c r="H1069" t="s">
        <v>5175</v>
      </c>
      <c r="I1069" t="s">
        <v>9073</v>
      </c>
      <c r="K1069" t="s">
        <v>164</v>
      </c>
      <c r="N1069" t="str">
        <f t="shared" si="48"/>
        <v>Szanowna Pani</v>
      </c>
      <c r="O1069" s="19" t="s">
        <v>9776</v>
      </c>
      <c r="U1069" t="str">
        <f t="shared" si="49"/>
        <v>tak</v>
      </c>
    </row>
    <row r="1070" spans="1:21">
      <c r="A1070">
        <v>1114</v>
      </c>
      <c r="B1070" t="s">
        <v>4993</v>
      </c>
      <c r="C1070" t="s">
        <v>5051</v>
      </c>
      <c r="D1070" t="s">
        <v>5052</v>
      </c>
      <c r="E1070" t="s">
        <v>5053</v>
      </c>
      <c r="F1070" t="s">
        <v>5054</v>
      </c>
      <c r="G1070" t="s">
        <v>5178</v>
      </c>
      <c r="H1070" t="s">
        <v>5177</v>
      </c>
      <c r="I1070" t="s">
        <v>9074</v>
      </c>
      <c r="K1070" t="s">
        <v>224</v>
      </c>
      <c r="N1070" t="str">
        <f t="shared" si="48"/>
        <v>Szanowna Pani</v>
      </c>
      <c r="Q1070" s="19" t="s">
        <v>9776</v>
      </c>
      <c r="U1070" t="str">
        <f t="shared" si="49"/>
        <v>tak</v>
      </c>
    </row>
    <row r="1071" spans="1:21">
      <c r="A1071">
        <v>1115</v>
      </c>
      <c r="B1071" t="s">
        <v>4993</v>
      </c>
      <c r="C1071" t="s">
        <v>5055</v>
      </c>
      <c r="D1071" t="s">
        <v>5056</v>
      </c>
      <c r="E1071" t="s">
        <v>5057</v>
      </c>
      <c r="F1071" t="s">
        <v>5058</v>
      </c>
      <c r="G1071" t="s">
        <v>5180</v>
      </c>
      <c r="H1071" t="s">
        <v>5179</v>
      </c>
      <c r="I1071" t="s">
        <v>9075</v>
      </c>
      <c r="K1071" t="s">
        <v>164</v>
      </c>
      <c r="N1071" t="str">
        <f t="shared" si="48"/>
        <v>Szanowna Pani</v>
      </c>
      <c r="O1071" s="19" t="s">
        <v>9776</v>
      </c>
      <c r="U1071" t="str">
        <f t="shared" si="49"/>
        <v>tak</v>
      </c>
    </row>
    <row r="1072" spans="1:21">
      <c r="A1072">
        <v>1116</v>
      </c>
      <c r="B1072" t="s">
        <v>4993</v>
      </c>
      <c r="C1072" t="s">
        <v>5059</v>
      </c>
      <c r="D1072" t="s">
        <v>5060</v>
      </c>
      <c r="E1072" t="s">
        <v>5061</v>
      </c>
      <c r="F1072" t="s">
        <v>5062</v>
      </c>
      <c r="G1072" t="s">
        <v>5182</v>
      </c>
      <c r="H1072" t="s">
        <v>5181</v>
      </c>
      <c r="I1072" t="s">
        <v>9076</v>
      </c>
      <c r="K1072" t="s">
        <v>164</v>
      </c>
      <c r="N1072" t="str">
        <f t="shared" si="48"/>
        <v>Szanowna Pani</v>
      </c>
      <c r="O1072" s="19" t="s">
        <v>9776</v>
      </c>
      <c r="U1072" t="str">
        <f t="shared" si="49"/>
        <v>tak</v>
      </c>
    </row>
    <row r="1073" spans="1:21">
      <c r="A1073">
        <v>1117</v>
      </c>
      <c r="B1073" t="s">
        <v>4993</v>
      </c>
      <c r="C1073" t="s">
        <v>5063</v>
      </c>
      <c r="D1073" t="s">
        <v>5064</v>
      </c>
      <c r="E1073" t="s">
        <v>5065</v>
      </c>
      <c r="F1073" t="s">
        <v>5066</v>
      </c>
      <c r="G1073" t="s">
        <v>5184</v>
      </c>
      <c r="H1073" t="s">
        <v>5183</v>
      </c>
      <c r="I1073" t="s">
        <v>9077</v>
      </c>
      <c r="K1073" t="s">
        <v>165</v>
      </c>
      <c r="N1073" t="str">
        <f t="shared" si="48"/>
        <v>Szanowna Pani</v>
      </c>
      <c r="P1073" s="19" t="s">
        <v>9776</v>
      </c>
      <c r="U1073" t="str">
        <f t="shared" si="49"/>
        <v>tak</v>
      </c>
    </row>
    <row r="1074" spans="1:21">
      <c r="A1074">
        <v>1118</v>
      </c>
      <c r="B1074" t="s">
        <v>4993</v>
      </c>
      <c r="C1074" t="s">
        <v>5067</v>
      </c>
      <c r="D1074" t="s">
        <v>5068</v>
      </c>
      <c r="E1074" t="s">
        <v>5069</v>
      </c>
      <c r="F1074" t="s">
        <v>5062</v>
      </c>
      <c r="G1074" t="s">
        <v>5182</v>
      </c>
      <c r="H1074" t="s">
        <v>5185</v>
      </c>
      <c r="I1074" t="s">
        <v>9076</v>
      </c>
      <c r="K1074" t="s">
        <v>165</v>
      </c>
      <c r="N1074" t="str">
        <f t="shared" si="48"/>
        <v>Szanowna Pani</v>
      </c>
      <c r="P1074" s="19" t="s">
        <v>9776</v>
      </c>
      <c r="U1074" t="str">
        <f t="shared" si="49"/>
        <v>tak</v>
      </c>
    </row>
    <row r="1075" spans="1:21">
      <c r="A1075">
        <v>1119</v>
      </c>
      <c r="B1075" t="s">
        <v>5342</v>
      </c>
      <c r="C1075" t="s">
        <v>5187</v>
      </c>
      <c r="D1075" t="s">
        <v>5188</v>
      </c>
      <c r="E1075" t="s">
        <v>5408</v>
      </c>
      <c r="F1075" t="s">
        <v>5407</v>
      </c>
      <c r="G1075" t="s">
        <v>5406</v>
      </c>
      <c r="H1075" t="s">
        <v>5405</v>
      </c>
      <c r="I1075" t="s">
        <v>9078</v>
      </c>
      <c r="K1075" t="s">
        <v>164</v>
      </c>
      <c r="N1075" t="str">
        <f t="shared" si="48"/>
        <v>Szanowna Pani</v>
      </c>
      <c r="O1075" s="19" t="s">
        <v>9776</v>
      </c>
      <c r="U1075" t="str">
        <f t="shared" si="49"/>
        <v>tak</v>
      </c>
    </row>
    <row r="1076" spans="1:21">
      <c r="A1076">
        <v>1120</v>
      </c>
      <c r="B1076" t="s">
        <v>5342</v>
      </c>
      <c r="C1076" t="s">
        <v>5189</v>
      </c>
      <c r="D1076" t="s">
        <v>5190</v>
      </c>
      <c r="E1076" t="s">
        <v>5191</v>
      </c>
      <c r="F1076" t="s">
        <v>5192</v>
      </c>
      <c r="G1076" t="s">
        <v>5410</v>
      </c>
      <c r="H1076" t="s">
        <v>5409</v>
      </c>
      <c r="I1076" t="s">
        <v>9079</v>
      </c>
      <c r="K1076" t="s">
        <v>164</v>
      </c>
      <c r="N1076" t="str">
        <f t="shared" si="48"/>
        <v>Szanowna Pani</v>
      </c>
      <c r="O1076" s="19" t="s">
        <v>9776</v>
      </c>
      <c r="U1076" t="str">
        <f t="shared" si="49"/>
        <v>tak</v>
      </c>
    </row>
    <row r="1077" spans="1:21">
      <c r="A1077">
        <v>1121</v>
      </c>
      <c r="B1077" t="s">
        <v>5342</v>
      </c>
      <c r="C1077" t="s">
        <v>5193</v>
      </c>
      <c r="D1077" t="s">
        <v>3007</v>
      </c>
      <c r="E1077" t="s">
        <v>5414</v>
      </c>
      <c r="F1077" t="s">
        <v>5413</v>
      </c>
      <c r="G1077" t="s">
        <v>5412</v>
      </c>
      <c r="H1077" t="s">
        <v>5411</v>
      </c>
      <c r="I1077" t="s">
        <v>9080</v>
      </c>
      <c r="J1077" t="s">
        <v>5194</v>
      </c>
      <c r="K1077" t="s">
        <v>164</v>
      </c>
      <c r="N1077" t="str">
        <f t="shared" si="48"/>
        <v>Szanowna Pani</v>
      </c>
      <c r="O1077" s="19" t="s">
        <v>9776</v>
      </c>
      <c r="U1077" t="str">
        <f t="shared" si="49"/>
        <v>tak</v>
      </c>
    </row>
    <row r="1078" spans="1:21">
      <c r="A1078">
        <v>1122</v>
      </c>
      <c r="B1078" t="s">
        <v>5342</v>
      </c>
      <c r="C1078" t="s">
        <v>5195</v>
      </c>
      <c r="D1078" t="s">
        <v>5196</v>
      </c>
      <c r="F1078" t="s">
        <v>5197</v>
      </c>
      <c r="G1078" t="s">
        <v>5416</v>
      </c>
      <c r="H1078" t="s">
        <v>5415</v>
      </c>
      <c r="I1078" t="s">
        <v>9081</v>
      </c>
      <c r="J1078" t="s">
        <v>5198</v>
      </c>
      <c r="K1078" t="s">
        <v>224</v>
      </c>
      <c r="L1078" t="s">
        <v>165</v>
      </c>
      <c r="N1078" t="str">
        <f t="shared" si="48"/>
        <v>Szanowna Pani</v>
      </c>
      <c r="Q1078" s="19" t="s">
        <v>9776</v>
      </c>
      <c r="U1078" t="str">
        <f t="shared" si="49"/>
        <v>tak</v>
      </c>
    </row>
    <row r="1079" spans="1:21">
      <c r="A1079">
        <v>1123</v>
      </c>
      <c r="B1079" t="s">
        <v>5342</v>
      </c>
      <c r="C1079" t="s">
        <v>5199</v>
      </c>
      <c r="D1079" t="s">
        <v>5200</v>
      </c>
      <c r="E1079" t="s">
        <v>5420</v>
      </c>
      <c r="F1079" t="s">
        <v>5419</v>
      </c>
      <c r="G1079" t="s">
        <v>5418</v>
      </c>
      <c r="H1079" t="s">
        <v>5417</v>
      </c>
      <c r="I1079" t="s">
        <v>9082</v>
      </c>
      <c r="J1079" t="s">
        <v>5201</v>
      </c>
      <c r="K1079" t="s">
        <v>165</v>
      </c>
      <c r="N1079" t="str">
        <f t="shared" si="48"/>
        <v>Szanowna Pani</v>
      </c>
      <c r="P1079" s="19" t="s">
        <v>9776</v>
      </c>
      <c r="U1079" t="str">
        <f t="shared" si="49"/>
        <v>tak</v>
      </c>
    </row>
    <row r="1080" spans="1:21">
      <c r="A1080">
        <v>1124</v>
      </c>
      <c r="B1080" t="s">
        <v>5342</v>
      </c>
      <c r="C1080" t="s">
        <v>5202</v>
      </c>
      <c r="D1080" t="s">
        <v>5203</v>
      </c>
      <c r="E1080" t="s">
        <v>5423</v>
      </c>
      <c r="F1080" t="s">
        <v>5293</v>
      </c>
      <c r="G1080" t="s">
        <v>5422</v>
      </c>
      <c r="H1080" t="s">
        <v>5421</v>
      </c>
      <c r="I1080" t="s">
        <v>9083</v>
      </c>
      <c r="J1080" t="s">
        <v>5204</v>
      </c>
      <c r="K1080" t="s">
        <v>164</v>
      </c>
      <c r="N1080" t="str">
        <f t="shared" si="48"/>
        <v>Szanowna Pani</v>
      </c>
      <c r="O1080" s="19" t="s">
        <v>9776</v>
      </c>
      <c r="U1080" t="str">
        <f t="shared" si="49"/>
        <v>tak</v>
      </c>
    </row>
    <row r="1081" spans="1:21">
      <c r="A1081">
        <v>1125</v>
      </c>
      <c r="B1081" t="s">
        <v>5342</v>
      </c>
      <c r="C1081" t="s">
        <v>5202</v>
      </c>
      <c r="D1081" t="s">
        <v>5205</v>
      </c>
      <c r="E1081" t="s">
        <v>5423</v>
      </c>
      <c r="F1081" t="s">
        <v>5293</v>
      </c>
      <c r="G1081" t="s">
        <v>5422</v>
      </c>
      <c r="H1081" t="s">
        <v>5424</v>
      </c>
      <c r="I1081" t="s">
        <v>9084</v>
      </c>
      <c r="K1081" t="s">
        <v>224</v>
      </c>
      <c r="N1081" t="str">
        <f t="shared" si="48"/>
        <v>Szanowna Pani</v>
      </c>
      <c r="Q1081" s="19" t="s">
        <v>9776</v>
      </c>
      <c r="U1081" t="str">
        <f t="shared" si="49"/>
        <v>tak</v>
      </c>
    </row>
    <row r="1082" spans="1:21">
      <c r="A1082">
        <v>1126</v>
      </c>
      <c r="B1082" t="s">
        <v>5342</v>
      </c>
      <c r="C1082" t="s">
        <v>134</v>
      </c>
      <c r="D1082" t="s">
        <v>5428</v>
      </c>
      <c r="E1082" t="s">
        <v>5427</v>
      </c>
      <c r="F1082" t="s">
        <v>5206</v>
      </c>
      <c r="G1082" t="s">
        <v>5426</v>
      </c>
      <c r="H1082" t="s">
        <v>5425</v>
      </c>
      <c r="I1082" t="s">
        <v>9085</v>
      </c>
      <c r="J1082" t="s">
        <v>5207</v>
      </c>
      <c r="K1082" t="s">
        <v>164</v>
      </c>
      <c r="N1082" t="str">
        <f t="shared" si="48"/>
        <v>Szanowna Pani</v>
      </c>
      <c r="O1082" s="19" t="s">
        <v>9776</v>
      </c>
      <c r="U1082" t="str">
        <f t="shared" si="49"/>
        <v>tak</v>
      </c>
    </row>
    <row r="1083" spans="1:21">
      <c r="A1083">
        <v>1127</v>
      </c>
      <c r="B1083" t="s">
        <v>5342</v>
      </c>
      <c r="C1083" t="s">
        <v>5208</v>
      </c>
      <c r="D1083" t="s">
        <v>5209</v>
      </c>
      <c r="E1083" t="s">
        <v>5432</v>
      </c>
      <c r="F1083" t="s">
        <v>5431</v>
      </c>
      <c r="G1083" t="s">
        <v>5430</v>
      </c>
      <c r="H1083" t="s">
        <v>5429</v>
      </c>
      <c r="I1083" t="s">
        <v>9086</v>
      </c>
      <c r="J1083" t="s">
        <v>5210</v>
      </c>
      <c r="K1083" t="s">
        <v>5211</v>
      </c>
      <c r="N1083" t="str">
        <f t="shared" si="48"/>
        <v>Szanowna Pani</v>
      </c>
      <c r="P1083" s="19" t="s">
        <v>9776</v>
      </c>
      <c r="U1083" t="str">
        <f t="shared" si="49"/>
        <v>tak</v>
      </c>
    </row>
    <row r="1084" spans="1:21">
      <c r="A1084">
        <v>1128</v>
      </c>
      <c r="B1084" t="s">
        <v>5342</v>
      </c>
      <c r="C1084" t="s">
        <v>5212</v>
      </c>
      <c r="D1084" t="s">
        <v>5213</v>
      </c>
      <c r="E1084" t="s">
        <v>5436</v>
      </c>
      <c r="F1084" t="s">
        <v>5435</v>
      </c>
      <c r="G1084" t="s">
        <v>5434</v>
      </c>
      <c r="H1084" t="s">
        <v>5433</v>
      </c>
      <c r="I1084" t="s">
        <v>9087</v>
      </c>
      <c r="J1084" t="s">
        <v>5214</v>
      </c>
      <c r="K1084" t="s">
        <v>164</v>
      </c>
      <c r="N1084" t="str">
        <f t="shared" si="48"/>
        <v>Szanowna Pani</v>
      </c>
      <c r="O1084" s="19" t="s">
        <v>9776</v>
      </c>
      <c r="U1084" t="str">
        <f t="shared" si="49"/>
        <v>tak</v>
      </c>
    </row>
    <row r="1085" spans="1:21">
      <c r="A1085">
        <v>1129</v>
      </c>
      <c r="B1085" t="s">
        <v>5342</v>
      </c>
      <c r="C1085" t="s">
        <v>5215</v>
      </c>
      <c r="D1085" t="s">
        <v>5216</v>
      </c>
      <c r="E1085" t="s">
        <v>5440</v>
      </c>
      <c r="F1085" t="s">
        <v>5439</v>
      </c>
      <c r="G1085" t="s">
        <v>5438</v>
      </c>
      <c r="H1085" t="s">
        <v>5437</v>
      </c>
      <c r="I1085" t="s">
        <v>9088</v>
      </c>
      <c r="J1085" t="s">
        <v>5217</v>
      </c>
      <c r="K1085" t="s">
        <v>164</v>
      </c>
      <c r="N1085" t="str">
        <f t="shared" si="48"/>
        <v>Szanowna Pani</v>
      </c>
      <c r="O1085" s="19" t="s">
        <v>9776</v>
      </c>
      <c r="S1085" t="s">
        <v>9712</v>
      </c>
      <c r="U1085" t="str">
        <f t="shared" si="49"/>
        <v>tak</v>
      </c>
    </row>
    <row r="1086" spans="1:21">
      <c r="A1086">
        <v>1130</v>
      </c>
      <c r="B1086" t="s">
        <v>5342</v>
      </c>
      <c r="C1086" t="s">
        <v>5218</v>
      </c>
      <c r="D1086" t="s">
        <v>5219</v>
      </c>
      <c r="E1086" t="s">
        <v>5444</v>
      </c>
      <c r="F1086" t="s">
        <v>5443</v>
      </c>
      <c r="G1086" t="s">
        <v>5442</v>
      </c>
      <c r="H1086" t="s">
        <v>5441</v>
      </c>
      <c r="I1086" t="s">
        <v>9089</v>
      </c>
      <c r="J1086" t="s">
        <v>5220</v>
      </c>
      <c r="K1086" t="s">
        <v>164</v>
      </c>
      <c r="N1086" t="str">
        <f t="shared" si="48"/>
        <v>Szanowna Pani</v>
      </c>
      <c r="O1086" s="19" t="s">
        <v>9776</v>
      </c>
      <c r="U1086" t="str">
        <f t="shared" si="49"/>
        <v>tak</v>
      </c>
    </row>
    <row r="1087" spans="1:21">
      <c r="A1087">
        <v>1131</v>
      </c>
      <c r="B1087" t="s">
        <v>5342</v>
      </c>
      <c r="C1087" t="s">
        <v>5404</v>
      </c>
      <c r="D1087" t="s">
        <v>5221</v>
      </c>
      <c r="E1087" t="s">
        <v>5222</v>
      </c>
      <c r="F1087" t="s">
        <v>5223</v>
      </c>
      <c r="G1087" t="s">
        <v>5446</v>
      </c>
      <c r="H1087" t="s">
        <v>5445</v>
      </c>
      <c r="I1087" t="s">
        <v>9090</v>
      </c>
      <c r="J1087" t="s">
        <v>5224</v>
      </c>
      <c r="K1087" t="s">
        <v>164</v>
      </c>
      <c r="N1087" t="str">
        <f t="shared" si="48"/>
        <v>Szanowna Pani</v>
      </c>
      <c r="O1087" s="19" t="s">
        <v>9776</v>
      </c>
      <c r="U1087" t="str">
        <f t="shared" si="49"/>
        <v>tak</v>
      </c>
    </row>
    <row r="1088" spans="1:21">
      <c r="A1088">
        <v>1132</v>
      </c>
      <c r="B1088" t="s">
        <v>5342</v>
      </c>
      <c r="C1088" t="s">
        <v>5225</v>
      </c>
      <c r="D1088" t="s">
        <v>5451</v>
      </c>
      <c r="E1088" t="s">
        <v>5450</v>
      </c>
      <c r="F1088" t="s">
        <v>5226</v>
      </c>
      <c r="G1088" t="s">
        <v>5449</v>
      </c>
      <c r="H1088" t="s">
        <v>5448</v>
      </c>
      <c r="I1088" t="s">
        <v>5447</v>
      </c>
      <c r="J1088" t="s">
        <v>5201</v>
      </c>
      <c r="K1088" t="s">
        <v>224</v>
      </c>
      <c r="N1088" t="str">
        <f t="shared" si="48"/>
        <v>Szanowna Pani</v>
      </c>
      <c r="Q1088" s="19" t="s">
        <v>9776</v>
      </c>
      <c r="U1088" t="str">
        <f>+O1088 &amp;P1088&amp;Q1088</f>
        <v>tak</v>
      </c>
    </row>
    <row r="1089" spans="1:21">
      <c r="A1089">
        <v>1133</v>
      </c>
      <c r="B1089" t="s">
        <v>5342</v>
      </c>
      <c r="C1089" t="s">
        <v>5227</v>
      </c>
      <c r="D1089" t="s">
        <v>5228</v>
      </c>
      <c r="E1089" t="s">
        <v>5455</v>
      </c>
      <c r="F1089" t="s">
        <v>5454</v>
      </c>
      <c r="G1089" t="s">
        <v>5453</v>
      </c>
      <c r="H1089" t="s">
        <v>5452</v>
      </c>
      <c r="I1089" t="s">
        <v>9091</v>
      </c>
      <c r="J1089" t="s">
        <v>5229</v>
      </c>
      <c r="K1089" t="s">
        <v>164</v>
      </c>
      <c r="N1089" t="str">
        <f t="shared" si="48"/>
        <v>Szanowna Pani</v>
      </c>
      <c r="O1089" s="19" t="s">
        <v>9776</v>
      </c>
      <c r="U1089" t="str">
        <f t="shared" si="49"/>
        <v>tak</v>
      </c>
    </row>
    <row r="1090" spans="1:21">
      <c r="A1090">
        <v>1134</v>
      </c>
      <c r="B1090" t="s">
        <v>5342</v>
      </c>
      <c r="C1090" t="s">
        <v>5230</v>
      </c>
      <c r="D1090" t="s">
        <v>5231</v>
      </c>
      <c r="E1090" t="s">
        <v>5459</v>
      </c>
      <c r="F1090" t="s">
        <v>5458</v>
      </c>
      <c r="G1090" t="s">
        <v>5457</v>
      </c>
      <c r="H1090" t="s">
        <v>5456</v>
      </c>
      <c r="I1090" t="s">
        <v>9092</v>
      </c>
      <c r="K1090" t="s">
        <v>164</v>
      </c>
      <c r="N1090" t="str">
        <f t="shared" si="48"/>
        <v>Szanowna Pani</v>
      </c>
      <c r="O1090" s="19" t="s">
        <v>9776</v>
      </c>
      <c r="U1090" t="str">
        <f t="shared" si="49"/>
        <v>tak</v>
      </c>
    </row>
    <row r="1091" spans="1:21">
      <c r="A1091">
        <v>1135</v>
      </c>
      <c r="B1091" t="s">
        <v>5342</v>
      </c>
      <c r="C1091" t="s">
        <v>5232</v>
      </c>
      <c r="D1091" t="s">
        <v>5233</v>
      </c>
      <c r="E1091" t="s">
        <v>5463</v>
      </c>
      <c r="F1091" t="s">
        <v>5462</v>
      </c>
      <c r="G1091" t="s">
        <v>5461</v>
      </c>
      <c r="H1091" t="s">
        <v>5460</v>
      </c>
      <c r="I1091" t="s">
        <v>9093</v>
      </c>
      <c r="J1091" t="s">
        <v>5234</v>
      </c>
      <c r="K1091" t="s">
        <v>165</v>
      </c>
      <c r="N1091" t="str">
        <f t="shared" si="48"/>
        <v>Szanowna Pani</v>
      </c>
      <c r="P1091" s="19" t="s">
        <v>9776</v>
      </c>
      <c r="U1091" t="str">
        <f t="shared" si="49"/>
        <v>tak</v>
      </c>
    </row>
    <row r="1092" spans="1:21">
      <c r="A1092">
        <v>1136</v>
      </c>
      <c r="B1092" t="s">
        <v>5342</v>
      </c>
      <c r="C1092" t="s">
        <v>5235</v>
      </c>
      <c r="D1092" t="s">
        <v>5236</v>
      </c>
      <c r="E1092" t="s">
        <v>5467</v>
      </c>
      <c r="F1092" t="s">
        <v>5466</v>
      </c>
      <c r="G1092" t="s">
        <v>5465</v>
      </c>
      <c r="H1092" t="s">
        <v>5464</v>
      </c>
      <c r="I1092" t="s">
        <v>9094</v>
      </c>
      <c r="J1092" t="s">
        <v>5237</v>
      </c>
      <c r="K1092" t="s">
        <v>164</v>
      </c>
      <c r="N1092" t="str">
        <f t="shared" si="48"/>
        <v>Szanowna Pani</v>
      </c>
      <c r="O1092" s="19" t="s">
        <v>9776</v>
      </c>
      <c r="U1092" t="str">
        <f t="shared" si="49"/>
        <v>tak</v>
      </c>
    </row>
    <row r="1093" spans="1:21">
      <c r="A1093">
        <v>1137</v>
      </c>
      <c r="B1093" t="s">
        <v>5342</v>
      </c>
      <c r="C1093" t="s">
        <v>5235</v>
      </c>
      <c r="D1093" t="s">
        <v>5236</v>
      </c>
      <c r="E1093" t="s">
        <v>5467</v>
      </c>
      <c r="F1093" t="s">
        <v>5466</v>
      </c>
      <c r="G1093" t="s">
        <v>5465</v>
      </c>
      <c r="H1093" t="s">
        <v>5468</v>
      </c>
      <c r="I1093" t="s">
        <v>9094</v>
      </c>
      <c r="J1093" t="s">
        <v>5237</v>
      </c>
      <c r="K1093" t="s">
        <v>165</v>
      </c>
      <c r="N1093" t="str">
        <f t="shared" si="48"/>
        <v>Szanowna Pani</v>
      </c>
      <c r="P1093" s="19" t="s">
        <v>9776</v>
      </c>
      <c r="U1093" t="str">
        <f t="shared" si="49"/>
        <v>tak</v>
      </c>
    </row>
    <row r="1094" spans="1:21">
      <c r="A1094">
        <v>1138</v>
      </c>
      <c r="B1094" t="s">
        <v>5342</v>
      </c>
      <c r="C1094" t="s">
        <v>5238</v>
      </c>
      <c r="D1094" t="s">
        <v>5239</v>
      </c>
      <c r="E1094" t="s">
        <v>5472</v>
      </c>
      <c r="F1094" t="s">
        <v>5471</v>
      </c>
      <c r="G1094" t="s">
        <v>5470</v>
      </c>
      <c r="H1094" t="s">
        <v>5469</v>
      </c>
      <c r="I1094" t="s">
        <v>9095</v>
      </c>
      <c r="J1094" t="s">
        <v>5240</v>
      </c>
      <c r="K1094" t="s">
        <v>164</v>
      </c>
      <c r="N1094" t="str">
        <f t="shared" si="48"/>
        <v>Szanowna Pani</v>
      </c>
      <c r="O1094" s="19" t="s">
        <v>9776</v>
      </c>
      <c r="S1094" t="s">
        <v>9712</v>
      </c>
      <c r="U1094" t="str">
        <f t="shared" si="49"/>
        <v>tak</v>
      </c>
    </row>
    <row r="1095" spans="1:21">
      <c r="A1095">
        <v>1139</v>
      </c>
      <c r="B1095" t="s">
        <v>5342</v>
      </c>
      <c r="C1095" t="s">
        <v>5238</v>
      </c>
      <c r="D1095" t="s">
        <v>5476</v>
      </c>
      <c r="E1095" t="s">
        <v>5475</v>
      </c>
      <c r="F1095" t="s">
        <v>5471</v>
      </c>
      <c r="G1095" t="s">
        <v>5474</v>
      </c>
      <c r="H1095" t="s">
        <v>5473</v>
      </c>
      <c r="I1095" s="15" t="s">
        <v>9725</v>
      </c>
      <c r="J1095" t="s">
        <v>5240</v>
      </c>
      <c r="K1095" t="s">
        <v>164</v>
      </c>
      <c r="N1095" t="str">
        <f t="shared" si="48"/>
        <v>Szanowna Pani</v>
      </c>
      <c r="O1095" s="19" t="s">
        <v>9776</v>
      </c>
      <c r="S1095" t="s">
        <v>9712</v>
      </c>
      <c r="U1095" t="str">
        <f t="shared" si="49"/>
        <v>tak</v>
      </c>
    </row>
    <row r="1096" spans="1:21">
      <c r="A1096">
        <v>1140</v>
      </c>
      <c r="B1096" t="s">
        <v>5342</v>
      </c>
      <c r="C1096" t="s">
        <v>5241</v>
      </c>
      <c r="D1096" t="s">
        <v>5242</v>
      </c>
      <c r="E1096" t="s">
        <v>5480</v>
      </c>
      <c r="F1096" t="s">
        <v>5479</v>
      </c>
      <c r="G1096" t="s">
        <v>5478</v>
      </c>
      <c r="H1096" t="s">
        <v>5477</v>
      </c>
      <c r="I1096" t="s">
        <v>9096</v>
      </c>
      <c r="J1096" t="s">
        <v>5243</v>
      </c>
      <c r="K1096" t="s">
        <v>5244</v>
      </c>
      <c r="N1096" t="str">
        <f t="shared" si="48"/>
        <v>Szanowna Pani</v>
      </c>
      <c r="O1096" s="19" t="s">
        <v>9776</v>
      </c>
      <c r="U1096" t="str">
        <f t="shared" si="49"/>
        <v>tak</v>
      </c>
    </row>
    <row r="1097" spans="1:21">
      <c r="A1097">
        <v>1141</v>
      </c>
      <c r="B1097" t="s">
        <v>5342</v>
      </c>
      <c r="C1097" t="s">
        <v>5241</v>
      </c>
      <c r="D1097" t="s">
        <v>5242</v>
      </c>
      <c r="E1097" t="s">
        <v>5480</v>
      </c>
      <c r="F1097" t="s">
        <v>5479</v>
      </c>
      <c r="G1097" t="s">
        <v>5478</v>
      </c>
      <c r="H1097" t="s">
        <v>5481</v>
      </c>
      <c r="I1097" t="s">
        <v>9097</v>
      </c>
      <c r="J1097" t="s">
        <v>5243</v>
      </c>
      <c r="K1097" t="s">
        <v>5245</v>
      </c>
      <c r="N1097" t="str">
        <f t="shared" si="48"/>
        <v>Szanowna Pani</v>
      </c>
      <c r="Q1097" s="19" t="s">
        <v>9776</v>
      </c>
      <c r="U1097" t="str">
        <f t="shared" si="49"/>
        <v>tak</v>
      </c>
    </row>
    <row r="1098" spans="1:21">
      <c r="A1098">
        <v>1142</v>
      </c>
      <c r="B1098" t="s">
        <v>5342</v>
      </c>
      <c r="C1098" t="s">
        <v>5241</v>
      </c>
      <c r="D1098" t="s">
        <v>5242</v>
      </c>
      <c r="E1098" t="s">
        <v>5480</v>
      </c>
      <c r="F1098" t="s">
        <v>5479</v>
      </c>
      <c r="G1098" t="s">
        <v>5483</v>
      </c>
      <c r="H1098" t="s">
        <v>5482</v>
      </c>
      <c r="I1098" t="s">
        <v>9098</v>
      </c>
      <c r="J1098" t="s">
        <v>5243</v>
      </c>
      <c r="K1098" t="s">
        <v>224</v>
      </c>
      <c r="N1098" t="str">
        <f t="shared" si="48"/>
        <v>Szanowna Pani</v>
      </c>
      <c r="Q1098" s="19" t="s">
        <v>9776</v>
      </c>
      <c r="U1098" t="str">
        <f t="shared" si="49"/>
        <v>tak</v>
      </c>
    </row>
    <row r="1099" spans="1:21">
      <c r="A1099">
        <v>1143</v>
      </c>
      <c r="B1099" t="s">
        <v>5342</v>
      </c>
      <c r="C1099" t="s">
        <v>5241</v>
      </c>
      <c r="D1099" t="s">
        <v>5246</v>
      </c>
      <c r="E1099" t="s">
        <v>5487</v>
      </c>
      <c r="F1099" t="s">
        <v>5479</v>
      </c>
      <c r="G1099" t="s">
        <v>5486</v>
      </c>
      <c r="H1099" t="s">
        <v>5485</v>
      </c>
      <c r="I1099" t="s">
        <v>9099</v>
      </c>
      <c r="K1099" t="s">
        <v>5484</v>
      </c>
      <c r="N1099" t="str">
        <f t="shared" si="48"/>
        <v>Szanowna Pani</v>
      </c>
      <c r="O1099" s="19" t="s">
        <v>9776</v>
      </c>
      <c r="U1099" t="str">
        <f t="shared" si="49"/>
        <v>tak</v>
      </c>
    </row>
    <row r="1100" spans="1:21">
      <c r="A1100">
        <v>1144</v>
      </c>
      <c r="B1100" t="s">
        <v>5342</v>
      </c>
      <c r="C1100" t="s">
        <v>5241</v>
      </c>
      <c r="D1100" t="s">
        <v>5491</v>
      </c>
      <c r="E1100" t="s">
        <v>5490</v>
      </c>
      <c r="F1100" t="s">
        <v>5479</v>
      </c>
      <c r="G1100" t="s">
        <v>5489</v>
      </c>
      <c r="H1100" t="s">
        <v>5488</v>
      </c>
      <c r="I1100" t="s">
        <v>9100</v>
      </c>
      <c r="K1100" t="s">
        <v>224</v>
      </c>
      <c r="N1100" t="str">
        <f t="shared" si="48"/>
        <v>Szanowna Pani</v>
      </c>
      <c r="Q1100" s="19" t="s">
        <v>9776</v>
      </c>
      <c r="U1100" t="str">
        <f t="shared" si="49"/>
        <v>tak</v>
      </c>
    </row>
    <row r="1101" spans="1:21">
      <c r="A1101">
        <v>1145</v>
      </c>
      <c r="B1101" t="s">
        <v>5342</v>
      </c>
      <c r="C1101" t="s">
        <v>5247</v>
      </c>
      <c r="D1101" t="s">
        <v>5248</v>
      </c>
      <c r="E1101" t="s">
        <v>5249</v>
      </c>
      <c r="F1101" t="s">
        <v>5250</v>
      </c>
      <c r="G1101" t="s">
        <v>5493</v>
      </c>
      <c r="H1101" t="s">
        <v>5492</v>
      </c>
      <c r="I1101" t="s">
        <v>9101</v>
      </c>
      <c r="K1101" t="s">
        <v>224</v>
      </c>
      <c r="N1101" t="str">
        <f t="shared" si="48"/>
        <v>Szanowna Pani</v>
      </c>
      <c r="Q1101" s="19" t="s">
        <v>9776</v>
      </c>
      <c r="U1101" t="str">
        <f t="shared" si="49"/>
        <v>tak</v>
      </c>
    </row>
    <row r="1102" spans="1:21">
      <c r="A1102">
        <v>1146</v>
      </c>
      <c r="B1102" t="s">
        <v>5342</v>
      </c>
      <c r="C1102" t="s">
        <v>5251</v>
      </c>
      <c r="D1102" t="s">
        <v>5252</v>
      </c>
      <c r="E1102" t="s">
        <v>5497</v>
      </c>
      <c r="F1102" t="s">
        <v>5496</v>
      </c>
      <c r="G1102" t="s">
        <v>5495</v>
      </c>
      <c r="H1102" t="s">
        <v>5494</v>
      </c>
      <c r="I1102" t="s">
        <v>9102</v>
      </c>
      <c r="K1102" t="s">
        <v>224</v>
      </c>
      <c r="L1102" t="s">
        <v>165</v>
      </c>
      <c r="N1102" t="str">
        <f t="shared" si="48"/>
        <v>Szanowna Pani</v>
      </c>
      <c r="Q1102" s="19" t="s">
        <v>9776</v>
      </c>
      <c r="U1102" t="str">
        <f t="shared" si="49"/>
        <v>tak</v>
      </c>
    </row>
    <row r="1103" spans="1:21">
      <c r="A1103">
        <v>1147</v>
      </c>
      <c r="B1103" t="s">
        <v>5342</v>
      </c>
      <c r="C1103" t="s">
        <v>5253</v>
      </c>
      <c r="D1103" t="s">
        <v>5254</v>
      </c>
      <c r="E1103" t="s">
        <v>5501</v>
      </c>
      <c r="F1103" t="s">
        <v>5500</v>
      </c>
      <c r="G1103" t="s">
        <v>5499</v>
      </c>
      <c r="H1103" t="s">
        <v>5498</v>
      </c>
      <c r="I1103" t="s">
        <v>9103</v>
      </c>
      <c r="K1103" t="s">
        <v>165</v>
      </c>
      <c r="N1103" t="str">
        <f t="shared" si="48"/>
        <v>Szanowna Pani</v>
      </c>
      <c r="P1103" s="19" t="s">
        <v>9776</v>
      </c>
      <c r="U1103" t="str">
        <f t="shared" si="49"/>
        <v>tak</v>
      </c>
    </row>
    <row r="1104" spans="1:21">
      <c r="A1104">
        <v>1148</v>
      </c>
      <c r="B1104" t="s">
        <v>5342</v>
      </c>
      <c r="C1104" t="s">
        <v>5255</v>
      </c>
      <c r="D1104" t="s">
        <v>5256</v>
      </c>
      <c r="E1104" t="s">
        <v>1621</v>
      </c>
      <c r="F1104" t="s">
        <v>5206</v>
      </c>
      <c r="G1104" t="s">
        <v>5503</v>
      </c>
      <c r="H1104" t="s">
        <v>5502</v>
      </c>
      <c r="I1104" t="s">
        <v>9104</v>
      </c>
      <c r="J1104" t="s">
        <v>5207</v>
      </c>
      <c r="K1104" t="s">
        <v>164</v>
      </c>
      <c r="N1104" t="str">
        <f t="shared" si="48"/>
        <v>Szanowna Pani</v>
      </c>
      <c r="O1104" s="19" t="s">
        <v>9776</v>
      </c>
      <c r="U1104" t="str">
        <f t="shared" si="49"/>
        <v>tak</v>
      </c>
    </row>
    <row r="1105" spans="1:21">
      <c r="A1105">
        <v>1149</v>
      </c>
      <c r="B1105" t="s">
        <v>5342</v>
      </c>
      <c r="C1105" t="s">
        <v>5257</v>
      </c>
      <c r="D1105" t="s">
        <v>5258</v>
      </c>
      <c r="E1105" t="s">
        <v>5259</v>
      </c>
      <c r="F1105" t="s">
        <v>5260</v>
      </c>
      <c r="G1105" t="s">
        <v>5506</v>
      </c>
      <c r="H1105" t="s">
        <v>5505</v>
      </c>
      <c r="I1105" t="s">
        <v>5504</v>
      </c>
      <c r="K1105" t="s">
        <v>164</v>
      </c>
      <c r="N1105" t="str">
        <f t="shared" si="48"/>
        <v>Szanowna Pani</v>
      </c>
      <c r="O1105" s="19" t="s">
        <v>9776</v>
      </c>
      <c r="U1105" t="str">
        <f t="shared" si="49"/>
        <v>tak</v>
      </c>
    </row>
    <row r="1106" spans="1:21">
      <c r="A1106">
        <v>1150</v>
      </c>
      <c r="B1106" t="s">
        <v>5342</v>
      </c>
      <c r="C1106" t="s">
        <v>5261</v>
      </c>
      <c r="D1106" t="s">
        <v>5262</v>
      </c>
      <c r="E1106" t="s">
        <v>5509</v>
      </c>
      <c r="F1106" t="s">
        <v>5266</v>
      </c>
      <c r="G1106" t="s">
        <v>5508</v>
      </c>
      <c r="H1106" t="s">
        <v>5507</v>
      </c>
      <c r="I1106" t="s">
        <v>9105</v>
      </c>
      <c r="J1106" t="s">
        <v>5263</v>
      </c>
      <c r="K1106" t="s">
        <v>164</v>
      </c>
      <c r="N1106" t="str">
        <f t="shared" si="48"/>
        <v>Szanowna Pani</v>
      </c>
      <c r="O1106" s="19" t="s">
        <v>9776</v>
      </c>
      <c r="U1106" t="str">
        <f t="shared" si="49"/>
        <v>tak</v>
      </c>
    </row>
    <row r="1107" spans="1:21">
      <c r="A1107">
        <v>1151</v>
      </c>
      <c r="B1107" t="s">
        <v>5342</v>
      </c>
      <c r="C1107" t="s">
        <v>5261</v>
      </c>
      <c r="D1107" t="s">
        <v>5264</v>
      </c>
      <c r="E1107" t="s">
        <v>5265</v>
      </c>
      <c r="F1107" t="s">
        <v>5266</v>
      </c>
      <c r="G1107" t="s">
        <v>5511</v>
      </c>
      <c r="H1107" t="s">
        <v>5510</v>
      </c>
      <c r="I1107" t="s">
        <v>9106</v>
      </c>
      <c r="K1107" t="s">
        <v>164</v>
      </c>
      <c r="N1107" t="str">
        <f t="shared" si="48"/>
        <v>Szanowna Pani</v>
      </c>
      <c r="O1107" s="19" t="s">
        <v>9776</v>
      </c>
      <c r="U1107" t="str">
        <f t="shared" si="49"/>
        <v>tak</v>
      </c>
    </row>
    <row r="1108" spans="1:21">
      <c r="A1108">
        <v>1152</v>
      </c>
      <c r="B1108" t="s">
        <v>5342</v>
      </c>
      <c r="C1108" t="s">
        <v>5261</v>
      </c>
      <c r="D1108" t="s">
        <v>5267</v>
      </c>
      <c r="E1108" t="s">
        <v>5514</v>
      </c>
      <c r="F1108" t="s">
        <v>5266</v>
      </c>
      <c r="G1108" t="s">
        <v>5513</v>
      </c>
      <c r="H1108" t="s">
        <v>5512</v>
      </c>
      <c r="I1108" s="15" t="s">
        <v>9720</v>
      </c>
      <c r="K1108" t="s">
        <v>5268</v>
      </c>
      <c r="N1108" t="str">
        <f t="shared" si="48"/>
        <v>Szanowna Pani</v>
      </c>
      <c r="P1108" s="19" t="s">
        <v>9776</v>
      </c>
      <c r="U1108" t="str">
        <f t="shared" si="49"/>
        <v>tak</v>
      </c>
    </row>
    <row r="1109" spans="1:21">
      <c r="A1109">
        <v>1153</v>
      </c>
      <c r="B1109" t="s">
        <v>5342</v>
      </c>
      <c r="C1109" t="s">
        <v>5261</v>
      </c>
      <c r="D1109" t="s">
        <v>5269</v>
      </c>
      <c r="E1109" t="s">
        <v>5514</v>
      </c>
      <c r="F1109" t="s">
        <v>5266</v>
      </c>
      <c r="G1109" t="s">
        <v>5513</v>
      </c>
      <c r="H1109" t="s">
        <v>5515</v>
      </c>
      <c r="I1109" s="15" t="s">
        <v>9720</v>
      </c>
      <c r="K1109" t="s">
        <v>5270</v>
      </c>
      <c r="N1109" t="str">
        <f t="shared" si="48"/>
        <v>Szanowna Pani</v>
      </c>
      <c r="O1109" s="19" t="s">
        <v>9776</v>
      </c>
      <c r="U1109" t="str">
        <f t="shared" si="49"/>
        <v>tak</v>
      </c>
    </row>
    <row r="1110" spans="1:21">
      <c r="A1110">
        <v>1154</v>
      </c>
      <c r="B1110" t="s">
        <v>5342</v>
      </c>
      <c r="C1110" t="s">
        <v>5271</v>
      </c>
      <c r="D1110" t="s">
        <v>5272</v>
      </c>
      <c r="E1110" t="s">
        <v>3644</v>
      </c>
      <c r="F1110" t="s">
        <v>5518</v>
      </c>
      <c r="G1110" t="s">
        <v>5517</v>
      </c>
      <c r="H1110" t="s">
        <v>5516</v>
      </c>
      <c r="I1110" t="s">
        <v>9107</v>
      </c>
      <c r="J1110" t="s">
        <v>5273</v>
      </c>
      <c r="K1110" t="s">
        <v>164</v>
      </c>
      <c r="N1110" t="str">
        <f t="shared" si="48"/>
        <v>Szanowna Pani</v>
      </c>
      <c r="O1110" s="19" t="s">
        <v>9776</v>
      </c>
      <c r="U1110" t="str">
        <f t="shared" si="49"/>
        <v>tak</v>
      </c>
    </row>
    <row r="1111" spans="1:21">
      <c r="A1111">
        <v>1155</v>
      </c>
      <c r="B1111" t="s">
        <v>5342</v>
      </c>
      <c r="C1111" t="s">
        <v>5274</v>
      </c>
      <c r="D1111" t="s">
        <v>5275</v>
      </c>
      <c r="E1111" t="s">
        <v>5522</v>
      </c>
      <c r="F1111" t="s">
        <v>5521</v>
      </c>
      <c r="G1111" t="s">
        <v>5520</v>
      </c>
      <c r="H1111" t="s">
        <v>5519</v>
      </c>
      <c r="I1111" t="s">
        <v>9108</v>
      </c>
      <c r="J1111" t="s">
        <v>5276</v>
      </c>
      <c r="K1111" t="s">
        <v>164</v>
      </c>
      <c r="N1111" t="str">
        <f t="shared" ref="N1111:N1174" si="50">IF(ISERROR(FIND(",",H1111)),IF(MID(H1111,FIND(" ",H1111)-1,1)="a","Szanowna Pani","Szanowny Pan"), "Szanowne Panie")</f>
        <v>Szanowna Pani</v>
      </c>
      <c r="O1111" s="19" t="s">
        <v>9776</v>
      </c>
      <c r="U1111" t="str">
        <f t="shared" si="49"/>
        <v>tak</v>
      </c>
    </row>
    <row r="1112" spans="1:21">
      <c r="A1112">
        <v>1156</v>
      </c>
      <c r="B1112" t="s">
        <v>5342</v>
      </c>
      <c r="C1112" t="s">
        <v>5277</v>
      </c>
      <c r="D1112" t="s">
        <v>5278</v>
      </c>
      <c r="E1112" t="s">
        <v>5526</v>
      </c>
      <c r="F1112" t="s">
        <v>5525</v>
      </c>
      <c r="G1112" t="s">
        <v>5524</v>
      </c>
      <c r="H1112" t="s">
        <v>5523</v>
      </c>
      <c r="I1112" t="s">
        <v>9109</v>
      </c>
      <c r="J1112" t="s">
        <v>5279</v>
      </c>
      <c r="K1112" t="s">
        <v>164</v>
      </c>
      <c r="N1112" t="str">
        <f t="shared" si="50"/>
        <v>Szanowna Pani</v>
      </c>
      <c r="O1112" s="19" t="s">
        <v>9776</v>
      </c>
      <c r="U1112" t="str">
        <f t="shared" si="49"/>
        <v>tak</v>
      </c>
    </row>
    <row r="1113" spans="1:21">
      <c r="A1113">
        <v>1157</v>
      </c>
      <c r="B1113" t="s">
        <v>5342</v>
      </c>
      <c r="C1113" t="s">
        <v>5280</v>
      </c>
      <c r="D1113" t="s">
        <v>5281</v>
      </c>
      <c r="E1113" t="s">
        <v>5530</v>
      </c>
      <c r="F1113" t="s">
        <v>5529</v>
      </c>
      <c r="G1113" t="s">
        <v>5528</v>
      </c>
      <c r="H1113" t="s">
        <v>5527</v>
      </c>
      <c r="I1113" t="s">
        <v>9110</v>
      </c>
      <c r="J1113" t="s">
        <v>5282</v>
      </c>
      <c r="K1113" t="s">
        <v>164</v>
      </c>
      <c r="N1113" t="str">
        <f t="shared" si="50"/>
        <v>Szanowna Pani</v>
      </c>
      <c r="O1113" s="19" t="s">
        <v>9776</v>
      </c>
      <c r="U1113" t="str">
        <f t="shared" si="49"/>
        <v>tak</v>
      </c>
    </row>
    <row r="1114" spans="1:21">
      <c r="A1114">
        <v>1158</v>
      </c>
      <c r="B1114" t="s">
        <v>5342</v>
      </c>
      <c r="C1114" t="s">
        <v>5280</v>
      </c>
      <c r="D1114" t="s">
        <v>5281</v>
      </c>
      <c r="E1114" t="s">
        <v>5530</v>
      </c>
      <c r="F1114" t="s">
        <v>5529</v>
      </c>
      <c r="G1114" t="s">
        <v>5528</v>
      </c>
      <c r="H1114" t="s">
        <v>5531</v>
      </c>
      <c r="I1114" t="s">
        <v>9110</v>
      </c>
      <c r="J1114" t="s">
        <v>5282</v>
      </c>
      <c r="K1114" t="s">
        <v>224</v>
      </c>
      <c r="N1114" t="str">
        <f t="shared" si="50"/>
        <v>Szanowna Pani</v>
      </c>
      <c r="Q1114" s="19" t="s">
        <v>9776</v>
      </c>
      <c r="U1114" t="str">
        <f t="shared" si="49"/>
        <v>tak</v>
      </c>
    </row>
    <row r="1115" spans="1:21">
      <c r="A1115">
        <v>1159</v>
      </c>
      <c r="B1115" t="s">
        <v>5342</v>
      </c>
      <c r="C1115" t="s">
        <v>5283</v>
      </c>
      <c r="D1115" t="s">
        <v>5284</v>
      </c>
      <c r="E1115" t="s">
        <v>5535</v>
      </c>
      <c r="F1115" t="s">
        <v>5534</v>
      </c>
      <c r="G1115" t="s">
        <v>5533</v>
      </c>
      <c r="H1115" t="s">
        <v>5532</v>
      </c>
      <c r="I1115" t="s">
        <v>9111</v>
      </c>
      <c r="J1115" t="s">
        <v>5285</v>
      </c>
      <c r="K1115" t="s">
        <v>164</v>
      </c>
      <c r="N1115" t="str">
        <f t="shared" si="50"/>
        <v>Szanowna Pani</v>
      </c>
      <c r="O1115" s="19" t="s">
        <v>9776</v>
      </c>
      <c r="U1115" t="str">
        <f>+O1115 &amp;P1115&amp;Q1115</f>
        <v>tak</v>
      </c>
    </row>
    <row r="1116" spans="1:21">
      <c r="A1116">
        <v>1160</v>
      </c>
      <c r="B1116" t="s">
        <v>5342</v>
      </c>
      <c r="C1116" t="s">
        <v>5283</v>
      </c>
      <c r="D1116" t="s">
        <v>5286</v>
      </c>
      <c r="E1116" t="s">
        <v>5539</v>
      </c>
      <c r="F1116" t="s">
        <v>5538</v>
      </c>
      <c r="G1116" t="s">
        <v>5537</v>
      </c>
      <c r="H1116" t="s">
        <v>5536</v>
      </c>
      <c r="I1116" t="s">
        <v>9112</v>
      </c>
      <c r="J1116" t="s">
        <v>5285</v>
      </c>
      <c r="K1116" t="s">
        <v>165</v>
      </c>
      <c r="N1116" t="str">
        <f t="shared" si="50"/>
        <v>Szanowna Pani</v>
      </c>
      <c r="P1116" s="19" t="s">
        <v>9776</v>
      </c>
      <c r="U1116" t="str">
        <f t="shared" si="49"/>
        <v>tak</v>
      </c>
    </row>
    <row r="1117" spans="1:21">
      <c r="A1117">
        <v>1161</v>
      </c>
      <c r="B1117" t="s">
        <v>5342</v>
      </c>
      <c r="C1117" t="s">
        <v>5287</v>
      </c>
      <c r="D1117" t="s">
        <v>5288</v>
      </c>
      <c r="E1117" t="s">
        <v>5543</v>
      </c>
      <c r="F1117" t="s">
        <v>5542</v>
      </c>
      <c r="G1117" t="s">
        <v>5541</v>
      </c>
      <c r="H1117" t="s">
        <v>5540</v>
      </c>
      <c r="I1117" t="s">
        <v>9113</v>
      </c>
      <c r="J1117" t="s">
        <v>5289</v>
      </c>
      <c r="K1117" t="s">
        <v>164</v>
      </c>
      <c r="N1117" t="str">
        <f t="shared" si="50"/>
        <v>Szanowna Pani</v>
      </c>
      <c r="O1117" s="19" t="s">
        <v>9776</v>
      </c>
      <c r="U1117" t="str">
        <f t="shared" ref="U1117:U1135" si="51">+O1117 &amp;P1117&amp;Q1117</f>
        <v>tak</v>
      </c>
    </row>
    <row r="1118" spans="1:21">
      <c r="A1118">
        <v>1162</v>
      </c>
      <c r="B1118" t="s">
        <v>5342</v>
      </c>
      <c r="C1118" t="s">
        <v>5287</v>
      </c>
      <c r="D1118" t="s">
        <v>5290</v>
      </c>
      <c r="E1118" t="s">
        <v>5546</v>
      </c>
      <c r="F1118" t="s">
        <v>5542</v>
      </c>
      <c r="G1118" t="s">
        <v>5545</v>
      </c>
      <c r="H1118" t="s">
        <v>5544</v>
      </c>
      <c r="I1118" t="s">
        <v>9114</v>
      </c>
      <c r="J1118" t="s">
        <v>5289</v>
      </c>
      <c r="K1118" t="s">
        <v>224</v>
      </c>
      <c r="N1118" t="str">
        <f t="shared" si="50"/>
        <v>Szanowna Pani</v>
      </c>
      <c r="Q1118" s="19" t="s">
        <v>9776</v>
      </c>
      <c r="U1118" t="str">
        <f t="shared" si="51"/>
        <v>tak</v>
      </c>
    </row>
    <row r="1119" spans="1:21">
      <c r="A1119">
        <v>1163</v>
      </c>
      <c r="B1119" t="s">
        <v>5342</v>
      </c>
      <c r="C1119" t="s">
        <v>5291</v>
      </c>
      <c r="D1119" t="s">
        <v>5292</v>
      </c>
      <c r="F1119" t="s">
        <v>5293</v>
      </c>
      <c r="G1119" t="s">
        <v>5548</v>
      </c>
      <c r="H1119" t="s">
        <v>5547</v>
      </c>
      <c r="I1119" t="s">
        <v>9115</v>
      </c>
      <c r="K1119" t="s">
        <v>164</v>
      </c>
      <c r="N1119" t="str">
        <f t="shared" si="50"/>
        <v>Szanowna Pani</v>
      </c>
      <c r="O1119" s="19" t="s">
        <v>9776</v>
      </c>
      <c r="U1119" t="str">
        <f t="shared" si="51"/>
        <v>tak</v>
      </c>
    </row>
    <row r="1120" spans="1:21">
      <c r="A1120">
        <v>1164</v>
      </c>
      <c r="B1120" t="s">
        <v>5342</v>
      </c>
      <c r="C1120" t="s">
        <v>5294</v>
      </c>
      <c r="D1120" t="s">
        <v>5552</v>
      </c>
      <c r="E1120" t="s">
        <v>5551</v>
      </c>
      <c r="F1120" t="s">
        <v>5295</v>
      </c>
      <c r="G1120" t="s">
        <v>5550</v>
      </c>
      <c r="H1120" t="s">
        <v>5549</v>
      </c>
      <c r="I1120" t="s">
        <v>9116</v>
      </c>
      <c r="J1120" t="s">
        <v>5296</v>
      </c>
      <c r="K1120" t="s">
        <v>165</v>
      </c>
      <c r="N1120" t="str">
        <f t="shared" si="50"/>
        <v>Szanowna Pani</v>
      </c>
      <c r="P1120" s="19" t="s">
        <v>9776</v>
      </c>
      <c r="U1120" t="str">
        <f t="shared" si="51"/>
        <v>tak</v>
      </c>
    </row>
    <row r="1121" spans="1:21">
      <c r="A1121">
        <v>1165</v>
      </c>
      <c r="B1121" t="s">
        <v>5342</v>
      </c>
      <c r="C1121" t="s">
        <v>5297</v>
      </c>
      <c r="D1121" t="s">
        <v>5298</v>
      </c>
      <c r="E1121" t="s">
        <v>5299</v>
      </c>
      <c r="F1121" t="s">
        <v>5300</v>
      </c>
      <c r="G1121" t="s">
        <v>5554</v>
      </c>
      <c r="H1121" t="s">
        <v>5553</v>
      </c>
      <c r="I1121" t="s">
        <v>9117</v>
      </c>
      <c r="J1121" t="s">
        <v>5301</v>
      </c>
      <c r="K1121" t="s">
        <v>164</v>
      </c>
      <c r="N1121" t="str">
        <f t="shared" si="50"/>
        <v>Szanowna Pani</v>
      </c>
      <c r="O1121" s="19" t="s">
        <v>9776</v>
      </c>
      <c r="U1121" t="str">
        <f t="shared" si="51"/>
        <v>tak</v>
      </c>
    </row>
    <row r="1122" spans="1:21">
      <c r="A1122">
        <v>1166</v>
      </c>
      <c r="B1122" t="s">
        <v>5342</v>
      </c>
      <c r="C1122" t="s">
        <v>5302</v>
      </c>
      <c r="D1122" t="s">
        <v>5303</v>
      </c>
      <c r="E1122" t="s">
        <v>5558</v>
      </c>
      <c r="F1122" t="s">
        <v>5557</v>
      </c>
      <c r="G1122" t="s">
        <v>5556</v>
      </c>
      <c r="H1122" t="s">
        <v>5555</v>
      </c>
      <c r="I1122" t="s">
        <v>9118</v>
      </c>
      <c r="J1122" t="s">
        <v>5304</v>
      </c>
      <c r="K1122" t="s">
        <v>164</v>
      </c>
      <c r="N1122" t="str">
        <f t="shared" si="50"/>
        <v>Szanowna Pani</v>
      </c>
      <c r="O1122" s="19" t="s">
        <v>9776</v>
      </c>
      <c r="U1122" t="str">
        <f t="shared" si="51"/>
        <v>tak</v>
      </c>
    </row>
    <row r="1123" spans="1:21">
      <c r="A1123">
        <v>1167</v>
      </c>
      <c r="B1123" t="s">
        <v>5342</v>
      </c>
      <c r="C1123" t="s">
        <v>5302</v>
      </c>
      <c r="D1123" t="s">
        <v>5303</v>
      </c>
      <c r="E1123" t="s">
        <v>5561</v>
      </c>
      <c r="F1123" t="s">
        <v>5305</v>
      </c>
      <c r="G1123" t="s">
        <v>5560</v>
      </c>
      <c r="H1123" t="s">
        <v>5559</v>
      </c>
      <c r="I1123" t="s">
        <v>9119</v>
      </c>
      <c r="K1123" t="s">
        <v>5306</v>
      </c>
      <c r="N1123" t="str">
        <f t="shared" si="50"/>
        <v>Szanowna Pani</v>
      </c>
      <c r="O1123" s="19" t="s">
        <v>9776</v>
      </c>
      <c r="U1123" t="str">
        <f t="shared" si="51"/>
        <v>tak</v>
      </c>
    </row>
    <row r="1124" spans="1:21">
      <c r="A1124">
        <v>1168</v>
      </c>
      <c r="B1124" t="s">
        <v>5342</v>
      </c>
      <c r="C1124" t="s">
        <v>5307</v>
      </c>
      <c r="D1124" t="s">
        <v>5308</v>
      </c>
      <c r="E1124" t="s">
        <v>4539</v>
      </c>
      <c r="F1124" t="s">
        <v>5564</v>
      </c>
      <c r="G1124" t="s">
        <v>5563</v>
      </c>
      <c r="H1124" t="s">
        <v>5562</v>
      </c>
      <c r="I1124" t="s">
        <v>9120</v>
      </c>
      <c r="K1124" t="s">
        <v>164</v>
      </c>
      <c r="N1124" t="str">
        <f t="shared" si="50"/>
        <v>Szanowna Pani</v>
      </c>
      <c r="O1124" s="19" t="s">
        <v>9776</v>
      </c>
      <c r="U1124" t="str">
        <f t="shared" si="51"/>
        <v>tak</v>
      </c>
    </row>
    <row r="1125" spans="1:21">
      <c r="A1125">
        <v>1169</v>
      </c>
      <c r="B1125" t="s">
        <v>5342</v>
      </c>
      <c r="C1125" t="s">
        <v>5307</v>
      </c>
      <c r="D1125" t="s">
        <v>5308</v>
      </c>
      <c r="E1125" t="s">
        <v>4539</v>
      </c>
      <c r="F1125" t="s">
        <v>5564</v>
      </c>
      <c r="G1125" t="s">
        <v>5567</v>
      </c>
      <c r="H1125" t="s">
        <v>5566</v>
      </c>
      <c r="I1125" t="s">
        <v>5565</v>
      </c>
      <c r="K1125" t="s">
        <v>165</v>
      </c>
      <c r="N1125" t="str">
        <f t="shared" si="50"/>
        <v>Szanowna Pani</v>
      </c>
      <c r="P1125" s="19" t="s">
        <v>9776</v>
      </c>
      <c r="U1125" t="str">
        <f t="shared" si="51"/>
        <v>tak</v>
      </c>
    </row>
    <row r="1126" spans="1:21">
      <c r="A1126">
        <v>1170</v>
      </c>
      <c r="B1126" t="s">
        <v>5342</v>
      </c>
      <c r="C1126" t="s">
        <v>5309</v>
      </c>
      <c r="D1126" t="s">
        <v>5310</v>
      </c>
      <c r="E1126" t="s">
        <v>5311</v>
      </c>
      <c r="F1126" t="s">
        <v>5312</v>
      </c>
      <c r="G1126" t="s">
        <v>5569</v>
      </c>
      <c r="H1126" t="s">
        <v>5568</v>
      </c>
      <c r="I1126" t="s">
        <v>9121</v>
      </c>
      <c r="J1126" t="s">
        <v>5313</v>
      </c>
      <c r="K1126" t="s">
        <v>164</v>
      </c>
      <c r="N1126" t="str">
        <f t="shared" si="50"/>
        <v>Szanowny Pan</v>
      </c>
      <c r="O1126" s="19" t="s">
        <v>9776</v>
      </c>
      <c r="U1126" t="str">
        <f t="shared" si="51"/>
        <v>tak</v>
      </c>
    </row>
    <row r="1127" spans="1:21">
      <c r="A1127">
        <v>1171</v>
      </c>
      <c r="B1127" t="s">
        <v>5342</v>
      </c>
      <c r="C1127" t="s">
        <v>5314</v>
      </c>
      <c r="D1127" t="s">
        <v>5315</v>
      </c>
      <c r="E1127" t="s">
        <v>5573</v>
      </c>
      <c r="F1127" t="s">
        <v>5572</v>
      </c>
      <c r="G1127" t="s">
        <v>5571</v>
      </c>
      <c r="H1127" t="s">
        <v>5570</v>
      </c>
      <c r="I1127" t="s">
        <v>9122</v>
      </c>
      <c r="K1127" t="s">
        <v>164</v>
      </c>
      <c r="N1127" t="str">
        <f t="shared" si="50"/>
        <v>Szanowna Pani</v>
      </c>
      <c r="O1127" s="19" t="s">
        <v>9776</v>
      </c>
      <c r="U1127" t="str">
        <f t="shared" si="51"/>
        <v>tak</v>
      </c>
    </row>
    <row r="1128" spans="1:21">
      <c r="A1128">
        <v>1172</v>
      </c>
      <c r="B1128" t="s">
        <v>5342</v>
      </c>
      <c r="C1128" t="s">
        <v>5316</v>
      </c>
      <c r="D1128" t="s">
        <v>5317</v>
      </c>
      <c r="E1128" t="s">
        <v>5577</v>
      </c>
      <c r="F1128" t="s">
        <v>5576</v>
      </c>
      <c r="G1128" t="s">
        <v>5575</v>
      </c>
      <c r="H1128" t="s">
        <v>5574</v>
      </c>
      <c r="I1128" t="s">
        <v>9123</v>
      </c>
      <c r="K1128" t="s">
        <v>224</v>
      </c>
      <c r="N1128" t="str">
        <f t="shared" si="50"/>
        <v>Szanowna Pani</v>
      </c>
      <c r="Q1128" s="19" t="s">
        <v>9776</v>
      </c>
      <c r="U1128" t="str">
        <f t="shared" si="51"/>
        <v>tak</v>
      </c>
    </row>
    <row r="1129" spans="1:21">
      <c r="A1129">
        <v>1173</v>
      </c>
      <c r="B1129" t="s">
        <v>5342</v>
      </c>
      <c r="C1129" t="s">
        <v>5318</v>
      </c>
      <c r="D1129" t="s">
        <v>5319</v>
      </c>
      <c r="E1129" t="s">
        <v>5581</v>
      </c>
      <c r="F1129" t="s">
        <v>5580</v>
      </c>
      <c r="G1129" t="s">
        <v>5579</v>
      </c>
      <c r="H1129" t="s">
        <v>5578</v>
      </c>
      <c r="I1129" t="s">
        <v>9124</v>
      </c>
      <c r="J1129" t="s">
        <v>5207</v>
      </c>
      <c r="K1129" t="s">
        <v>164</v>
      </c>
      <c r="N1129" t="str">
        <f t="shared" si="50"/>
        <v>Szanowna Pani</v>
      </c>
      <c r="O1129" s="19" t="s">
        <v>9776</v>
      </c>
      <c r="U1129" t="str">
        <f t="shared" si="51"/>
        <v>tak</v>
      </c>
    </row>
    <row r="1130" spans="1:21">
      <c r="A1130">
        <v>1174</v>
      </c>
      <c r="B1130" t="s">
        <v>5342</v>
      </c>
      <c r="C1130" t="s">
        <v>5320</v>
      </c>
      <c r="D1130" t="s">
        <v>5321</v>
      </c>
      <c r="E1130" t="s">
        <v>5585</v>
      </c>
      <c r="F1130" t="s">
        <v>5584</v>
      </c>
      <c r="G1130" t="s">
        <v>5583</v>
      </c>
      <c r="H1130" t="s">
        <v>5582</v>
      </c>
      <c r="I1130" t="s">
        <v>9125</v>
      </c>
      <c r="J1130" t="s">
        <v>5322</v>
      </c>
      <c r="K1130" t="s">
        <v>164</v>
      </c>
      <c r="N1130" t="str">
        <f t="shared" si="50"/>
        <v>Szanowna Pani</v>
      </c>
      <c r="O1130" s="19" t="s">
        <v>9776</v>
      </c>
      <c r="U1130" t="str">
        <f t="shared" si="51"/>
        <v>tak</v>
      </c>
    </row>
    <row r="1131" spans="1:21">
      <c r="A1131">
        <v>1175</v>
      </c>
      <c r="B1131" t="s">
        <v>5342</v>
      </c>
      <c r="C1131" t="s">
        <v>5323</v>
      </c>
      <c r="D1131" t="s">
        <v>5324</v>
      </c>
      <c r="E1131" t="s">
        <v>5589</v>
      </c>
      <c r="F1131" t="s">
        <v>5588</v>
      </c>
      <c r="G1131" t="s">
        <v>5587</v>
      </c>
      <c r="H1131" t="s">
        <v>5586</v>
      </c>
      <c r="I1131" s="15" t="s">
        <v>9724</v>
      </c>
      <c r="J1131" t="s">
        <v>5325</v>
      </c>
      <c r="K1131" t="s">
        <v>164</v>
      </c>
      <c r="N1131" t="str">
        <f t="shared" si="50"/>
        <v>Szanowna Pani</v>
      </c>
      <c r="O1131" s="19" t="s">
        <v>9776</v>
      </c>
      <c r="U1131" t="str">
        <f t="shared" si="51"/>
        <v>tak</v>
      </c>
    </row>
    <row r="1132" spans="1:21">
      <c r="A1132">
        <v>1176</v>
      </c>
      <c r="B1132" t="s">
        <v>5342</v>
      </c>
      <c r="C1132" t="s">
        <v>5323</v>
      </c>
      <c r="D1132" t="s">
        <v>5326</v>
      </c>
      <c r="E1132" t="s">
        <v>5592</v>
      </c>
      <c r="F1132" t="s">
        <v>5588</v>
      </c>
      <c r="G1132" t="s">
        <v>5591</v>
      </c>
      <c r="H1132" t="s">
        <v>5590</v>
      </c>
      <c r="I1132" t="s">
        <v>9126</v>
      </c>
      <c r="K1132" t="s">
        <v>164</v>
      </c>
      <c r="N1132" t="str">
        <f t="shared" si="50"/>
        <v>Szanowna Pani</v>
      </c>
      <c r="O1132" s="19" t="s">
        <v>9776</v>
      </c>
      <c r="U1132" t="str">
        <f t="shared" si="51"/>
        <v>tak</v>
      </c>
    </row>
    <row r="1133" spans="1:21">
      <c r="A1133">
        <v>1177</v>
      </c>
      <c r="B1133" t="s">
        <v>5342</v>
      </c>
      <c r="C1133" t="s">
        <v>5327</v>
      </c>
      <c r="D1133" t="s">
        <v>5328</v>
      </c>
      <c r="F1133" t="s">
        <v>5329</v>
      </c>
      <c r="G1133" t="s">
        <v>5594</v>
      </c>
      <c r="H1133" t="s">
        <v>5593</v>
      </c>
      <c r="I1133" t="s">
        <v>9127</v>
      </c>
      <c r="K1133" t="s">
        <v>165</v>
      </c>
      <c r="L1133" t="s">
        <v>164</v>
      </c>
      <c r="N1133" t="str">
        <f t="shared" si="50"/>
        <v>Szanowna Pani</v>
      </c>
      <c r="P1133" s="19" t="s">
        <v>9776</v>
      </c>
      <c r="U1133" t="str">
        <f t="shared" si="51"/>
        <v>tak</v>
      </c>
    </row>
    <row r="1134" spans="1:21">
      <c r="A1134">
        <v>1178</v>
      </c>
      <c r="B1134" t="s">
        <v>5342</v>
      </c>
      <c r="C1134" t="s">
        <v>5330</v>
      </c>
      <c r="D1134" t="s">
        <v>5331</v>
      </c>
      <c r="E1134" t="s">
        <v>5598</v>
      </c>
      <c r="F1134" t="s">
        <v>5597</v>
      </c>
      <c r="G1134" t="s">
        <v>5596</v>
      </c>
      <c r="H1134" t="s">
        <v>5595</v>
      </c>
      <c r="I1134" t="s">
        <v>9128</v>
      </c>
      <c r="J1134" t="s">
        <v>5332</v>
      </c>
      <c r="K1134" t="s">
        <v>165</v>
      </c>
      <c r="N1134" t="str">
        <f t="shared" si="50"/>
        <v>Szanowna Pani</v>
      </c>
      <c r="P1134" s="19" t="s">
        <v>9776</v>
      </c>
      <c r="U1134" t="str">
        <f t="shared" si="51"/>
        <v>tak</v>
      </c>
    </row>
    <row r="1135" spans="1:21">
      <c r="A1135">
        <v>1179</v>
      </c>
      <c r="B1135" t="s">
        <v>5342</v>
      </c>
      <c r="C1135" t="s">
        <v>5333</v>
      </c>
      <c r="D1135" t="s">
        <v>5334</v>
      </c>
      <c r="E1135" t="s">
        <v>5602</v>
      </c>
      <c r="F1135" t="s">
        <v>5601</v>
      </c>
      <c r="G1135" t="s">
        <v>5600</v>
      </c>
      <c r="H1135" t="s">
        <v>5599</v>
      </c>
      <c r="I1135" t="s">
        <v>9129</v>
      </c>
      <c r="K1135" t="s">
        <v>164</v>
      </c>
      <c r="N1135" t="str">
        <f t="shared" si="50"/>
        <v>Szanowna Pani</v>
      </c>
      <c r="O1135" s="19" t="s">
        <v>9776</v>
      </c>
      <c r="U1135" t="str">
        <f t="shared" si="51"/>
        <v>tak</v>
      </c>
    </row>
    <row r="1136" spans="1:21">
      <c r="A1136">
        <v>1180</v>
      </c>
      <c r="B1136" t="s">
        <v>5342</v>
      </c>
      <c r="C1136" t="s">
        <v>5335</v>
      </c>
      <c r="D1136" t="s">
        <v>5336</v>
      </c>
      <c r="E1136" t="s">
        <v>5606</v>
      </c>
      <c r="F1136" t="s">
        <v>5605</v>
      </c>
      <c r="G1136" t="s">
        <v>5604</v>
      </c>
      <c r="H1136" t="s">
        <v>5603</v>
      </c>
      <c r="I1136" t="s">
        <v>9130</v>
      </c>
      <c r="J1136" t="s">
        <v>5337</v>
      </c>
      <c r="K1136" t="s">
        <v>164</v>
      </c>
      <c r="N1136" t="str">
        <f t="shared" si="50"/>
        <v>Szanowna Pani</v>
      </c>
      <c r="O1136" s="19" t="s">
        <v>9776</v>
      </c>
      <c r="U1136" t="str">
        <f>+O1136 &amp;P1136&amp;Q1136</f>
        <v>tak</v>
      </c>
    </row>
    <row r="1137" spans="1:21">
      <c r="A1137">
        <v>1181</v>
      </c>
      <c r="B1137" t="s">
        <v>5342</v>
      </c>
      <c r="C1137" t="s">
        <v>5338</v>
      </c>
      <c r="D1137" t="s">
        <v>5339</v>
      </c>
      <c r="E1137" t="s">
        <v>5340</v>
      </c>
      <c r="F1137" t="s">
        <v>5341</v>
      </c>
      <c r="G1137" t="s">
        <v>5608</v>
      </c>
      <c r="H1137" t="s">
        <v>5607</v>
      </c>
      <c r="I1137" t="s">
        <v>9131</v>
      </c>
      <c r="K1137" t="s">
        <v>224</v>
      </c>
      <c r="L1137" t="s">
        <v>165</v>
      </c>
      <c r="N1137" t="str">
        <f t="shared" si="50"/>
        <v>Szanowna Pani</v>
      </c>
      <c r="Q1137" s="19" t="s">
        <v>9776</v>
      </c>
      <c r="U1137" t="str">
        <f t="shared" ref="U1137:U1158" si="52">+O1137 &amp;P1137&amp;Q1137</f>
        <v>tak</v>
      </c>
    </row>
    <row r="1138" spans="1:21">
      <c r="A1138">
        <v>1182</v>
      </c>
      <c r="B1138" t="s">
        <v>5342</v>
      </c>
      <c r="C1138" t="s">
        <v>5342</v>
      </c>
      <c r="D1138" t="s">
        <v>5343</v>
      </c>
      <c r="E1138" t="s">
        <v>5613</v>
      </c>
      <c r="F1138" t="s">
        <v>5612</v>
      </c>
      <c r="G1138" t="s">
        <v>5611</v>
      </c>
      <c r="H1138" t="s">
        <v>5610</v>
      </c>
      <c r="I1138" t="s">
        <v>9132</v>
      </c>
      <c r="J1138" t="s">
        <v>689</v>
      </c>
      <c r="K1138" t="s">
        <v>5609</v>
      </c>
      <c r="N1138" t="str">
        <f t="shared" si="50"/>
        <v>Szanowne Panie</v>
      </c>
      <c r="P1138" s="19" t="s">
        <v>9776</v>
      </c>
      <c r="Q1138" s="19" t="s">
        <v>9776</v>
      </c>
      <c r="U1138" t="str">
        <f t="shared" si="52"/>
        <v>taktak</v>
      </c>
    </row>
    <row r="1139" spans="1:21">
      <c r="A1139">
        <v>1183</v>
      </c>
      <c r="B1139" t="s">
        <v>5342</v>
      </c>
      <c r="C1139" t="s">
        <v>5342</v>
      </c>
      <c r="D1139" t="s">
        <v>5344</v>
      </c>
      <c r="E1139" t="s">
        <v>5616</v>
      </c>
      <c r="F1139" t="s">
        <v>5352</v>
      </c>
      <c r="G1139" t="s">
        <v>5615</v>
      </c>
      <c r="H1139" t="s">
        <v>5614</v>
      </c>
      <c r="I1139" t="s">
        <v>9133</v>
      </c>
      <c r="J1139" t="s">
        <v>689</v>
      </c>
      <c r="K1139" t="s">
        <v>164</v>
      </c>
      <c r="N1139" t="str">
        <f t="shared" si="50"/>
        <v>Szanowna Pani</v>
      </c>
      <c r="O1139" s="19" t="s">
        <v>9776</v>
      </c>
      <c r="U1139" t="str">
        <f t="shared" si="52"/>
        <v>tak</v>
      </c>
    </row>
    <row r="1140" spans="1:21">
      <c r="A1140">
        <v>1184</v>
      </c>
      <c r="B1140" t="s">
        <v>5342</v>
      </c>
      <c r="C1140" t="s">
        <v>5342</v>
      </c>
      <c r="D1140" t="s">
        <v>5345</v>
      </c>
      <c r="E1140" t="s">
        <v>5346</v>
      </c>
      <c r="F1140" t="s">
        <v>5347</v>
      </c>
      <c r="G1140" t="s">
        <v>5618</v>
      </c>
      <c r="H1140" t="s">
        <v>5617</v>
      </c>
      <c r="I1140" t="s">
        <v>9134</v>
      </c>
      <c r="J1140" t="s">
        <v>689</v>
      </c>
      <c r="K1140" t="s">
        <v>164</v>
      </c>
      <c r="N1140" t="str">
        <f t="shared" si="50"/>
        <v>Szanowna Pani</v>
      </c>
      <c r="O1140" s="19" t="s">
        <v>9776</v>
      </c>
      <c r="U1140" t="str">
        <f t="shared" si="52"/>
        <v>tak</v>
      </c>
    </row>
    <row r="1141" spans="1:21">
      <c r="A1141">
        <v>1185</v>
      </c>
      <c r="B1141" t="s">
        <v>5342</v>
      </c>
      <c r="C1141" t="s">
        <v>5342</v>
      </c>
      <c r="D1141" t="s">
        <v>5348</v>
      </c>
      <c r="E1141" t="s">
        <v>5622</v>
      </c>
      <c r="F1141" t="s">
        <v>5621</v>
      </c>
      <c r="G1141" t="s">
        <v>5620</v>
      </c>
      <c r="H1141" t="s">
        <v>5619</v>
      </c>
      <c r="I1141" t="s">
        <v>9135</v>
      </c>
      <c r="J1141" t="s">
        <v>689</v>
      </c>
      <c r="K1141" t="s">
        <v>164</v>
      </c>
      <c r="N1141" t="str">
        <f t="shared" si="50"/>
        <v>Szanowna Pani</v>
      </c>
      <c r="O1141" s="19" t="s">
        <v>9776</v>
      </c>
      <c r="U1141" t="str">
        <f t="shared" si="52"/>
        <v>tak</v>
      </c>
    </row>
    <row r="1142" spans="1:21">
      <c r="A1142">
        <v>1186</v>
      </c>
      <c r="B1142" t="s">
        <v>5342</v>
      </c>
      <c r="C1142" t="s">
        <v>5342</v>
      </c>
      <c r="D1142" t="s">
        <v>5349</v>
      </c>
      <c r="E1142" t="s">
        <v>5626</v>
      </c>
      <c r="F1142" t="s">
        <v>5625</v>
      </c>
      <c r="G1142" t="s">
        <v>5624</v>
      </c>
      <c r="H1142" t="s">
        <v>5623</v>
      </c>
      <c r="I1142" t="s">
        <v>9136</v>
      </c>
      <c r="J1142" t="s">
        <v>689</v>
      </c>
      <c r="K1142" t="s">
        <v>164</v>
      </c>
      <c r="N1142" t="str">
        <f t="shared" si="50"/>
        <v>Szanowna Pani</v>
      </c>
      <c r="O1142" s="19" t="s">
        <v>9776</v>
      </c>
      <c r="U1142" t="str">
        <f t="shared" si="52"/>
        <v>tak</v>
      </c>
    </row>
    <row r="1143" spans="1:21">
      <c r="A1143">
        <v>1187</v>
      </c>
      <c r="B1143" t="s">
        <v>5342</v>
      </c>
      <c r="C1143" t="s">
        <v>5342</v>
      </c>
      <c r="D1143" t="s">
        <v>5350</v>
      </c>
      <c r="E1143" t="s">
        <v>5351</v>
      </c>
      <c r="F1143" t="s">
        <v>5352</v>
      </c>
      <c r="G1143" t="s">
        <v>5629</v>
      </c>
      <c r="H1143" t="s">
        <v>5628</v>
      </c>
      <c r="I1143" t="s">
        <v>5627</v>
      </c>
      <c r="J1143" t="s">
        <v>689</v>
      </c>
      <c r="K1143" t="s">
        <v>164</v>
      </c>
      <c r="N1143" t="str">
        <f t="shared" si="50"/>
        <v>Szanowna Pani</v>
      </c>
      <c r="O1143" s="19" t="s">
        <v>9776</v>
      </c>
      <c r="U1143" t="str">
        <f t="shared" si="52"/>
        <v>tak</v>
      </c>
    </row>
    <row r="1144" spans="1:21">
      <c r="A1144">
        <v>1188</v>
      </c>
      <c r="B1144" t="s">
        <v>5342</v>
      </c>
      <c r="C1144" t="s">
        <v>5342</v>
      </c>
      <c r="D1144" t="s">
        <v>5350</v>
      </c>
      <c r="E1144" t="s">
        <v>5351</v>
      </c>
      <c r="F1144" t="s">
        <v>5352</v>
      </c>
      <c r="G1144" t="s">
        <v>5629</v>
      </c>
      <c r="H1144" t="s">
        <v>5628</v>
      </c>
      <c r="I1144" t="s">
        <v>5627</v>
      </c>
      <c r="J1144" t="s">
        <v>689</v>
      </c>
      <c r="K1144" t="s">
        <v>165</v>
      </c>
      <c r="N1144" t="str">
        <f t="shared" si="50"/>
        <v>Szanowna Pani</v>
      </c>
      <c r="P1144" s="19" t="s">
        <v>9776</v>
      </c>
      <c r="U1144" t="str">
        <f t="shared" si="52"/>
        <v>tak</v>
      </c>
    </row>
    <row r="1145" spans="1:21">
      <c r="A1145">
        <v>1189</v>
      </c>
      <c r="B1145" t="s">
        <v>5342</v>
      </c>
      <c r="C1145" t="s">
        <v>5342</v>
      </c>
      <c r="D1145" t="s">
        <v>5353</v>
      </c>
      <c r="E1145" t="s">
        <v>5633</v>
      </c>
      <c r="F1145" t="s">
        <v>5632</v>
      </c>
      <c r="G1145" t="s">
        <v>5631</v>
      </c>
      <c r="H1145" t="s">
        <v>5630</v>
      </c>
      <c r="I1145" t="s">
        <v>9137</v>
      </c>
      <c r="J1145" t="s">
        <v>689</v>
      </c>
      <c r="K1145" t="s">
        <v>164</v>
      </c>
      <c r="N1145" t="str">
        <f t="shared" si="50"/>
        <v>Szanowna Pani</v>
      </c>
      <c r="O1145" s="19" t="s">
        <v>9776</v>
      </c>
      <c r="U1145" t="str">
        <f t="shared" si="52"/>
        <v>tak</v>
      </c>
    </row>
    <row r="1146" spans="1:21">
      <c r="A1146">
        <v>1190</v>
      </c>
      <c r="B1146" t="s">
        <v>5342</v>
      </c>
      <c r="C1146" t="s">
        <v>5342</v>
      </c>
      <c r="D1146" t="s">
        <v>5354</v>
      </c>
      <c r="E1146" t="s">
        <v>5637</v>
      </c>
      <c r="F1146" t="s">
        <v>5636</v>
      </c>
      <c r="G1146" t="s">
        <v>5635</v>
      </c>
      <c r="H1146" t="s">
        <v>5634</v>
      </c>
      <c r="I1146" t="s">
        <v>9138</v>
      </c>
      <c r="J1146" t="s">
        <v>689</v>
      </c>
      <c r="K1146" t="s">
        <v>164</v>
      </c>
      <c r="N1146" t="str">
        <f t="shared" si="50"/>
        <v>Szanowna Pani</v>
      </c>
      <c r="O1146" s="19" t="s">
        <v>9776</v>
      </c>
      <c r="U1146" t="str">
        <f t="shared" si="52"/>
        <v>tak</v>
      </c>
    </row>
    <row r="1147" spans="1:21">
      <c r="A1147">
        <v>1191</v>
      </c>
      <c r="B1147" t="s">
        <v>5342</v>
      </c>
      <c r="C1147" t="s">
        <v>5342</v>
      </c>
      <c r="D1147" t="s">
        <v>5355</v>
      </c>
      <c r="E1147" t="s">
        <v>5641</v>
      </c>
      <c r="F1147" t="s">
        <v>5640</v>
      </c>
      <c r="G1147" t="s">
        <v>5639</v>
      </c>
      <c r="H1147" t="s">
        <v>5638</v>
      </c>
      <c r="I1147" t="s">
        <v>9139</v>
      </c>
      <c r="J1147" t="s">
        <v>689</v>
      </c>
      <c r="K1147" t="s">
        <v>5356</v>
      </c>
      <c r="N1147" t="str">
        <f t="shared" si="50"/>
        <v>Szanowna Pani</v>
      </c>
      <c r="Q1147" s="19" t="s">
        <v>9776</v>
      </c>
      <c r="U1147" t="str">
        <f t="shared" si="52"/>
        <v>tak</v>
      </c>
    </row>
    <row r="1148" spans="1:21">
      <c r="A1148">
        <v>1192</v>
      </c>
      <c r="B1148" t="s">
        <v>5342</v>
      </c>
      <c r="C1148" t="s">
        <v>5342</v>
      </c>
      <c r="D1148" t="s">
        <v>5357</v>
      </c>
      <c r="E1148" t="s">
        <v>5645</v>
      </c>
      <c r="F1148" t="s">
        <v>5644</v>
      </c>
      <c r="G1148" t="s">
        <v>5643</v>
      </c>
      <c r="H1148" t="s">
        <v>5642</v>
      </c>
      <c r="I1148" t="s">
        <v>9140</v>
      </c>
      <c r="J1148" t="s">
        <v>689</v>
      </c>
      <c r="K1148" t="s">
        <v>5358</v>
      </c>
      <c r="N1148" t="str">
        <f t="shared" si="50"/>
        <v>Szanowna Pani</v>
      </c>
      <c r="P1148" s="19" t="s">
        <v>9776</v>
      </c>
      <c r="U1148" t="str">
        <f t="shared" si="52"/>
        <v>tak</v>
      </c>
    </row>
    <row r="1149" spans="1:21">
      <c r="A1149">
        <v>1193</v>
      </c>
      <c r="B1149" t="s">
        <v>5342</v>
      </c>
      <c r="C1149" t="s">
        <v>5359</v>
      </c>
      <c r="D1149" t="s">
        <v>251</v>
      </c>
      <c r="E1149" t="s">
        <v>5649</v>
      </c>
      <c r="F1149" t="s">
        <v>5648</v>
      </c>
      <c r="G1149" t="s">
        <v>5647</v>
      </c>
      <c r="H1149" t="s">
        <v>5646</v>
      </c>
      <c r="I1149" t="s">
        <v>9141</v>
      </c>
      <c r="J1149" t="s">
        <v>5360</v>
      </c>
      <c r="K1149" t="s">
        <v>164</v>
      </c>
      <c r="N1149" t="str">
        <f t="shared" si="50"/>
        <v>Szanowna Pani</v>
      </c>
      <c r="O1149" s="19" t="s">
        <v>9776</v>
      </c>
      <c r="U1149" t="str">
        <f t="shared" si="52"/>
        <v>tak</v>
      </c>
    </row>
    <row r="1150" spans="1:21">
      <c r="A1150">
        <v>1194</v>
      </c>
      <c r="B1150" t="s">
        <v>5342</v>
      </c>
      <c r="C1150" t="s">
        <v>5359</v>
      </c>
      <c r="D1150" t="s">
        <v>251</v>
      </c>
      <c r="E1150" t="s">
        <v>5649</v>
      </c>
      <c r="F1150" t="s">
        <v>5648</v>
      </c>
      <c r="G1150" t="s">
        <v>5647</v>
      </c>
      <c r="H1150" t="s">
        <v>5650</v>
      </c>
      <c r="I1150" t="s">
        <v>9142</v>
      </c>
      <c r="J1150" t="s">
        <v>5360</v>
      </c>
      <c r="K1150" t="s">
        <v>224</v>
      </c>
      <c r="N1150" t="str">
        <f t="shared" si="50"/>
        <v>Szanowna Pani</v>
      </c>
      <c r="Q1150" s="19" t="s">
        <v>9776</v>
      </c>
      <c r="U1150" t="str">
        <f t="shared" si="52"/>
        <v>tak</v>
      </c>
    </row>
    <row r="1151" spans="1:21">
      <c r="A1151">
        <v>1195</v>
      </c>
      <c r="B1151" t="s">
        <v>5342</v>
      </c>
      <c r="C1151" t="s">
        <v>5361</v>
      </c>
      <c r="D1151" t="s">
        <v>5362</v>
      </c>
      <c r="E1151" t="s">
        <v>5654</v>
      </c>
      <c r="F1151" t="s">
        <v>5653</v>
      </c>
      <c r="G1151" t="s">
        <v>5652</v>
      </c>
      <c r="H1151" t="s">
        <v>5651</v>
      </c>
      <c r="I1151" t="s">
        <v>9143</v>
      </c>
      <c r="J1151" t="s">
        <v>5363</v>
      </c>
      <c r="K1151" t="s">
        <v>224</v>
      </c>
      <c r="N1151" t="str">
        <f t="shared" si="50"/>
        <v>Szanowna Pani</v>
      </c>
      <c r="Q1151" s="19" t="s">
        <v>9776</v>
      </c>
      <c r="U1151" t="str">
        <f t="shared" si="52"/>
        <v>tak</v>
      </c>
    </row>
    <row r="1152" spans="1:21">
      <c r="A1152">
        <v>1196</v>
      </c>
      <c r="B1152" t="s">
        <v>5342</v>
      </c>
      <c r="C1152" t="s">
        <v>5361</v>
      </c>
      <c r="D1152" t="s">
        <v>5362</v>
      </c>
      <c r="E1152" t="s">
        <v>5654</v>
      </c>
      <c r="F1152" t="s">
        <v>5653</v>
      </c>
      <c r="G1152" t="s">
        <v>5652</v>
      </c>
      <c r="H1152" t="s">
        <v>5655</v>
      </c>
      <c r="I1152" t="s">
        <v>9144</v>
      </c>
      <c r="J1152" t="s">
        <v>5363</v>
      </c>
      <c r="K1152" t="s">
        <v>164</v>
      </c>
      <c r="N1152" t="str">
        <f t="shared" si="50"/>
        <v>Szanowna Pani</v>
      </c>
      <c r="O1152" s="19" t="s">
        <v>9776</v>
      </c>
      <c r="U1152" t="str">
        <f t="shared" si="52"/>
        <v>tak</v>
      </c>
    </row>
    <row r="1153" spans="1:21">
      <c r="A1153">
        <v>1197</v>
      </c>
      <c r="B1153" t="s">
        <v>5342</v>
      </c>
      <c r="C1153" t="s">
        <v>5364</v>
      </c>
      <c r="D1153" t="s">
        <v>5365</v>
      </c>
      <c r="E1153" t="s">
        <v>5659</v>
      </c>
      <c r="F1153" t="s">
        <v>5658</v>
      </c>
      <c r="G1153" t="s">
        <v>5657</v>
      </c>
      <c r="H1153" t="s">
        <v>5656</v>
      </c>
      <c r="I1153" t="s">
        <v>9145</v>
      </c>
      <c r="K1153" t="s">
        <v>1016</v>
      </c>
      <c r="L1153" t="s">
        <v>165</v>
      </c>
      <c r="N1153" t="str">
        <f t="shared" si="50"/>
        <v>Szanowna Pani</v>
      </c>
      <c r="Q1153" s="19" t="s">
        <v>9776</v>
      </c>
      <c r="U1153" t="str">
        <f t="shared" si="52"/>
        <v>tak</v>
      </c>
    </row>
    <row r="1154" spans="1:21">
      <c r="A1154">
        <v>1198</v>
      </c>
      <c r="B1154" t="s">
        <v>5342</v>
      </c>
      <c r="C1154" t="s">
        <v>5366</v>
      </c>
      <c r="D1154" t="s">
        <v>5367</v>
      </c>
      <c r="E1154" t="s">
        <v>5663</v>
      </c>
      <c r="F1154" t="s">
        <v>5662</v>
      </c>
      <c r="G1154" t="s">
        <v>5661</v>
      </c>
      <c r="H1154" t="s">
        <v>5660</v>
      </c>
      <c r="I1154" t="s">
        <v>9146</v>
      </c>
      <c r="J1154" t="s">
        <v>5368</v>
      </c>
      <c r="K1154" t="s">
        <v>165</v>
      </c>
      <c r="N1154" t="str">
        <f t="shared" si="50"/>
        <v>Szanowna Pani</v>
      </c>
      <c r="P1154" s="19" t="s">
        <v>9776</v>
      </c>
      <c r="U1154" t="str">
        <f t="shared" si="52"/>
        <v>tak</v>
      </c>
    </row>
    <row r="1155" spans="1:21">
      <c r="A1155">
        <v>1199</v>
      </c>
      <c r="B1155" t="s">
        <v>5342</v>
      </c>
      <c r="C1155" t="s">
        <v>5366</v>
      </c>
      <c r="D1155" t="s">
        <v>5369</v>
      </c>
      <c r="E1155" t="s">
        <v>5666</v>
      </c>
      <c r="F1155" t="s">
        <v>5662</v>
      </c>
      <c r="G1155" t="s">
        <v>5665</v>
      </c>
      <c r="H1155" t="s">
        <v>5664</v>
      </c>
      <c r="I1155" t="s">
        <v>9147</v>
      </c>
      <c r="J1155" t="s">
        <v>5368</v>
      </c>
      <c r="K1155" t="s">
        <v>164</v>
      </c>
      <c r="N1155" t="str">
        <f t="shared" si="50"/>
        <v>Szanowna Pani</v>
      </c>
      <c r="O1155" s="19" t="s">
        <v>9776</v>
      </c>
      <c r="U1155" t="str">
        <f t="shared" si="52"/>
        <v>tak</v>
      </c>
    </row>
    <row r="1156" spans="1:21">
      <c r="A1156">
        <v>1200</v>
      </c>
      <c r="B1156" t="s">
        <v>5342</v>
      </c>
      <c r="C1156" t="s">
        <v>5370</v>
      </c>
      <c r="D1156" t="s">
        <v>5371</v>
      </c>
      <c r="E1156" t="s">
        <v>5670</v>
      </c>
      <c r="F1156" t="s">
        <v>5669</v>
      </c>
      <c r="G1156" t="s">
        <v>5668</v>
      </c>
      <c r="H1156" t="s">
        <v>5667</v>
      </c>
      <c r="I1156" t="s">
        <v>9148</v>
      </c>
      <c r="J1156" t="s">
        <v>5372</v>
      </c>
      <c r="K1156" t="s">
        <v>164</v>
      </c>
      <c r="N1156" t="str">
        <f t="shared" si="50"/>
        <v>Szanowna Pani</v>
      </c>
      <c r="O1156" s="19" t="s">
        <v>9776</v>
      </c>
      <c r="U1156" t="str">
        <f t="shared" si="52"/>
        <v>tak</v>
      </c>
    </row>
    <row r="1157" spans="1:21">
      <c r="A1157">
        <v>1201</v>
      </c>
      <c r="B1157" t="s">
        <v>5342</v>
      </c>
      <c r="C1157" t="s">
        <v>5373</v>
      </c>
      <c r="D1157" t="s">
        <v>5374</v>
      </c>
      <c r="E1157" t="s">
        <v>5674</v>
      </c>
      <c r="F1157" t="s">
        <v>5673</v>
      </c>
      <c r="G1157" t="s">
        <v>5672</v>
      </c>
      <c r="H1157" t="s">
        <v>5671</v>
      </c>
      <c r="I1157" t="s">
        <v>9149</v>
      </c>
      <c r="J1157" t="s">
        <v>5375</v>
      </c>
      <c r="K1157" t="s">
        <v>164</v>
      </c>
      <c r="N1157" t="str">
        <f t="shared" si="50"/>
        <v>Szanowna Pani</v>
      </c>
      <c r="O1157" s="19" t="s">
        <v>9776</v>
      </c>
      <c r="U1157" t="str">
        <f t="shared" si="52"/>
        <v>tak</v>
      </c>
    </row>
    <row r="1158" spans="1:21">
      <c r="A1158">
        <v>1202</v>
      </c>
      <c r="B1158" t="s">
        <v>5342</v>
      </c>
      <c r="C1158" t="s">
        <v>5376</v>
      </c>
      <c r="D1158" t="s">
        <v>5377</v>
      </c>
      <c r="E1158" t="s">
        <v>5678</v>
      </c>
      <c r="F1158" t="s">
        <v>5677</v>
      </c>
      <c r="G1158" t="s">
        <v>5676</v>
      </c>
      <c r="H1158" t="s">
        <v>5675</v>
      </c>
      <c r="I1158" t="s">
        <v>9150</v>
      </c>
      <c r="K1158" t="s">
        <v>164</v>
      </c>
      <c r="N1158" t="str">
        <f t="shared" si="50"/>
        <v>Szanowna Pani</v>
      </c>
      <c r="O1158" s="19" t="s">
        <v>9776</v>
      </c>
      <c r="U1158" t="str">
        <f t="shared" si="52"/>
        <v>tak</v>
      </c>
    </row>
    <row r="1159" spans="1:21">
      <c r="A1159">
        <v>1203</v>
      </c>
      <c r="B1159" t="s">
        <v>5342</v>
      </c>
      <c r="C1159" t="s">
        <v>5378</v>
      </c>
      <c r="D1159" t="s">
        <v>5379</v>
      </c>
      <c r="E1159" t="s">
        <v>5681</v>
      </c>
      <c r="F1159" t="s">
        <v>5462</v>
      </c>
      <c r="G1159" t="s">
        <v>5680</v>
      </c>
      <c r="H1159" t="s">
        <v>5679</v>
      </c>
      <c r="I1159" t="s">
        <v>9151</v>
      </c>
      <c r="J1159" t="s">
        <v>5234</v>
      </c>
      <c r="K1159" t="s">
        <v>164</v>
      </c>
      <c r="N1159" t="str">
        <f t="shared" si="50"/>
        <v>Szanowna Pani</v>
      </c>
      <c r="O1159" s="19" t="s">
        <v>9776</v>
      </c>
      <c r="U1159" t="str">
        <f>+O1159 &amp;P1159&amp;Q1159</f>
        <v>tak</v>
      </c>
    </row>
    <row r="1160" spans="1:21">
      <c r="A1160">
        <v>1204</v>
      </c>
      <c r="B1160" t="s">
        <v>5342</v>
      </c>
      <c r="C1160" t="s">
        <v>5380</v>
      </c>
      <c r="D1160" t="s">
        <v>5381</v>
      </c>
      <c r="E1160" t="s">
        <v>5684</v>
      </c>
      <c r="F1160" t="s">
        <v>5683</v>
      </c>
      <c r="G1160" t="s">
        <v>5682</v>
      </c>
      <c r="H1160" t="s">
        <v>3879</v>
      </c>
      <c r="I1160" t="s">
        <v>9152</v>
      </c>
      <c r="J1160" t="s">
        <v>5382</v>
      </c>
      <c r="K1160" t="s">
        <v>224</v>
      </c>
      <c r="N1160" t="str">
        <f t="shared" si="50"/>
        <v>Szanowna Pani</v>
      </c>
      <c r="Q1160" s="19" t="s">
        <v>9776</v>
      </c>
      <c r="U1160" t="str">
        <f t="shared" ref="U1160:U1179" si="53">+O1160 &amp;P1160&amp;Q1160</f>
        <v>tak</v>
      </c>
    </row>
    <row r="1161" spans="1:21">
      <c r="A1161">
        <v>1205</v>
      </c>
      <c r="B1161" t="s">
        <v>5342</v>
      </c>
      <c r="C1161" t="s">
        <v>5383</v>
      </c>
      <c r="D1161" t="s">
        <v>5384</v>
      </c>
      <c r="E1161" t="s">
        <v>5688</v>
      </c>
      <c r="F1161" t="s">
        <v>5687</v>
      </c>
      <c r="G1161" t="s">
        <v>5686</v>
      </c>
      <c r="H1161" t="s">
        <v>5685</v>
      </c>
      <c r="I1161" t="s">
        <v>9153</v>
      </c>
      <c r="J1161" t="s">
        <v>5207</v>
      </c>
      <c r="K1161" t="s">
        <v>164</v>
      </c>
      <c r="N1161" t="str">
        <f t="shared" si="50"/>
        <v>Szanowna Pani</v>
      </c>
      <c r="O1161" s="19" t="s">
        <v>9776</v>
      </c>
      <c r="S1161" t="s">
        <v>9721</v>
      </c>
      <c r="U1161" t="str">
        <f t="shared" si="53"/>
        <v>tak</v>
      </c>
    </row>
    <row r="1162" spans="1:21">
      <c r="A1162">
        <v>1206</v>
      </c>
      <c r="B1162" t="s">
        <v>5342</v>
      </c>
      <c r="C1162" t="s">
        <v>5385</v>
      </c>
      <c r="D1162" t="s">
        <v>5386</v>
      </c>
      <c r="E1162" t="s">
        <v>5691</v>
      </c>
      <c r="F1162" t="s">
        <v>5542</v>
      </c>
      <c r="G1162" t="s">
        <v>5690</v>
      </c>
      <c r="H1162" t="s">
        <v>5689</v>
      </c>
      <c r="I1162" t="s">
        <v>9154</v>
      </c>
      <c r="K1162" t="s">
        <v>164</v>
      </c>
      <c r="N1162" t="str">
        <f t="shared" si="50"/>
        <v>Szanowna Pani</v>
      </c>
      <c r="O1162" s="19" t="s">
        <v>9776</v>
      </c>
      <c r="U1162" t="str">
        <f t="shared" si="53"/>
        <v>tak</v>
      </c>
    </row>
    <row r="1163" spans="1:21">
      <c r="A1163">
        <v>1207</v>
      </c>
      <c r="B1163" t="s">
        <v>5342</v>
      </c>
      <c r="C1163" t="s">
        <v>5387</v>
      </c>
      <c r="D1163" t="s">
        <v>5388</v>
      </c>
      <c r="E1163" t="s">
        <v>5694</v>
      </c>
      <c r="F1163" t="s">
        <v>5693</v>
      </c>
      <c r="G1163" t="s">
        <v>5692</v>
      </c>
      <c r="H1163" t="s">
        <v>3334</v>
      </c>
      <c r="I1163" t="s">
        <v>9155</v>
      </c>
      <c r="K1163" t="s">
        <v>224</v>
      </c>
      <c r="L1163" t="s">
        <v>165</v>
      </c>
      <c r="N1163" t="str">
        <f t="shared" si="50"/>
        <v>Szanowna Pani</v>
      </c>
      <c r="Q1163" s="19" t="s">
        <v>9776</v>
      </c>
      <c r="U1163" t="str">
        <f t="shared" si="53"/>
        <v>tak</v>
      </c>
    </row>
    <row r="1164" spans="1:21">
      <c r="A1164">
        <v>1208</v>
      </c>
      <c r="B1164" t="s">
        <v>5342</v>
      </c>
      <c r="C1164" t="s">
        <v>5389</v>
      </c>
      <c r="D1164" t="s">
        <v>5390</v>
      </c>
      <c r="E1164" t="s">
        <v>5699</v>
      </c>
      <c r="F1164" t="s">
        <v>5698</v>
      </c>
      <c r="G1164" t="s">
        <v>5697</v>
      </c>
      <c r="H1164" t="s">
        <v>5696</v>
      </c>
      <c r="I1164" t="s">
        <v>5695</v>
      </c>
      <c r="K1164" t="s">
        <v>165</v>
      </c>
      <c r="N1164" t="str">
        <f t="shared" si="50"/>
        <v>Szanowna Pani</v>
      </c>
      <c r="P1164" s="19" t="s">
        <v>9776</v>
      </c>
      <c r="U1164" t="str">
        <f t="shared" si="53"/>
        <v>tak</v>
      </c>
    </row>
    <row r="1165" spans="1:21">
      <c r="A1165">
        <v>1209</v>
      </c>
      <c r="B1165" t="s">
        <v>5342</v>
      </c>
      <c r="C1165" t="s">
        <v>5391</v>
      </c>
      <c r="D1165" t="s">
        <v>5392</v>
      </c>
      <c r="E1165" t="s">
        <v>5705</v>
      </c>
      <c r="F1165" t="s">
        <v>5704</v>
      </c>
      <c r="G1165" t="s">
        <v>5703</v>
      </c>
      <c r="H1165" t="s">
        <v>5429</v>
      </c>
      <c r="I1165" t="s">
        <v>9086</v>
      </c>
      <c r="K1165" t="s">
        <v>5700</v>
      </c>
      <c r="L1165" t="s">
        <v>5701</v>
      </c>
      <c r="M1165" t="s">
        <v>5702</v>
      </c>
      <c r="N1165" t="str">
        <f t="shared" si="50"/>
        <v>Szanowna Pani</v>
      </c>
      <c r="P1165" s="19" t="s">
        <v>9776</v>
      </c>
      <c r="U1165" t="str">
        <f t="shared" si="53"/>
        <v>tak</v>
      </c>
    </row>
    <row r="1166" spans="1:21">
      <c r="A1166">
        <v>1210</v>
      </c>
      <c r="B1166" t="s">
        <v>5342</v>
      </c>
      <c r="C1166" t="s">
        <v>5393</v>
      </c>
      <c r="D1166" t="s">
        <v>5394</v>
      </c>
      <c r="E1166" t="s">
        <v>5709</v>
      </c>
      <c r="F1166" t="s">
        <v>5708</v>
      </c>
      <c r="G1166" t="s">
        <v>5707</v>
      </c>
      <c r="H1166" t="s">
        <v>5706</v>
      </c>
      <c r="I1166" t="s">
        <v>9156</v>
      </c>
      <c r="J1166" t="s">
        <v>5395</v>
      </c>
      <c r="K1166" t="s">
        <v>164</v>
      </c>
      <c r="N1166" t="str">
        <f t="shared" si="50"/>
        <v>Szanowna Pani</v>
      </c>
      <c r="O1166" s="19" t="s">
        <v>9776</v>
      </c>
      <c r="U1166" t="str">
        <f t="shared" si="53"/>
        <v>tak</v>
      </c>
    </row>
    <row r="1167" spans="1:21">
      <c r="A1167">
        <v>1211</v>
      </c>
      <c r="B1167" t="s">
        <v>5342</v>
      </c>
      <c r="C1167" t="s">
        <v>5396</v>
      </c>
      <c r="D1167" t="s">
        <v>5397</v>
      </c>
      <c r="E1167" t="s">
        <v>5713</v>
      </c>
      <c r="F1167" t="s">
        <v>5712</v>
      </c>
      <c r="G1167" t="s">
        <v>5711</v>
      </c>
      <c r="H1167" t="s">
        <v>5710</v>
      </c>
      <c r="I1167" t="s">
        <v>9157</v>
      </c>
      <c r="K1167" t="s">
        <v>164</v>
      </c>
      <c r="N1167" t="str">
        <f t="shared" si="50"/>
        <v>Szanowna Pani</v>
      </c>
      <c r="O1167" s="19" t="s">
        <v>9776</v>
      </c>
      <c r="U1167" t="str">
        <f t="shared" si="53"/>
        <v>tak</v>
      </c>
    </row>
    <row r="1168" spans="1:21">
      <c r="A1168">
        <v>1212</v>
      </c>
      <c r="B1168" t="s">
        <v>5342</v>
      </c>
      <c r="C1168" t="s">
        <v>5398</v>
      </c>
      <c r="D1168" t="s">
        <v>5399</v>
      </c>
      <c r="E1168" t="s">
        <v>5717</v>
      </c>
      <c r="F1168" t="s">
        <v>5716</v>
      </c>
      <c r="G1168" t="s">
        <v>5715</v>
      </c>
      <c r="H1168" t="s">
        <v>5714</v>
      </c>
      <c r="I1168" s="15" t="s">
        <v>9158</v>
      </c>
      <c r="K1168" t="s">
        <v>164</v>
      </c>
      <c r="N1168" t="str">
        <f t="shared" si="50"/>
        <v>Szanowna Pani</v>
      </c>
      <c r="O1168" s="19" t="s">
        <v>9776</v>
      </c>
      <c r="S1168" t="s">
        <v>9712</v>
      </c>
      <c r="U1168" t="str">
        <f t="shared" si="53"/>
        <v>tak</v>
      </c>
    </row>
    <row r="1169" spans="1:21">
      <c r="A1169">
        <v>1213</v>
      </c>
      <c r="B1169" t="s">
        <v>5342</v>
      </c>
      <c r="C1169" t="s">
        <v>5400</v>
      </c>
      <c r="D1169" t="s">
        <v>5721</v>
      </c>
      <c r="E1169" t="s">
        <v>5684</v>
      </c>
      <c r="F1169" t="s">
        <v>5720</v>
      </c>
      <c r="G1169" t="s">
        <v>5719</v>
      </c>
      <c r="H1169" t="s">
        <v>5718</v>
      </c>
      <c r="I1169" t="s">
        <v>9159</v>
      </c>
      <c r="J1169" t="s">
        <v>5401</v>
      </c>
      <c r="K1169" t="s">
        <v>164</v>
      </c>
      <c r="N1169" t="str">
        <f t="shared" si="50"/>
        <v>Szanowna Pani</v>
      </c>
      <c r="O1169" s="19" t="s">
        <v>9776</v>
      </c>
      <c r="U1169" t="str">
        <f t="shared" si="53"/>
        <v>tak</v>
      </c>
    </row>
    <row r="1170" spans="1:21">
      <c r="A1170">
        <v>1214</v>
      </c>
      <c r="B1170" t="s">
        <v>5342</v>
      </c>
      <c r="C1170" t="s">
        <v>5402</v>
      </c>
      <c r="D1170" t="s">
        <v>5403</v>
      </c>
      <c r="E1170" t="s">
        <v>5724</v>
      </c>
      <c r="F1170" t="s">
        <v>5226</v>
      </c>
      <c r="G1170" t="s">
        <v>5723</v>
      </c>
      <c r="H1170" t="s">
        <v>5722</v>
      </c>
      <c r="I1170" t="s">
        <v>9160</v>
      </c>
      <c r="J1170" t="s">
        <v>5201</v>
      </c>
      <c r="K1170" t="s">
        <v>165</v>
      </c>
      <c r="L1170" t="s">
        <v>224</v>
      </c>
      <c r="N1170" t="str">
        <f t="shared" si="50"/>
        <v>Szanowna Pani</v>
      </c>
      <c r="P1170" s="19" t="s">
        <v>9776</v>
      </c>
      <c r="U1170" t="str">
        <f t="shared" si="53"/>
        <v>tak</v>
      </c>
    </row>
    <row r="1171" spans="1:21">
      <c r="A1171">
        <v>1215</v>
      </c>
      <c r="B1171" t="s">
        <v>5897</v>
      </c>
      <c r="C1171" t="s">
        <v>5725</v>
      </c>
      <c r="D1171" t="s">
        <v>5961</v>
      </c>
      <c r="E1171" t="s">
        <v>5960</v>
      </c>
      <c r="F1171" t="s">
        <v>5959</v>
      </c>
      <c r="G1171" t="s">
        <v>5958</v>
      </c>
      <c r="H1171" t="s">
        <v>5957</v>
      </c>
      <c r="I1171" t="s">
        <v>9161</v>
      </c>
      <c r="K1171" t="s">
        <v>164</v>
      </c>
      <c r="N1171" t="str">
        <f t="shared" si="50"/>
        <v>Szanowna Pani</v>
      </c>
      <c r="O1171" s="19" t="s">
        <v>9776</v>
      </c>
      <c r="U1171" t="str">
        <f t="shared" si="53"/>
        <v>tak</v>
      </c>
    </row>
    <row r="1172" spans="1:21">
      <c r="A1172">
        <v>1216</v>
      </c>
      <c r="B1172" t="s">
        <v>5897</v>
      </c>
      <c r="C1172" t="s">
        <v>5726</v>
      </c>
      <c r="D1172" t="s">
        <v>6133</v>
      </c>
      <c r="E1172" t="s">
        <v>5727</v>
      </c>
      <c r="F1172" t="s">
        <v>5728</v>
      </c>
      <c r="G1172" t="s">
        <v>5963</v>
      </c>
      <c r="H1172" t="s">
        <v>5962</v>
      </c>
      <c r="I1172" t="s">
        <v>9162</v>
      </c>
      <c r="K1172" t="s">
        <v>164</v>
      </c>
      <c r="N1172" t="str">
        <f t="shared" si="50"/>
        <v>Szanowne Panie</v>
      </c>
      <c r="O1172" s="19" t="s">
        <v>9776</v>
      </c>
      <c r="U1172" t="str">
        <f t="shared" si="53"/>
        <v>tak</v>
      </c>
    </row>
    <row r="1173" spans="1:21">
      <c r="A1173">
        <v>1217</v>
      </c>
      <c r="B1173" t="s">
        <v>5897</v>
      </c>
      <c r="C1173" t="s">
        <v>5729</v>
      </c>
      <c r="D1173" t="s">
        <v>5730</v>
      </c>
      <c r="E1173" t="s">
        <v>5731</v>
      </c>
      <c r="F1173" t="s">
        <v>5732</v>
      </c>
      <c r="G1173">
        <v>957680124</v>
      </c>
      <c r="H1173" t="s">
        <v>5964</v>
      </c>
      <c r="I1173" t="s">
        <v>9163</v>
      </c>
      <c r="K1173" t="s">
        <v>164</v>
      </c>
      <c r="N1173" t="str">
        <f t="shared" si="50"/>
        <v>Szanowna Pani</v>
      </c>
      <c r="O1173" s="19" t="s">
        <v>9776</v>
      </c>
      <c r="U1173" t="str">
        <f t="shared" si="53"/>
        <v>tak</v>
      </c>
    </row>
    <row r="1174" spans="1:21">
      <c r="A1174">
        <v>1218</v>
      </c>
      <c r="B1174" t="s">
        <v>5897</v>
      </c>
      <c r="C1174" t="s">
        <v>5733</v>
      </c>
      <c r="D1174" t="s">
        <v>5734</v>
      </c>
      <c r="E1174" t="s">
        <v>5735</v>
      </c>
      <c r="F1174" t="s">
        <v>5736</v>
      </c>
      <c r="G1174" t="s">
        <v>5966</v>
      </c>
      <c r="H1174" t="s">
        <v>5965</v>
      </c>
      <c r="I1174" t="s">
        <v>9164</v>
      </c>
      <c r="K1174" t="s">
        <v>165</v>
      </c>
      <c r="N1174" t="str">
        <f t="shared" si="50"/>
        <v>Szanowna Pani</v>
      </c>
      <c r="P1174" s="19" t="s">
        <v>9776</v>
      </c>
      <c r="U1174" t="str">
        <f t="shared" si="53"/>
        <v>tak</v>
      </c>
    </row>
    <row r="1175" spans="1:21">
      <c r="A1175">
        <v>1219</v>
      </c>
      <c r="B1175" t="s">
        <v>5897</v>
      </c>
      <c r="C1175" t="s">
        <v>5737</v>
      </c>
      <c r="D1175" t="s">
        <v>246</v>
      </c>
      <c r="E1175" t="s">
        <v>5738</v>
      </c>
      <c r="F1175" t="s">
        <v>5739</v>
      </c>
      <c r="G1175" t="s">
        <v>5968</v>
      </c>
      <c r="H1175" t="s">
        <v>5967</v>
      </c>
      <c r="I1175" t="s">
        <v>9165</v>
      </c>
      <c r="K1175" t="s">
        <v>224</v>
      </c>
      <c r="L1175" t="s">
        <v>164</v>
      </c>
      <c r="N1175" t="str">
        <f t="shared" ref="N1175:N1238" si="54">IF(ISERROR(FIND(",",H1175)),IF(MID(H1175,FIND(" ",H1175)-1,1)="a","Szanowna Pani","Szanowny Pan"), "Szanowne Panie")</f>
        <v>Szanowna Pani</v>
      </c>
      <c r="Q1175" s="19" t="s">
        <v>9776</v>
      </c>
      <c r="U1175" t="str">
        <f t="shared" si="53"/>
        <v>tak</v>
      </c>
    </row>
    <row r="1176" spans="1:21">
      <c r="A1176">
        <v>1220</v>
      </c>
      <c r="B1176" t="s">
        <v>5897</v>
      </c>
      <c r="C1176" t="s">
        <v>5740</v>
      </c>
      <c r="D1176" t="s">
        <v>5741</v>
      </c>
      <c r="E1176" t="s">
        <v>5972</v>
      </c>
      <c r="F1176" t="s">
        <v>5971</v>
      </c>
      <c r="G1176" t="s">
        <v>5970</v>
      </c>
      <c r="H1176" t="s">
        <v>5969</v>
      </c>
      <c r="I1176" t="s">
        <v>9166</v>
      </c>
      <c r="K1176" t="s">
        <v>164</v>
      </c>
      <c r="N1176" t="str">
        <f t="shared" si="54"/>
        <v>Szanowna Pani</v>
      </c>
      <c r="O1176" s="19" t="s">
        <v>9776</v>
      </c>
      <c r="U1176" t="str">
        <f t="shared" si="53"/>
        <v>tak</v>
      </c>
    </row>
    <row r="1177" spans="1:21">
      <c r="A1177">
        <v>1221</v>
      </c>
      <c r="B1177" t="s">
        <v>5897</v>
      </c>
      <c r="C1177" t="s">
        <v>5742</v>
      </c>
      <c r="D1177" t="s">
        <v>9668</v>
      </c>
      <c r="E1177" t="s">
        <v>9669</v>
      </c>
      <c r="F1177" t="s">
        <v>5743</v>
      </c>
      <c r="G1177" t="s">
        <v>5974</v>
      </c>
      <c r="H1177" t="s">
        <v>5973</v>
      </c>
      <c r="I1177" t="s">
        <v>9167</v>
      </c>
      <c r="K1177" t="s">
        <v>164</v>
      </c>
      <c r="N1177" t="str">
        <f t="shared" si="54"/>
        <v>Szanowna Pani</v>
      </c>
      <c r="O1177" s="19" t="s">
        <v>9776</v>
      </c>
      <c r="U1177" t="str">
        <f t="shared" si="53"/>
        <v>tak</v>
      </c>
    </row>
    <row r="1178" spans="1:21">
      <c r="A1178">
        <v>1222</v>
      </c>
      <c r="B1178" t="s">
        <v>5897</v>
      </c>
      <c r="C1178" t="s">
        <v>5742</v>
      </c>
      <c r="D1178" t="s">
        <v>9668</v>
      </c>
      <c r="E1178" t="s">
        <v>9669</v>
      </c>
      <c r="F1178" t="s">
        <v>5743</v>
      </c>
      <c r="G1178" t="s">
        <v>5974</v>
      </c>
      <c r="H1178" t="s">
        <v>5973</v>
      </c>
      <c r="I1178" t="s">
        <v>9167</v>
      </c>
      <c r="K1178" t="s">
        <v>224</v>
      </c>
      <c r="N1178" t="str">
        <f t="shared" si="54"/>
        <v>Szanowna Pani</v>
      </c>
      <c r="Q1178" s="19" t="s">
        <v>9776</v>
      </c>
      <c r="U1178" t="str">
        <f t="shared" si="53"/>
        <v>tak</v>
      </c>
    </row>
    <row r="1179" spans="1:21">
      <c r="A1179">
        <v>1223</v>
      </c>
      <c r="B1179" t="s">
        <v>5897</v>
      </c>
      <c r="C1179" t="s">
        <v>5744</v>
      </c>
      <c r="D1179" t="s">
        <v>251</v>
      </c>
      <c r="E1179" t="s">
        <v>5745</v>
      </c>
      <c r="F1179" t="s">
        <v>5746</v>
      </c>
      <c r="G1179" t="s">
        <v>5976</v>
      </c>
      <c r="H1179" t="s">
        <v>5975</v>
      </c>
      <c r="I1179" t="s">
        <v>9168</v>
      </c>
      <c r="K1179" t="s">
        <v>164</v>
      </c>
      <c r="N1179" t="str">
        <f t="shared" si="54"/>
        <v>Szanowna Pani</v>
      </c>
      <c r="O1179" s="19" t="s">
        <v>9776</v>
      </c>
      <c r="U1179" t="str">
        <f t="shared" si="53"/>
        <v>tak</v>
      </c>
    </row>
    <row r="1180" spans="1:21">
      <c r="A1180">
        <v>1224</v>
      </c>
      <c r="B1180" t="s">
        <v>5897</v>
      </c>
      <c r="C1180" t="s">
        <v>5744</v>
      </c>
      <c r="D1180" t="s">
        <v>251</v>
      </c>
      <c r="E1180" t="s">
        <v>5745</v>
      </c>
      <c r="F1180" t="s">
        <v>5746</v>
      </c>
      <c r="G1180" t="s">
        <v>5978</v>
      </c>
      <c r="H1180" t="s">
        <v>5977</v>
      </c>
      <c r="I1180" t="s">
        <v>9169</v>
      </c>
      <c r="K1180" t="s">
        <v>165</v>
      </c>
      <c r="N1180" t="str">
        <f t="shared" si="54"/>
        <v>Szanowna Pani</v>
      </c>
      <c r="P1180" s="19" t="s">
        <v>9776</v>
      </c>
      <c r="U1180" t="str">
        <f>+O1180 &amp;P1180&amp;Q1180</f>
        <v>tak</v>
      </c>
    </row>
    <row r="1181" spans="1:21">
      <c r="A1181">
        <v>1225</v>
      </c>
      <c r="B1181" t="s">
        <v>5897</v>
      </c>
      <c r="C1181" t="s">
        <v>5744</v>
      </c>
      <c r="D1181" t="s">
        <v>251</v>
      </c>
      <c r="E1181" t="s">
        <v>5745</v>
      </c>
      <c r="F1181" t="s">
        <v>5746</v>
      </c>
      <c r="G1181" t="s">
        <v>5978</v>
      </c>
      <c r="H1181" t="s">
        <v>5979</v>
      </c>
      <c r="I1181" t="s">
        <v>9170</v>
      </c>
      <c r="K1181" t="s">
        <v>164</v>
      </c>
      <c r="N1181" t="str">
        <f t="shared" si="54"/>
        <v>Szanowna Pani</v>
      </c>
      <c r="O1181" s="19" t="s">
        <v>9776</v>
      </c>
      <c r="U1181" t="str">
        <f t="shared" ref="U1181:U1198" si="55">+O1181 &amp;P1181&amp;Q1181</f>
        <v>tak</v>
      </c>
    </row>
    <row r="1182" spans="1:21">
      <c r="A1182">
        <v>1226</v>
      </c>
      <c r="B1182" t="s">
        <v>5897</v>
      </c>
      <c r="C1182" t="s">
        <v>5747</v>
      </c>
      <c r="D1182" t="s">
        <v>5748</v>
      </c>
      <c r="E1182" t="s">
        <v>5749</v>
      </c>
      <c r="F1182" t="s">
        <v>5750</v>
      </c>
      <c r="G1182" t="s">
        <v>5981</v>
      </c>
      <c r="H1182" t="s">
        <v>5980</v>
      </c>
      <c r="I1182" t="s">
        <v>9171</v>
      </c>
      <c r="K1182" t="s">
        <v>164</v>
      </c>
      <c r="N1182" t="str">
        <f t="shared" si="54"/>
        <v>Szanowna Pani</v>
      </c>
      <c r="O1182" s="19" t="s">
        <v>9776</v>
      </c>
      <c r="U1182" t="str">
        <f t="shared" si="55"/>
        <v>tak</v>
      </c>
    </row>
    <row r="1183" spans="1:21">
      <c r="A1183">
        <v>1227</v>
      </c>
      <c r="B1183" t="s">
        <v>5897</v>
      </c>
      <c r="C1183" t="s">
        <v>5751</v>
      </c>
      <c r="D1183" t="s">
        <v>5752</v>
      </c>
      <c r="E1183" t="s">
        <v>5753</v>
      </c>
      <c r="F1183" t="s">
        <v>5754</v>
      </c>
      <c r="G1183" t="s">
        <v>5983</v>
      </c>
      <c r="H1183" t="s">
        <v>5982</v>
      </c>
      <c r="I1183" t="s">
        <v>9172</v>
      </c>
      <c r="K1183" t="s">
        <v>164</v>
      </c>
      <c r="N1183" t="str">
        <f t="shared" si="54"/>
        <v>Szanowna Pani</v>
      </c>
      <c r="O1183" s="19" t="s">
        <v>9776</v>
      </c>
      <c r="U1183" t="str">
        <f t="shared" si="55"/>
        <v>tak</v>
      </c>
    </row>
    <row r="1184" spans="1:21">
      <c r="A1184">
        <v>1228</v>
      </c>
      <c r="B1184" t="s">
        <v>5897</v>
      </c>
      <c r="C1184" t="s">
        <v>5751</v>
      </c>
      <c r="D1184" t="s">
        <v>5752</v>
      </c>
      <c r="E1184" t="s">
        <v>5753</v>
      </c>
      <c r="F1184" t="s">
        <v>5754</v>
      </c>
      <c r="G1184" t="s">
        <v>5983</v>
      </c>
      <c r="H1184" t="s">
        <v>5984</v>
      </c>
      <c r="I1184" t="s">
        <v>9173</v>
      </c>
      <c r="K1184" t="s">
        <v>565</v>
      </c>
      <c r="L1184" t="s">
        <v>165</v>
      </c>
      <c r="M1184" t="s">
        <v>224</v>
      </c>
      <c r="N1184" t="str">
        <f t="shared" si="54"/>
        <v>Szanowna Pani</v>
      </c>
      <c r="P1184" s="19" t="s">
        <v>9776</v>
      </c>
      <c r="Q1184" s="19" t="s">
        <v>9776</v>
      </c>
      <c r="U1184" t="str">
        <f t="shared" si="55"/>
        <v>taktak</v>
      </c>
    </row>
    <row r="1185" spans="1:21">
      <c r="A1185">
        <v>1229</v>
      </c>
      <c r="B1185" t="s">
        <v>5897</v>
      </c>
      <c r="C1185" t="s">
        <v>5755</v>
      </c>
      <c r="D1185" t="s">
        <v>5756</v>
      </c>
      <c r="E1185" t="s">
        <v>5757</v>
      </c>
      <c r="F1185" t="s">
        <v>5758</v>
      </c>
      <c r="G1185" t="s">
        <v>5986</v>
      </c>
      <c r="H1185" t="s">
        <v>5985</v>
      </c>
      <c r="K1185" t="s">
        <v>164</v>
      </c>
      <c r="N1185" t="str">
        <f t="shared" si="54"/>
        <v>Szanowna Pani</v>
      </c>
      <c r="O1185" s="19" t="s">
        <v>9776</v>
      </c>
      <c r="U1185" t="str">
        <f t="shared" si="55"/>
        <v>tak</v>
      </c>
    </row>
    <row r="1186" spans="1:21">
      <c r="A1186">
        <v>1230</v>
      </c>
      <c r="B1186" t="s">
        <v>5897</v>
      </c>
      <c r="C1186" t="s">
        <v>5759</v>
      </c>
      <c r="D1186" t="s">
        <v>9670</v>
      </c>
      <c r="E1186" t="s">
        <v>9671</v>
      </c>
      <c r="F1186" t="s">
        <v>5736</v>
      </c>
      <c r="G1186" t="s">
        <v>5988</v>
      </c>
      <c r="H1186" t="s">
        <v>5987</v>
      </c>
      <c r="I1186" t="s">
        <v>9174</v>
      </c>
      <c r="K1186" t="s">
        <v>565</v>
      </c>
      <c r="L1186" t="s">
        <v>165</v>
      </c>
      <c r="M1186" t="s">
        <v>224</v>
      </c>
      <c r="N1186" t="str">
        <f t="shared" si="54"/>
        <v>Szanowna Pani</v>
      </c>
      <c r="P1186" s="19" t="s">
        <v>9776</v>
      </c>
      <c r="Q1186" s="19" t="s">
        <v>9776</v>
      </c>
      <c r="U1186" t="str">
        <f t="shared" si="55"/>
        <v>taktak</v>
      </c>
    </row>
    <row r="1187" spans="1:21">
      <c r="A1187">
        <v>1231</v>
      </c>
      <c r="B1187" t="s">
        <v>5897</v>
      </c>
      <c r="C1187" t="s">
        <v>5760</v>
      </c>
      <c r="D1187" t="s">
        <v>5992</v>
      </c>
      <c r="E1187" t="s">
        <v>5991</v>
      </c>
      <c r="F1187" t="s">
        <v>5763</v>
      </c>
      <c r="G1187" t="s">
        <v>5990</v>
      </c>
      <c r="H1187" t="s">
        <v>5989</v>
      </c>
      <c r="I1187" t="s">
        <v>9175</v>
      </c>
      <c r="K1187" t="s">
        <v>164</v>
      </c>
      <c r="N1187" t="str">
        <f t="shared" si="54"/>
        <v>Szanowna Pani</v>
      </c>
      <c r="O1187" s="19" t="s">
        <v>9776</v>
      </c>
      <c r="U1187" t="str">
        <f t="shared" si="55"/>
        <v>tak</v>
      </c>
    </row>
    <row r="1188" spans="1:21">
      <c r="A1188">
        <v>1232</v>
      </c>
      <c r="B1188" t="s">
        <v>5897</v>
      </c>
      <c r="C1188" t="s">
        <v>5760</v>
      </c>
      <c r="D1188" t="s">
        <v>5992</v>
      </c>
      <c r="E1188" t="s">
        <v>5991</v>
      </c>
      <c r="F1188" t="s">
        <v>5763</v>
      </c>
      <c r="G1188" t="s">
        <v>5990</v>
      </c>
      <c r="H1188" t="s">
        <v>5993</v>
      </c>
      <c r="I1188" t="s">
        <v>9175</v>
      </c>
      <c r="K1188" t="s">
        <v>164</v>
      </c>
      <c r="N1188" t="str">
        <f t="shared" si="54"/>
        <v>Szanowna Pani</v>
      </c>
      <c r="O1188" s="19" t="s">
        <v>9776</v>
      </c>
      <c r="U1188" t="str">
        <f t="shared" si="55"/>
        <v>tak</v>
      </c>
    </row>
    <row r="1189" spans="1:21">
      <c r="A1189">
        <v>1233</v>
      </c>
      <c r="B1189" t="s">
        <v>5897</v>
      </c>
      <c r="C1189" t="s">
        <v>5760</v>
      </c>
      <c r="D1189" t="s">
        <v>5992</v>
      </c>
      <c r="E1189" t="s">
        <v>5991</v>
      </c>
      <c r="F1189" t="s">
        <v>5763</v>
      </c>
      <c r="G1189" t="s">
        <v>5990</v>
      </c>
      <c r="H1189" t="s">
        <v>5994</v>
      </c>
      <c r="I1189" t="s">
        <v>9175</v>
      </c>
      <c r="K1189" t="s">
        <v>164</v>
      </c>
      <c r="N1189" t="str">
        <f t="shared" si="54"/>
        <v>Szanowna Pani</v>
      </c>
      <c r="O1189" s="19" t="s">
        <v>9776</v>
      </c>
      <c r="U1189" t="str">
        <f t="shared" si="55"/>
        <v>tak</v>
      </c>
    </row>
    <row r="1190" spans="1:21">
      <c r="A1190">
        <v>1234</v>
      </c>
      <c r="B1190" t="s">
        <v>5897</v>
      </c>
      <c r="C1190" t="s">
        <v>5760</v>
      </c>
      <c r="D1190" t="s">
        <v>5992</v>
      </c>
      <c r="E1190" t="s">
        <v>5991</v>
      </c>
      <c r="F1190" t="s">
        <v>5763</v>
      </c>
      <c r="G1190" t="s">
        <v>5990</v>
      </c>
      <c r="H1190" t="s">
        <v>5995</v>
      </c>
      <c r="I1190" t="s">
        <v>9175</v>
      </c>
      <c r="K1190" t="s">
        <v>565</v>
      </c>
      <c r="L1190" t="s">
        <v>165</v>
      </c>
      <c r="M1190" t="s">
        <v>224</v>
      </c>
      <c r="N1190" t="str">
        <f t="shared" si="54"/>
        <v>Szanowna Pani</v>
      </c>
      <c r="P1190" s="19" t="s">
        <v>9776</v>
      </c>
      <c r="Q1190" s="19" t="s">
        <v>9776</v>
      </c>
      <c r="U1190" t="str">
        <f t="shared" si="55"/>
        <v>taktak</v>
      </c>
    </row>
    <row r="1191" spans="1:21">
      <c r="A1191">
        <v>1235</v>
      </c>
      <c r="B1191" t="s">
        <v>5897</v>
      </c>
      <c r="C1191" t="s">
        <v>5760</v>
      </c>
      <c r="D1191" t="s">
        <v>5761</v>
      </c>
      <c r="E1191" t="s">
        <v>5762</v>
      </c>
      <c r="F1191" t="s">
        <v>5763</v>
      </c>
      <c r="G1191" t="s">
        <v>5997</v>
      </c>
      <c r="H1191" t="s">
        <v>5996</v>
      </c>
      <c r="I1191" t="s">
        <v>9176</v>
      </c>
      <c r="K1191" t="s">
        <v>165</v>
      </c>
      <c r="N1191" t="str">
        <f t="shared" si="54"/>
        <v>Szanowna Pani</v>
      </c>
      <c r="P1191" s="19" t="s">
        <v>9776</v>
      </c>
      <c r="U1191" t="str">
        <f t="shared" si="55"/>
        <v>tak</v>
      </c>
    </row>
    <row r="1192" spans="1:21">
      <c r="A1192">
        <v>1236</v>
      </c>
      <c r="B1192" t="s">
        <v>5897</v>
      </c>
      <c r="C1192" t="s">
        <v>5764</v>
      </c>
      <c r="D1192" t="s">
        <v>5765</v>
      </c>
      <c r="E1192" t="s">
        <v>5766</v>
      </c>
      <c r="F1192" t="s">
        <v>5736</v>
      </c>
      <c r="G1192" t="s">
        <v>5999</v>
      </c>
      <c r="H1192" t="s">
        <v>5998</v>
      </c>
      <c r="I1192" t="s">
        <v>9177</v>
      </c>
      <c r="K1192" t="s">
        <v>565</v>
      </c>
      <c r="L1192" t="s">
        <v>165</v>
      </c>
      <c r="M1192" t="s">
        <v>224</v>
      </c>
      <c r="N1192" t="str">
        <f t="shared" si="54"/>
        <v>Szanowna Pani</v>
      </c>
      <c r="P1192" s="19" t="s">
        <v>9776</v>
      </c>
      <c r="Q1192" s="19" t="s">
        <v>9776</v>
      </c>
      <c r="U1192" t="str">
        <f t="shared" si="55"/>
        <v>taktak</v>
      </c>
    </row>
    <row r="1193" spans="1:21">
      <c r="A1193">
        <v>1237</v>
      </c>
      <c r="B1193" t="s">
        <v>5897</v>
      </c>
      <c r="C1193" t="s">
        <v>5767</v>
      </c>
      <c r="D1193" t="s">
        <v>5768</v>
      </c>
      <c r="E1193" t="s">
        <v>5769</v>
      </c>
      <c r="F1193" t="s">
        <v>5770</v>
      </c>
      <c r="G1193" t="s">
        <v>6001</v>
      </c>
      <c r="H1193" t="s">
        <v>6000</v>
      </c>
      <c r="I1193" t="s">
        <v>9178</v>
      </c>
      <c r="K1193" t="s">
        <v>164</v>
      </c>
      <c r="N1193" t="str">
        <f t="shared" si="54"/>
        <v>Szanowna Pani</v>
      </c>
      <c r="O1193" s="19" t="s">
        <v>9776</v>
      </c>
      <c r="U1193" t="str">
        <f t="shared" si="55"/>
        <v>tak</v>
      </c>
    </row>
    <row r="1194" spans="1:21">
      <c r="A1194">
        <v>1238</v>
      </c>
      <c r="B1194" t="s">
        <v>5897</v>
      </c>
      <c r="C1194" t="s">
        <v>5771</v>
      </c>
      <c r="D1194" t="s">
        <v>5772</v>
      </c>
      <c r="E1194" t="s">
        <v>5773</v>
      </c>
      <c r="F1194" t="s">
        <v>5774</v>
      </c>
      <c r="G1194" t="s">
        <v>6003</v>
      </c>
      <c r="H1194" t="s">
        <v>6002</v>
      </c>
      <c r="I1194" t="s">
        <v>9179</v>
      </c>
      <c r="K1194" t="s">
        <v>164</v>
      </c>
      <c r="N1194" t="str">
        <f t="shared" si="54"/>
        <v>Szanowna Pani</v>
      </c>
      <c r="O1194" s="19" t="s">
        <v>9776</v>
      </c>
      <c r="U1194" t="str">
        <f t="shared" si="55"/>
        <v>tak</v>
      </c>
    </row>
    <row r="1195" spans="1:21">
      <c r="A1195">
        <v>1239</v>
      </c>
      <c r="B1195" t="s">
        <v>5897</v>
      </c>
      <c r="C1195" t="s">
        <v>5775</v>
      </c>
      <c r="D1195" t="s">
        <v>5776</v>
      </c>
      <c r="E1195" t="s">
        <v>5777</v>
      </c>
      <c r="F1195" t="s">
        <v>5778</v>
      </c>
      <c r="G1195" t="s">
        <v>6005</v>
      </c>
      <c r="H1195" t="s">
        <v>6004</v>
      </c>
      <c r="I1195" t="s">
        <v>9180</v>
      </c>
      <c r="K1195" t="s">
        <v>224</v>
      </c>
      <c r="N1195" t="str">
        <f t="shared" si="54"/>
        <v>Szanowna Pani</v>
      </c>
      <c r="Q1195" s="19" t="s">
        <v>9776</v>
      </c>
      <c r="U1195" t="str">
        <f t="shared" si="55"/>
        <v>tak</v>
      </c>
    </row>
    <row r="1196" spans="1:21">
      <c r="A1196">
        <v>1240</v>
      </c>
      <c r="B1196" t="s">
        <v>5897</v>
      </c>
      <c r="C1196" t="s">
        <v>5779</v>
      </c>
      <c r="D1196" t="s">
        <v>5780</v>
      </c>
      <c r="E1196" t="s">
        <v>5781</v>
      </c>
      <c r="F1196" t="s">
        <v>5782</v>
      </c>
      <c r="G1196" t="s">
        <v>6007</v>
      </c>
      <c r="H1196" t="s">
        <v>6006</v>
      </c>
      <c r="I1196" t="s">
        <v>9181</v>
      </c>
      <c r="K1196" t="s">
        <v>164</v>
      </c>
      <c r="N1196" t="str">
        <f t="shared" si="54"/>
        <v>Szanowna Pani</v>
      </c>
      <c r="O1196" s="19" t="s">
        <v>9776</v>
      </c>
      <c r="U1196" t="str">
        <f t="shared" si="55"/>
        <v>tak</v>
      </c>
    </row>
    <row r="1197" spans="1:21">
      <c r="A1197">
        <v>1241</v>
      </c>
      <c r="B1197" t="s">
        <v>5897</v>
      </c>
      <c r="C1197" t="s">
        <v>5779</v>
      </c>
      <c r="D1197" t="s">
        <v>5780</v>
      </c>
      <c r="E1197" t="s">
        <v>5781</v>
      </c>
      <c r="F1197" t="s">
        <v>5782</v>
      </c>
      <c r="G1197" t="s">
        <v>6007</v>
      </c>
      <c r="H1197" t="s">
        <v>6006</v>
      </c>
      <c r="I1197" t="s">
        <v>9181</v>
      </c>
      <c r="K1197" t="s">
        <v>165</v>
      </c>
      <c r="N1197" t="str">
        <f t="shared" si="54"/>
        <v>Szanowna Pani</v>
      </c>
      <c r="P1197" s="19" t="s">
        <v>9776</v>
      </c>
      <c r="U1197" t="str">
        <f t="shared" si="55"/>
        <v>tak</v>
      </c>
    </row>
    <row r="1198" spans="1:21">
      <c r="A1198">
        <v>1242</v>
      </c>
      <c r="B1198" t="s">
        <v>5897</v>
      </c>
      <c r="C1198" t="s">
        <v>5783</v>
      </c>
      <c r="D1198" t="s">
        <v>5784</v>
      </c>
      <c r="E1198" t="s">
        <v>5785</v>
      </c>
      <c r="F1198" t="s">
        <v>5786</v>
      </c>
      <c r="G1198" t="s">
        <v>6009</v>
      </c>
      <c r="H1198" t="s">
        <v>6008</v>
      </c>
      <c r="I1198" t="s">
        <v>9182</v>
      </c>
      <c r="K1198" t="s">
        <v>164</v>
      </c>
      <c r="N1198" t="str">
        <f t="shared" si="54"/>
        <v>Szanowna Pani</v>
      </c>
      <c r="O1198" s="19" t="s">
        <v>9776</v>
      </c>
      <c r="U1198" t="str">
        <f t="shared" si="55"/>
        <v>tak</v>
      </c>
    </row>
    <row r="1199" spans="1:21">
      <c r="A1199">
        <v>1243</v>
      </c>
      <c r="B1199" t="s">
        <v>5897</v>
      </c>
      <c r="C1199" t="s">
        <v>5956</v>
      </c>
      <c r="D1199" t="s">
        <v>5787</v>
      </c>
      <c r="F1199" t="s">
        <v>5788</v>
      </c>
      <c r="G1199" t="s">
        <v>6011</v>
      </c>
      <c r="H1199" t="s">
        <v>6010</v>
      </c>
      <c r="I1199" t="s">
        <v>9183</v>
      </c>
      <c r="K1199" t="s">
        <v>164</v>
      </c>
      <c r="N1199" t="str">
        <f t="shared" si="54"/>
        <v>Szanowna Pani</v>
      </c>
      <c r="O1199" s="19" t="s">
        <v>9776</v>
      </c>
      <c r="U1199" t="str">
        <f>+O1199 &amp;P1199&amp;Q1199</f>
        <v>tak</v>
      </c>
    </row>
    <row r="1200" spans="1:21">
      <c r="A1200">
        <v>1244</v>
      </c>
      <c r="B1200" t="s">
        <v>5897</v>
      </c>
      <c r="C1200" t="s">
        <v>5789</v>
      </c>
      <c r="D1200" t="s">
        <v>251</v>
      </c>
      <c r="E1200" t="s">
        <v>5790</v>
      </c>
      <c r="F1200" t="s">
        <v>5791</v>
      </c>
      <c r="G1200" t="s">
        <v>6013</v>
      </c>
      <c r="H1200" t="s">
        <v>6012</v>
      </c>
      <c r="I1200" t="s">
        <v>9184</v>
      </c>
      <c r="K1200" t="s">
        <v>224</v>
      </c>
      <c r="N1200" t="str">
        <f t="shared" si="54"/>
        <v>Szanowny Pan</v>
      </c>
      <c r="Q1200" s="19" t="s">
        <v>9776</v>
      </c>
      <c r="U1200" t="str">
        <f t="shared" ref="U1200:U1224" si="56">+O1200 &amp;P1200&amp;Q1200</f>
        <v>tak</v>
      </c>
    </row>
    <row r="1201" spans="1:21">
      <c r="A1201">
        <v>1245</v>
      </c>
      <c r="B1201" t="s">
        <v>5897</v>
      </c>
      <c r="C1201" t="s">
        <v>5789</v>
      </c>
      <c r="D1201" t="s">
        <v>251</v>
      </c>
      <c r="E1201" t="s">
        <v>5790</v>
      </c>
      <c r="F1201" t="s">
        <v>5791</v>
      </c>
      <c r="G1201" t="s">
        <v>6013</v>
      </c>
      <c r="H1201" t="s">
        <v>6014</v>
      </c>
      <c r="I1201" t="s">
        <v>9184</v>
      </c>
      <c r="K1201" t="s">
        <v>164</v>
      </c>
      <c r="N1201" t="str">
        <f t="shared" si="54"/>
        <v>Szanowna Pani</v>
      </c>
      <c r="O1201" s="19" t="s">
        <v>9776</v>
      </c>
      <c r="U1201" t="str">
        <f t="shared" si="56"/>
        <v>tak</v>
      </c>
    </row>
    <row r="1202" spans="1:21">
      <c r="A1202">
        <v>1246</v>
      </c>
      <c r="B1202" t="s">
        <v>5897</v>
      </c>
      <c r="C1202" t="s">
        <v>5792</v>
      </c>
      <c r="D1202" t="s">
        <v>290</v>
      </c>
      <c r="E1202" t="s">
        <v>5793</v>
      </c>
      <c r="F1202" t="s">
        <v>5794</v>
      </c>
      <c r="G1202" t="s">
        <v>6016</v>
      </c>
      <c r="H1202" t="s">
        <v>6015</v>
      </c>
      <c r="I1202" t="s">
        <v>9185</v>
      </c>
      <c r="K1202" t="s">
        <v>165</v>
      </c>
      <c r="N1202" t="str">
        <f t="shared" si="54"/>
        <v>Szanowny Pan</v>
      </c>
      <c r="P1202" s="19" t="s">
        <v>9776</v>
      </c>
      <c r="U1202" t="str">
        <f t="shared" si="56"/>
        <v>tak</v>
      </c>
    </row>
    <row r="1203" spans="1:21">
      <c r="A1203">
        <v>1247</v>
      </c>
      <c r="B1203" t="s">
        <v>5897</v>
      </c>
      <c r="C1203" t="s">
        <v>5792</v>
      </c>
      <c r="D1203" t="s">
        <v>290</v>
      </c>
      <c r="E1203" t="s">
        <v>5793</v>
      </c>
      <c r="F1203" t="s">
        <v>5794</v>
      </c>
      <c r="G1203" t="s">
        <v>6016</v>
      </c>
      <c r="H1203" t="s">
        <v>6017</v>
      </c>
      <c r="I1203" t="s">
        <v>9186</v>
      </c>
      <c r="K1203" t="s">
        <v>164</v>
      </c>
      <c r="N1203" t="str">
        <f t="shared" si="54"/>
        <v>Szanowna Pani</v>
      </c>
      <c r="O1203" s="19" t="s">
        <v>9776</v>
      </c>
      <c r="U1203" t="str">
        <f t="shared" si="56"/>
        <v>tak</v>
      </c>
    </row>
    <row r="1204" spans="1:21">
      <c r="A1204">
        <v>1248</v>
      </c>
      <c r="B1204" t="s">
        <v>5897</v>
      </c>
      <c r="C1204" t="s">
        <v>5795</v>
      </c>
      <c r="D1204" t="s">
        <v>5796</v>
      </c>
      <c r="E1204" t="s">
        <v>5797</v>
      </c>
      <c r="F1204" t="s">
        <v>5798</v>
      </c>
      <c r="G1204" t="s">
        <v>6019</v>
      </c>
      <c r="H1204" t="s">
        <v>6018</v>
      </c>
      <c r="I1204" t="s">
        <v>9187</v>
      </c>
      <c r="K1204" t="s">
        <v>164</v>
      </c>
      <c r="N1204" t="str">
        <f t="shared" si="54"/>
        <v>Szanowna Pani</v>
      </c>
      <c r="O1204" s="19" t="s">
        <v>9776</v>
      </c>
      <c r="U1204" t="str">
        <f t="shared" si="56"/>
        <v>tak</v>
      </c>
    </row>
    <row r="1205" spans="1:21">
      <c r="A1205">
        <v>1249</v>
      </c>
      <c r="B1205" t="s">
        <v>5897</v>
      </c>
      <c r="C1205" t="s">
        <v>5799</v>
      </c>
      <c r="D1205" t="s">
        <v>5800</v>
      </c>
      <c r="E1205" t="s">
        <v>5801</v>
      </c>
      <c r="F1205" t="s">
        <v>5802</v>
      </c>
      <c r="G1205" t="s">
        <v>6021</v>
      </c>
      <c r="H1205" t="s">
        <v>6020</v>
      </c>
      <c r="I1205" t="s">
        <v>9188</v>
      </c>
      <c r="K1205" t="s">
        <v>164</v>
      </c>
      <c r="N1205" t="str">
        <f t="shared" si="54"/>
        <v>Szanowna Pani</v>
      </c>
      <c r="O1205" s="19" t="s">
        <v>9776</v>
      </c>
      <c r="U1205" t="str">
        <f t="shared" si="56"/>
        <v>tak</v>
      </c>
    </row>
    <row r="1206" spans="1:21">
      <c r="A1206">
        <v>1250</v>
      </c>
      <c r="B1206" t="s">
        <v>5897</v>
      </c>
      <c r="C1206" t="s">
        <v>5803</v>
      </c>
      <c r="D1206" t="s">
        <v>267</v>
      </c>
      <c r="E1206" t="s">
        <v>5804</v>
      </c>
      <c r="F1206" t="s">
        <v>5805</v>
      </c>
      <c r="G1206" t="s">
        <v>6023</v>
      </c>
      <c r="H1206" t="s">
        <v>6022</v>
      </c>
      <c r="I1206" t="s">
        <v>9189</v>
      </c>
      <c r="K1206" t="s">
        <v>164</v>
      </c>
      <c r="N1206" t="str">
        <f t="shared" si="54"/>
        <v>Szanowna Pani</v>
      </c>
      <c r="O1206" s="19" t="s">
        <v>9776</v>
      </c>
      <c r="U1206" t="str">
        <f t="shared" si="56"/>
        <v>tak</v>
      </c>
    </row>
    <row r="1207" spans="1:21">
      <c r="A1207">
        <v>1251</v>
      </c>
      <c r="B1207" t="s">
        <v>5897</v>
      </c>
      <c r="C1207" t="s">
        <v>5806</v>
      </c>
      <c r="D1207" t="s">
        <v>166</v>
      </c>
      <c r="E1207" t="s">
        <v>5807</v>
      </c>
      <c r="F1207" t="s">
        <v>5808</v>
      </c>
      <c r="G1207" t="s">
        <v>6025</v>
      </c>
      <c r="H1207" t="s">
        <v>6024</v>
      </c>
      <c r="I1207" t="s">
        <v>9190</v>
      </c>
      <c r="K1207" t="s">
        <v>164</v>
      </c>
      <c r="N1207" t="str">
        <f t="shared" si="54"/>
        <v>Szanowna Pani</v>
      </c>
      <c r="O1207" s="19" t="s">
        <v>9776</v>
      </c>
      <c r="U1207" t="str">
        <f t="shared" si="56"/>
        <v>tak</v>
      </c>
    </row>
    <row r="1208" spans="1:21">
      <c r="A1208">
        <v>1252</v>
      </c>
      <c r="B1208" t="s">
        <v>5897</v>
      </c>
      <c r="C1208" t="s">
        <v>5806</v>
      </c>
      <c r="D1208" t="s">
        <v>166</v>
      </c>
      <c r="E1208" t="s">
        <v>5807</v>
      </c>
      <c r="F1208" t="s">
        <v>5808</v>
      </c>
      <c r="G1208" t="s">
        <v>6025</v>
      </c>
      <c r="H1208" t="s">
        <v>6026</v>
      </c>
      <c r="I1208" t="s">
        <v>9191</v>
      </c>
      <c r="K1208" t="s">
        <v>165</v>
      </c>
      <c r="N1208" t="str">
        <f t="shared" si="54"/>
        <v>Szanowna Pani</v>
      </c>
      <c r="P1208" s="19" t="s">
        <v>9776</v>
      </c>
      <c r="U1208" t="str">
        <f t="shared" si="56"/>
        <v>tak</v>
      </c>
    </row>
    <row r="1209" spans="1:21">
      <c r="A1209">
        <v>1253</v>
      </c>
      <c r="B1209" t="s">
        <v>5897</v>
      </c>
      <c r="C1209" t="s">
        <v>5809</v>
      </c>
      <c r="D1209" t="s">
        <v>251</v>
      </c>
      <c r="E1209" t="s">
        <v>5810</v>
      </c>
      <c r="F1209" t="s">
        <v>5811</v>
      </c>
      <c r="G1209" t="s">
        <v>6028</v>
      </c>
      <c r="H1209" t="s">
        <v>6027</v>
      </c>
      <c r="I1209" t="s">
        <v>9192</v>
      </c>
      <c r="K1209" t="s">
        <v>164</v>
      </c>
      <c r="N1209" t="str">
        <f t="shared" si="54"/>
        <v>Szanowna Pani</v>
      </c>
      <c r="O1209" s="19" t="s">
        <v>9776</v>
      </c>
      <c r="U1209" t="str">
        <f t="shared" si="56"/>
        <v>tak</v>
      </c>
    </row>
    <row r="1210" spans="1:21">
      <c r="A1210">
        <v>1254</v>
      </c>
      <c r="B1210" t="s">
        <v>5897</v>
      </c>
      <c r="C1210" t="s">
        <v>5812</v>
      </c>
      <c r="D1210" t="s">
        <v>6033</v>
      </c>
      <c r="E1210" t="s">
        <v>6032</v>
      </c>
      <c r="F1210" t="s">
        <v>6031</v>
      </c>
      <c r="G1210" t="s">
        <v>6030</v>
      </c>
      <c r="H1210" t="s">
        <v>6029</v>
      </c>
      <c r="I1210" t="s">
        <v>9193</v>
      </c>
      <c r="K1210" t="s">
        <v>165</v>
      </c>
      <c r="N1210" t="str">
        <f t="shared" si="54"/>
        <v>Szanowna Pani</v>
      </c>
      <c r="P1210" s="19" t="s">
        <v>9776</v>
      </c>
      <c r="U1210" t="str">
        <f t="shared" si="56"/>
        <v>tak</v>
      </c>
    </row>
    <row r="1211" spans="1:21">
      <c r="A1211">
        <v>1255</v>
      </c>
      <c r="B1211" t="s">
        <v>5897</v>
      </c>
      <c r="C1211" t="s">
        <v>5812</v>
      </c>
      <c r="D1211" t="s">
        <v>5813</v>
      </c>
      <c r="E1211" t="s">
        <v>5814</v>
      </c>
      <c r="F1211" t="s">
        <v>5815</v>
      </c>
      <c r="G1211" t="s">
        <v>6034</v>
      </c>
      <c r="H1211" t="s">
        <v>6029</v>
      </c>
      <c r="I1211" t="s">
        <v>9194</v>
      </c>
      <c r="K1211" t="s">
        <v>165</v>
      </c>
      <c r="N1211" t="str">
        <f t="shared" si="54"/>
        <v>Szanowna Pani</v>
      </c>
      <c r="P1211" s="19" t="s">
        <v>9776</v>
      </c>
      <c r="U1211" t="str">
        <f t="shared" si="56"/>
        <v>tak</v>
      </c>
    </row>
    <row r="1212" spans="1:21">
      <c r="A1212">
        <v>1256</v>
      </c>
      <c r="B1212" t="s">
        <v>5897</v>
      </c>
      <c r="C1212" t="s">
        <v>5812</v>
      </c>
      <c r="D1212" t="s">
        <v>6037</v>
      </c>
      <c r="E1212" t="s">
        <v>6036</v>
      </c>
      <c r="F1212" t="s">
        <v>6035</v>
      </c>
      <c r="G1212" t="s">
        <v>6034</v>
      </c>
      <c r="H1212" t="s">
        <v>6029</v>
      </c>
      <c r="I1212" t="s">
        <v>9194</v>
      </c>
      <c r="K1212" t="s">
        <v>164</v>
      </c>
      <c r="N1212" t="str">
        <f t="shared" si="54"/>
        <v>Szanowna Pani</v>
      </c>
      <c r="O1212" s="19" t="s">
        <v>9776</v>
      </c>
      <c r="U1212" t="str">
        <f t="shared" si="56"/>
        <v>tak</v>
      </c>
    </row>
    <row r="1213" spans="1:21">
      <c r="A1213">
        <v>1257</v>
      </c>
      <c r="B1213" t="s">
        <v>5897</v>
      </c>
      <c r="C1213" t="s">
        <v>5812</v>
      </c>
      <c r="D1213" t="s">
        <v>6040</v>
      </c>
      <c r="E1213" t="s">
        <v>6039</v>
      </c>
      <c r="F1213" t="s">
        <v>6038</v>
      </c>
      <c r="G1213" t="s">
        <v>6034</v>
      </c>
      <c r="H1213" t="s">
        <v>6029</v>
      </c>
      <c r="I1213" t="s">
        <v>9194</v>
      </c>
      <c r="K1213" t="s">
        <v>164</v>
      </c>
      <c r="N1213" t="str">
        <f t="shared" si="54"/>
        <v>Szanowna Pani</v>
      </c>
      <c r="O1213" s="19" t="s">
        <v>9776</v>
      </c>
      <c r="U1213" t="str">
        <f t="shared" si="56"/>
        <v>tak</v>
      </c>
    </row>
    <row r="1214" spans="1:21">
      <c r="A1214">
        <v>1258</v>
      </c>
      <c r="B1214" t="s">
        <v>5897</v>
      </c>
      <c r="C1214" t="s">
        <v>5812</v>
      </c>
      <c r="D1214" t="s">
        <v>6043</v>
      </c>
      <c r="E1214" t="s">
        <v>6042</v>
      </c>
      <c r="F1214" t="s">
        <v>6041</v>
      </c>
      <c r="G1214" t="s">
        <v>6034</v>
      </c>
      <c r="H1214" t="s">
        <v>6029</v>
      </c>
      <c r="I1214" t="s">
        <v>9194</v>
      </c>
      <c r="K1214" t="s">
        <v>165</v>
      </c>
      <c r="L1214" t="s">
        <v>164</v>
      </c>
      <c r="N1214" t="str">
        <f t="shared" si="54"/>
        <v>Szanowna Pani</v>
      </c>
      <c r="P1214" s="19" t="s">
        <v>9776</v>
      </c>
      <c r="U1214" t="str">
        <f t="shared" si="56"/>
        <v>tak</v>
      </c>
    </row>
    <row r="1215" spans="1:21">
      <c r="A1215">
        <v>1259</v>
      </c>
      <c r="B1215" t="s">
        <v>5897</v>
      </c>
      <c r="C1215" t="s">
        <v>5812</v>
      </c>
      <c r="D1215" t="s">
        <v>5816</v>
      </c>
      <c r="E1215" t="s">
        <v>5817</v>
      </c>
      <c r="F1215" t="s">
        <v>5818</v>
      </c>
      <c r="G1215" t="s">
        <v>6034</v>
      </c>
      <c r="H1215" t="s">
        <v>6029</v>
      </c>
      <c r="I1215" t="s">
        <v>9194</v>
      </c>
      <c r="K1215" t="s">
        <v>224</v>
      </c>
      <c r="N1215" t="str">
        <f t="shared" si="54"/>
        <v>Szanowna Pani</v>
      </c>
      <c r="Q1215" s="19" t="s">
        <v>9776</v>
      </c>
      <c r="U1215" t="str">
        <f t="shared" si="56"/>
        <v>tak</v>
      </c>
    </row>
    <row r="1216" spans="1:21">
      <c r="A1216">
        <v>1260</v>
      </c>
      <c r="B1216" t="s">
        <v>5897</v>
      </c>
      <c r="C1216" t="s">
        <v>1500</v>
      </c>
      <c r="D1216" t="s">
        <v>5819</v>
      </c>
      <c r="E1216" t="s">
        <v>5820</v>
      </c>
      <c r="F1216" t="s">
        <v>5821</v>
      </c>
      <c r="G1216" t="s">
        <v>6045</v>
      </c>
      <c r="H1216" t="s">
        <v>6044</v>
      </c>
      <c r="I1216" t="s">
        <v>9195</v>
      </c>
      <c r="K1216" t="s">
        <v>164</v>
      </c>
      <c r="N1216" t="str">
        <f t="shared" si="54"/>
        <v>Szanowna Pani</v>
      </c>
      <c r="O1216" s="19" t="s">
        <v>9776</v>
      </c>
      <c r="U1216" t="str">
        <f t="shared" si="56"/>
        <v>tak</v>
      </c>
    </row>
    <row r="1217" spans="1:21">
      <c r="A1217">
        <v>1261</v>
      </c>
      <c r="B1217" t="s">
        <v>5897</v>
      </c>
      <c r="C1217" t="s">
        <v>5822</v>
      </c>
      <c r="D1217" t="s">
        <v>251</v>
      </c>
      <c r="E1217" t="s">
        <v>5823</v>
      </c>
      <c r="F1217" t="s">
        <v>5824</v>
      </c>
      <c r="G1217" t="s">
        <v>6047</v>
      </c>
      <c r="H1217" t="s">
        <v>6046</v>
      </c>
      <c r="I1217" t="s">
        <v>9196</v>
      </c>
      <c r="K1217" t="s">
        <v>164</v>
      </c>
      <c r="N1217" t="str">
        <f t="shared" si="54"/>
        <v>Szanowna Pani</v>
      </c>
      <c r="O1217" s="19" t="s">
        <v>9776</v>
      </c>
      <c r="U1217" t="str">
        <f t="shared" si="56"/>
        <v>tak</v>
      </c>
    </row>
    <row r="1218" spans="1:21">
      <c r="A1218">
        <v>1262</v>
      </c>
      <c r="B1218" t="s">
        <v>5897</v>
      </c>
      <c r="C1218" t="s">
        <v>5825</v>
      </c>
      <c r="D1218" t="s">
        <v>5826</v>
      </c>
      <c r="E1218" t="s">
        <v>5827</v>
      </c>
      <c r="F1218" t="s">
        <v>5828</v>
      </c>
      <c r="G1218" t="s">
        <v>6049</v>
      </c>
      <c r="H1218" t="s">
        <v>6048</v>
      </c>
      <c r="I1218" t="s">
        <v>9197</v>
      </c>
      <c r="K1218" t="s">
        <v>164</v>
      </c>
      <c r="N1218" t="str">
        <f t="shared" si="54"/>
        <v>Szanowna Pani</v>
      </c>
      <c r="O1218" s="19" t="s">
        <v>9776</v>
      </c>
      <c r="U1218" t="str">
        <f t="shared" si="56"/>
        <v>tak</v>
      </c>
    </row>
    <row r="1219" spans="1:21">
      <c r="A1219">
        <v>1263</v>
      </c>
      <c r="B1219" t="s">
        <v>5897</v>
      </c>
      <c r="C1219" t="s">
        <v>5825</v>
      </c>
      <c r="D1219" t="s">
        <v>5826</v>
      </c>
      <c r="E1219" t="s">
        <v>5827</v>
      </c>
      <c r="F1219" t="s">
        <v>5828</v>
      </c>
      <c r="G1219" t="s">
        <v>6049</v>
      </c>
      <c r="H1219" t="s">
        <v>6048</v>
      </c>
      <c r="I1219" t="s">
        <v>9197</v>
      </c>
      <c r="K1219" t="s">
        <v>224</v>
      </c>
      <c r="N1219" t="str">
        <f t="shared" si="54"/>
        <v>Szanowna Pani</v>
      </c>
      <c r="Q1219" s="19" t="s">
        <v>9776</v>
      </c>
      <c r="U1219" t="str">
        <f t="shared" si="56"/>
        <v>tak</v>
      </c>
    </row>
    <row r="1220" spans="1:21">
      <c r="A1220">
        <v>1264</v>
      </c>
      <c r="B1220" t="s">
        <v>5897</v>
      </c>
      <c r="C1220" t="s">
        <v>5829</v>
      </c>
      <c r="D1220" t="s">
        <v>5830</v>
      </c>
      <c r="E1220" t="s">
        <v>5831</v>
      </c>
      <c r="F1220" t="s">
        <v>5832</v>
      </c>
      <c r="G1220" t="s">
        <v>6051</v>
      </c>
      <c r="H1220" t="s">
        <v>6050</v>
      </c>
      <c r="I1220" t="s">
        <v>9198</v>
      </c>
      <c r="K1220" t="s">
        <v>164</v>
      </c>
      <c r="N1220" t="str">
        <f t="shared" si="54"/>
        <v>Szanowna Pani</v>
      </c>
      <c r="O1220" s="19" t="s">
        <v>9776</v>
      </c>
      <c r="U1220" t="str">
        <f t="shared" si="56"/>
        <v>tak</v>
      </c>
    </row>
    <row r="1221" spans="1:21">
      <c r="A1221">
        <v>1265</v>
      </c>
      <c r="B1221" t="s">
        <v>5897</v>
      </c>
      <c r="C1221" t="s">
        <v>5833</v>
      </c>
      <c r="D1221" t="s">
        <v>5834</v>
      </c>
      <c r="E1221" t="s">
        <v>5835</v>
      </c>
      <c r="F1221" t="s">
        <v>5836</v>
      </c>
      <c r="G1221" t="s">
        <v>6053</v>
      </c>
      <c r="H1221" t="s">
        <v>6052</v>
      </c>
      <c r="I1221" t="s">
        <v>9199</v>
      </c>
      <c r="K1221" t="s">
        <v>164</v>
      </c>
      <c r="N1221" t="str">
        <f t="shared" si="54"/>
        <v>Szanowna Pani</v>
      </c>
      <c r="O1221" s="19" t="s">
        <v>9776</v>
      </c>
      <c r="U1221" t="str">
        <f t="shared" si="56"/>
        <v>tak</v>
      </c>
    </row>
    <row r="1222" spans="1:21">
      <c r="A1222">
        <v>1266</v>
      </c>
      <c r="B1222" t="s">
        <v>5897</v>
      </c>
      <c r="C1222" t="s">
        <v>5837</v>
      </c>
      <c r="D1222" t="s">
        <v>251</v>
      </c>
      <c r="E1222" t="s">
        <v>5838</v>
      </c>
      <c r="F1222" t="s">
        <v>5839</v>
      </c>
      <c r="G1222" t="s">
        <v>6055</v>
      </c>
      <c r="H1222" t="s">
        <v>6054</v>
      </c>
      <c r="I1222" t="s">
        <v>9200</v>
      </c>
      <c r="K1222" t="s">
        <v>164</v>
      </c>
      <c r="N1222" t="str">
        <f t="shared" si="54"/>
        <v>Szanowna Pani</v>
      </c>
      <c r="O1222" s="19" t="s">
        <v>9776</v>
      </c>
      <c r="U1222" t="str">
        <f t="shared" si="56"/>
        <v>tak</v>
      </c>
    </row>
    <row r="1223" spans="1:21">
      <c r="A1223">
        <v>1267</v>
      </c>
      <c r="B1223" t="s">
        <v>5897</v>
      </c>
      <c r="C1223" t="s">
        <v>5840</v>
      </c>
      <c r="D1223" t="s">
        <v>5841</v>
      </c>
      <c r="E1223" t="s">
        <v>5842</v>
      </c>
      <c r="F1223" t="s">
        <v>5736</v>
      </c>
      <c r="G1223" t="s">
        <v>6057</v>
      </c>
      <c r="H1223" t="s">
        <v>6056</v>
      </c>
      <c r="I1223" t="s">
        <v>9201</v>
      </c>
      <c r="K1223" t="s">
        <v>164</v>
      </c>
      <c r="N1223" t="str">
        <f t="shared" si="54"/>
        <v>Szanowna Pani</v>
      </c>
      <c r="O1223" s="19" t="s">
        <v>9776</v>
      </c>
      <c r="U1223" t="str">
        <f t="shared" si="56"/>
        <v>tak</v>
      </c>
    </row>
    <row r="1224" spans="1:21">
      <c r="A1224">
        <v>1268</v>
      </c>
      <c r="B1224" t="s">
        <v>5897</v>
      </c>
      <c r="C1224" t="s">
        <v>5840</v>
      </c>
      <c r="D1224" t="s">
        <v>5841</v>
      </c>
      <c r="E1224" t="s">
        <v>5842</v>
      </c>
      <c r="F1224" t="s">
        <v>5736</v>
      </c>
      <c r="G1224" t="s">
        <v>6057</v>
      </c>
      <c r="H1224" t="s">
        <v>6058</v>
      </c>
      <c r="I1224" t="s">
        <v>9202</v>
      </c>
      <c r="K1224" t="s">
        <v>5843</v>
      </c>
      <c r="N1224" t="str">
        <f t="shared" si="54"/>
        <v>Szanowna Pani</v>
      </c>
      <c r="P1224" s="19" t="s">
        <v>9776</v>
      </c>
      <c r="U1224" t="str">
        <f t="shared" si="56"/>
        <v>tak</v>
      </c>
    </row>
    <row r="1225" spans="1:21">
      <c r="A1225">
        <v>1269</v>
      </c>
      <c r="B1225" t="s">
        <v>5897</v>
      </c>
      <c r="C1225" t="s">
        <v>5840</v>
      </c>
      <c r="D1225" t="s">
        <v>5841</v>
      </c>
      <c r="E1225" t="s">
        <v>5842</v>
      </c>
      <c r="F1225" t="s">
        <v>5736</v>
      </c>
      <c r="G1225" t="s">
        <v>6057</v>
      </c>
      <c r="H1225" t="s">
        <v>6059</v>
      </c>
      <c r="I1225" t="s">
        <v>9202</v>
      </c>
      <c r="K1225" t="s">
        <v>5844</v>
      </c>
      <c r="N1225" t="str">
        <f t="shared" si="54"/>
        <v>Szanowna Pani</v>
      </c>
      <c r="P1225" s="19" t="s">
        <v>9776</v>
      </c>
      <c r="U1225" t="str">
        <f>+O1225 &amp;P1225&amp;Q1225</f>
        <v>tak</v>
      </c>
    </row>
    <row r="1226" spans="1:21">
      <c r="A1226">
        <v>1270</v>
      </c>
      <c r="B1226" t="s">
        <v>5897</v>
      </c>
      <c r="C1226" t="s">
        <v>5840</v>
      </c>
      <c r="D1226" t="s">
        <v>5841</v>
      </c>
      <c r="E1226" t="s">
        <v>5842</v>
      </c>
      <c r="F1226" t="s">
        <v>5736</v>
      </c>
      <c r="G1226" t="s">
        <v>6057</v>
      </c>
      <c r="H1226" t="s">
        <v>6060</v>
      </c>
      <c r="I1226" t="s">
        <v>9202</v>
      </c>
      <c r="K1226" t="s">
        <v>224</v>
      </c>
      <c r="N1226" t="str">
        <f t="shared" si="54"/>
        <v>Szanowna Pani</v>
      </c>
      <c r="Q1226" s="19" t="s">
        <v>9776</v>
      </c>
      <c r="U1226" t="str">
        <f t="shared" ref="U1226:U1256" si="57">+O1226 &amp;P1226&amp;Q1226</f>
        <v>tak</v>
      </c>
    </row>
    <row r="1227" spans="1:21">
      <c r="A1227">
        <v>1271</v>
      </c>
      <c r="B1227" t="s">
        <v>5897</v>
      </c>
      <c r="C1227" t="s">
        <v>5840</v>
      </c>
      <c r="D1227" t="s">
        <v>5845</v>
      </c>
      <c r="E1227" t="s">
        <v>5846</v>
      </c>
      <c r="F1227" t="s">
        <v>5736</v>
      </c>
      <c r="G1227" t="s">
        <v>6062</v>
      </c>
      <c r="H1227" t="s">
        <v>6061</v>
      </c>
      <c r="I1227" t="s">
        <v>9203</v>
      </c>
      <c r="K1227" t="s">
        <v>565</v>
      </c>
      <c r="L1227" t="s">
        <v>165</v>
      </c>
      <c r="M1227" t="s">
        <v>224</v>
      </c>
      <c r="N1227" t="str">
        <f t="shared" si="54"/>
        <v>Szanowna Pani</v>
      </c>
      <c r="P1227" s="19" t="s">
        <v>9776</v>
      </c>
      <c r="Q1227" s="19" t="s">
        <v>9776</v>
      </c>
      <c r="U1227" t="str">
        <f t="shared" si="57"/>
        <v>taktak</v>
      </c>
    </row>
    <row r="1228" spans="1:21">
      <c r="A1228">
        <v>1272</v>
      </c>
      <c r="B1228" t="s">
        <v>5897</v>
      </c>
      <c r="C1228" t="s">
        <v>5847</v>
      </c>
      <c r="D1228" t="s">
        <v>5848</v>
      </c>
      <c r="E1228" t="s">
        <v>5849</v>
      </c>
      <c r="F1228" t="s">
        <v>5850</v>
      </c>
      <c r="G1228" t="s">
        <v>6064</v>
      </c>
      <c r="H1228" t="s">
        <v>6063</v>
      </c>
      <c r="I1228" t="s">
        <v>9204</v>
      </c>
      <c r="K1228" t="s">
        <v>165</v>
      </c>
      <c r="N1228" t="str">
        <f t="shared" si="54"/>
        <v>Szanowna Pani</v>
      </c>
      <c r="P1228" s="19" t="s">
        <v>9776</v>
      </c>
      <c r="U1228" t="str">
        <f t="shared" si="57"/>
        <v>tak</v>
      </c>
    </row>
    <row r="1229" spans="1:21">
      <c r="A1229">
        <v>1273</v>
      </c>
      <c r="B1229" t="s">
        <v>5897</v>
      </c>
      <c r="C1229" t="s">
        <v>5851</v>
      </c>
      <c r="D1229" t="s">
        <v>5852</v>
      </c>
      <c r="E1229" t="s">
        <v>4490</v>
      </c>
      <c r="F1229" t="s">
        <v>5853</v>
      </c>
      <c r="G1229" t="s">
        <v>6066</v>
      </c>
      <c r="H1229" t="s">
        <v>6065</v>
      </c>
      <c r="I1229" t="s">
        <v>9205</v>
      </c>
      <c r="K1229" t="s">
        <v>164</v>
      </c>
      <c r="N1229" t="str">
        <f t="shared" si="54"/>
        <v>Szanowna Pani</v>
      </c>
      <c r="O1229" s="19" t="s">
        <v>9776</v>
      </c>
      <c r="U1229" t="str">
        <f t="shared" si="57"/>
        <v>tak</v>
      </c>
    </row>
    <row r="1230" spans="1:21">
      <c r="A1230">
        <v>1274</v>
      </c>
      <c r="B1230" t="s">
        <v>5897</v>
      </c>
      <c r="C1230" t="s">
        <v>5854</v>
      </c>
      <c r="D1230" t="s">
        <v>5855</v>
      </c>
      <c r="E1230" t="s">
        <v>5856</v>
      </c>
      <c r="F1230" t="s">
        <v>5857</v>
      </c>
      <c r="G1230" t="s">
        <v>6068</v>
      </c>
      <c r="H1230" t="s">
        <v>6067</v>
      </c>
      <c r="I1230" t="s">
        <v>9206</v>
      </c>
      <c r="K1230" t="s">
        <v>164</v>
      </c>
      <c r="N1230" t="str">
        <f t="shared" si="54"/>
        <v>Szanowna Pani</v>
      </c>
      <c r="O1230" s="19" t="s">
        <v>9776</v>
      </c>
      <c r="U1230" t="str">
        <f t="shared" si="57"/>
        <v>tak</v>
      </c>
    </row>
    <row r="1231" spans="1:21">
      <c r="A1231">
        <v>1275</v>
      </c>
      <c r="B1231" t="s">
        <v>5897</v>
      </c>
      <c r="C1231" t="s">
        <v>5858</v>
      </c>
      <c r="D1231" t="s">
        <v>5859</v>
      </c>
      <c r="E1231" t="s">
        <v>5860</v>
      </c>
      <c r="F1231" t="s">
        <v>5861</v>
      </c>
      <c r="G1231" t="s">
        <v>6070</v>
      </c>
      <c r="H1231" t="s">
        <v>6069</v>
      </c>
      <c r="I1231" t="s">
        <v>9207</v>
      </c>
      <c r="K1231" t="s">
        <v>165</v>
      </c>
      <c r="N1231" t="str">
        <f t="shared" si="54"/>
        <v>Szanowna Pani</v>
      </c>
      <c r="P1231" s="19" t="s">
        <v>9776</v>
      </c>
      <c r="U1231" t="str">
        <f t="shared" si="57"/>
        <v>tak</v>
      </c>
    </row>
    <row r="1232" spans="1:21">
      <c r="A1232">
        <v>1276</v>
      </c>
      <c r="B1232" t="s">
        <v>5897</v>
      </c>
      <c r="C1232" t="s">
        <v>5862</v>
      </c>
      <c r="D1232" t="s">
        <v>5863</v>
      </c>
      <c r="E1232" t="s">
        <v>5864</v>
      </c>
      <c r="F1232" t="s">
        <v>5865</v>
      </c>
      <c r="G1232" t="s">
        <v>6072</v>
      </c>
      <c r="H1232" t="s">
        <v>6071</v>
      </c>
      <c r="I1232" t="s">
        <v>9208</v>
      </c>
      <c r="K1232" t="s">
        <v>164</v>
      </c>
      <c r="N1232" t="str">
        <f t="shared" si="54"/>
        <v>Szanowna Pani</v>
      </c>
      <c r="O1232" s="19" t="s">
        <v>9776</v>
      </c>
      <c r="U1232" t="str">
        <f t="shared" si="57"/>
        <v>tak</v>
      </c>
    </row>
    <row r="1233" spans="1:21">
      <c r="A1233">
        <v>1277</v>
      </c>
      <c r="B1233" t="s">
        <v>5897</v>
      </c>
      <c r="C1233" t="s">
        <v>5866</v>
      </c>
      <c r="D1233" t="s">
        <v>5867</v>
      </c>
      <c r="E1233" t="s">
        <v>5868</v>
      </c>
      <c r="F1233" t="s">
        <v>5869</v>
      </c>
      <c r="G1233" t="s">
        <v>6074</v>
      </c>
      <c r="H1233" t="s">
        <v>6073</v>
      </c>
      <c r="I1233" t="s">
        <v>9209</v>
      </c>
      <c r="K1233" t="s">
        <v>164</v>
      </c>
      <c r="N1233" t="str">
        <f t="shared" si="54"/>
        <v>Szanowna Pani</v>
      </c>
      <c r="O1233" s="19" t="s">
        <v>9776</v>
      </c>
      <c r="U1233" t="str">
        <f t="shared" si="57"/>
        <v>tak</v>
      </c>
    </row>
    <row r="1234" spans="1:21">
      <c r="A1234">
        <v>1278</v>
      </c>
      <c r="B1234" t="s">
        <v>5897</v>
      </c>
      <c r="C1234" t="s">
        <v>5870</v>
      </c>
      <c r="D1234" t="s">
        <v>5871</v>
      </c>
      <c r="E1234" t="s">
        <v>5872</v>
      </c>
      <c r="F1234" t="s">
        <v>5873</v>
      </c>
      <c r="G1234" t="s">
        <v>6076</v>
      </c>
      <c r="H1234" t="s">
        <v>6075</v>
      </c>
      <c r="I1234" t="s">
        <v>9210</v>
      </c>
      <c r="K1234" t="s">
        <v>164</v>
      </c>
      <c r="N1234" t="str">
        <f t="shared" si="54"/>
        <v>Szanowna Pani</v>
      </c>
      <c r="O1234" s="19" t="s">
        <v>9776</v>
      </c>
      <c r="U1234" t="str">
        <f t="shared" si="57"/>
        <v>tak</v>
      </c>
    </row>
    <row r="1235" spans="1:21">
      <c r="A1235">
        <v>1279</v>
      </c>
      <c r="B1235" t="s">
        <v>5897</v>
      </c>
      <c r="C1235" t="s">
        <v>5874</v>
      </c>
      <c r="D1235" t="s">
        <v>5875</v>
      </c>
      <c r="E1235" t="s">
        <v>5876</v>
      </c>
      <c r="F1235" t="s">
        <v>5877</v>
      </c>
      <c r="G1235" t="s">
        <v>6078</v>
      </c>
      <c r="H1235" t="s">
        <v>6077</v>
      </c>
      <c r="I1235" t="s">
        <v>9211</v>
      </c>
      <c r="K1235" t="s">
        <v>164</v>
      </c>
      <c r="N1235" t="str">
        <f t="shared" si="54"/>
        <v>Szanowna Pani</v>
      </c>
      <c r="O1235" s="19" t="s">
        <v>9776</v>
      </c>
      <c r="U1235" t="str">
        <f t="shared" si="57"/>
        <v>tak</v>
      </c>
    </row>
    <row r="1236" spans="1:21">
      <c r="A1236">
        <v>1280</v>
      </c>
      <c r="B1236" t="s">
        <v>5897</v>
      </c>
      <c r="C1236" t="s">
        <v>5874</v>
      </c>
      <c r="D1236" t="s">
        <v>5875</v>
      </c>
      <c r="E1236" t="s">
        <v>5876</v>
      </c>
      <c r="F1236" t="s">
        <v>5877</v>
      </c>
      <c r="G1236" t="s">
        <v>6078</v>
      </c>
      <c r="H1236" t="s">
        <v>6079</v>
      </c>
      <c r="I1236" t="s">
        <v>9212</v>
      </c>
      <c r="K1236" t="s">
        <v>165</v>
      </c>
      <c r="N1236" t="str">
        <f t="shared" si="54"/>
        <v>Szanowna Pani</v>
      </c>
      <c r="P1236" s="19" t="s">
        <v>9776</v>
      </c>
      <c r="U1236" t="str">
        <f t="shared" si="57"/>
        <v>tak</v>
      </c>
    </row>
    <row r="1237" spans="1:21">
      <c r="A1237">
        <v>1281</v>
      </c>
      <c r="B1237" t="s">
        <v>5897</v>
      </c>
      <c r="C1237" t="s">
        <v>5878</v>
      </c>
      <c r="D1237" t="s">
        <v>5879</v>
      </c>
      <c r="E1237" t="s">
        <v>5880</v>
      </c>
      <c r="F1237" t="s">
        <v>5881</v>
      </c>
      <c r="G1237" t="s">
        <v>6081</v>
      </c>
      <c r="H1237" t="s">
        <v>6080</v>
      </c>
      <c r="I1237" t="s">
        <v>9213</v>
      </c>
      <c r="K1237" t="s">
        <v>164</v>
      </c>
      <c r="N1237" t="str">
        <f t="shared" si="54"/>
        <v>Szanowna Pani</v>
      </c>
      <c r="O1237" s="19" t="s">
        <v>9776</v>
      </c>
      <c r="U1237" t="str">
        <f t="shared" si="57"/>
        <v>tak</v>
      </c>
    </row>
    <row r="1238" spans="1:21">
      <c r="A1238">
        <v>1282</v>
      </c>
      <c r="B1238" t="s">
        <v>5897</v>
      </c>
      <c r="C1238" t="s">
        <v>5882</v>
      </c>
      <c r="D1238" t="s">
        <v>5883</v>
      </c>
      <c r="E1238" t="s">
        <v>5884</v>
      </c>
      <c r="F1238" t="s">
        <v>5885</v>
      </c>
      <c r="G1238" t="s">
        <v>6083</v>
      </c>
      <c r="H1238" t="s">
        <v>6082</v>
      </c>
      <c r="I1238" t="s">
        <v>9214</v>
      </c>
      <c r="K1238" t="s">
        <v>164</v>
      </c>
      <c r="N1238" t="str">
        <f t="shared" si="54"/>
        <v>Szanowna Pani</v>
      </c>
      <c r="O1238" s="19" t="s">
        <v>9776</v>
      </c>
      <c r="U1238" t="str">
        <f t="shared" si="57"/>
        <v>tak</v>
      </c>
    </row>
    <row r="1239" spans="1:21">
      <c r="A1239">
        <v>1283</v>
      </c>
      <c r="B1239" t="s">
        <v>5897</v>
      </c>
      <c r="C1239" t="s">
        <v>5886</v>
      </c>
      <c r="D1239" t="s">
        <v>5887</v>
      </c>
      <c r="E1239" t="s">
        <v>5888</v>
      </c>
      <c r="F1239" t="s">
        <v>5889</v>
      </c>
      <c r="G1239" t="s">
        <v>6085</v>
      </c>
      <c r="H1239" t="s">
        <v>6084</v>
      </c>
      <c r="I1239" t="s">
        <v>9215</v>
      </c>
      <c r="K1239" t="s">
        <v>164</v>
      </c>
      <c r="N1239" t="str">
        <f t="shared" ref="N1239:N1302" si="58">IF(ISERROR(FIND(",",H1239)),IF(MID(H1239,FIND(" ",H1239)-1,1)="a","Szanowna Pani","Szanowny Pan"), "Szanowne Panie")</f>
        <v>Szanowna Pani</v>
      </c>
      <c r="O1239" s="19" t="s">
        <v>9776</v>
      </c>
      <c r="U1239" t="str">
        <f t="shared" si="57"/>
        <v>tak</v>
      </c>
    </row>
    <row r="1240" spans="1:21">
      <c r="A1240">
        <v>1284</v>
      </c>
      <c r="B1240" t="s">
        <v>5897</v>
      </c>
      <c r="C1240" t="s">
        <v>5886</v>
      </c>
      <c r="D1240" t="s">
        <v>5887</v>
      </c>
      <c r="E1240" t="s">
        <v>5888</v>
      </c>
      <c r="F1240" t="s">
        <v>5889</v>
      </c>
      <c r="G1240" t="s">
        <v>6085</v>
      </c>
      <c r="H1240" t="s">
        <v>6086</v>
      </c>
      <c r="I1240" t="s">
        <v>9216</v>
      </c>
      <c r="K1240" t="s">
        <v>165</v>
      </c>
      <c r="N1240" t="str">
        <f t="shared" si="58"/>
        <v>Szanowna Pani</v>
      </c>
      <c r="P1240" s="19" t="s">
        <v>9776</v>
      </c>
      <c r="U1240" t="str">
        <f t="shared" si="57"/>
        <v>tak</v>
      </c>
    </row>
    <row r="1241" spans="1:21">
      <c r="A1241">
        <v>1285</v>
      </c>
      <c r="B1241" t="s">
        <v>5897</v>
      </c>
      <c r="C1241" t="s">
        <v>5890</v>
      </c>
      <c r="D1241" t="s">
        <v>5891</v>
      </c>
      <c r="E1241" t="s">
        <v>5892</v>
      </c>
      <c r="F1241" t="s">
        <v>5893</v>
      </c>
      <c r="G1241" t="s">
        <v>6088</v>
      </c>
      <c r="H1241" t="s">
        <v>6087</v>
      </c>
      <c r="I1241" t="s">
        <v>9217</v>
      </c>
      <c r="K1241" t="s">
        <v>164</v>
      </c>
      <c r="N1241" t="str">
        <f t="shared" si="58"/>
        <v>Szanowna Pani</v>
      </c>
      <c r="O1241" s="19" t="s">
        <v>9776</v>
      </c>
      <c r="U1241" t="str">
        <f t="shared" si="57"/>
        <v>tak</v>
      </c>
    </row>
    <row r="1242" spans="1:21">
      <c r="A1242">
        <v>1286</v>
      </c>
      <c r="B1242" t="s">
        <v>5897</v>
      </c>
      <c r="C1242" t="s">
        <v>5894</v>
      </c>
      <c r="D1242" t="s">
        <v>5895</v>
      </c>
      <c r="E1242" t="s">
        <v>5896</v>
      </c>
      <c r="F1242" t="s">
        <v>5736</v>
      </c>
      <c r="G1242" t="s">
        <v>6090</v>
      </c>
      <c r="H1242" t="s">
        <v>6089</v>
      </c>
      <c r="I1242" t="s">
        <v>9218</v>
      </c>
      <c r="K1242" t="s">
        <v>165</v>
      </c>
      <c r="N1242" t="str">
        <f t="shared" si="58"/>
        <v>Szanowna Pani</v>
      </c>
      <c r="P1242" s="19" t="s">
        <v>9776</v>
      </c>
      <c r="U1242" t="str">
        <f t="shared" si="57"/>
        <v>tak</v>
      </c>
    </row>
    <row r="1243" spans="1:21">
      <c r="A1243">
        <v>1287</v>
      </c>
      <c r="B1243" t="s">
        <v>5897</v>
      </c>
      <c r="C1243" t="s">
        <v>5897</v>
      </c>
      <c r="D1243" t="s">
        <v>5898</v>
      </c>
      <c r="E1243" t="s">
        <v>5899</v>
      </c>
      <c r="F1243" t="s">
        <v>5900</v>
      </c>
      <c r="G1243" t="s">
        <v>6092</v>
      </c>
      <c r="H1243" t="s">
        <v>6091</v>
      </c>
      <c r="I1243" t="s">
        <v>9219</v>
      </c>
      <c r="K1243" t="s">
        <v>164</v>
      </c>
      <c r="N1243" t="str">
        <f t="shared" si="58"/>
        <v>Szanowny Pan</v>
      </c>
      <c r="O1243" s="19" t="s">
        <v>9776</v>
      </c>
      <c r="U1243" t="str">
        <f t="shared" si="57"/>
        <v>tak</v>
      </c>
    </row>
    <row r="1244" spans="1:21">
      <c r="A1244">
        <v>1288</v>
      </c>
      <c r="B1244" t="s">
        <v>5897</v>
      </c>
      <c r="C1244" t="s">
        <v>5897</v>
      </c>
      <c r="D1244" t="s">
        <v>5901</v>
      </c>
      <c r="E1244" t="s">
        <v>5902</v>
      </c>
      <c r="F1244" t="s">
        <v>5903</v>
      </c>
      <c r="G1244" t="s">
        <v>6094</v>
      </c>
      <c r="H1244" t="s">
        <v>6093</v>
      </c>
      <c r="I1244" t="s">
        <v>9220</v>
      </c>
      <c r="K1244" t="s">
        <v>164</v>
      </c>
      <c r="N1244" t="str">
        <f t="shared" si="58"/>
        <v>Szanowna Pani</v>
      </c>
      <c r="O1244" s="19" t="s">
        <v>9776</v>
      </c>
      <c r="U1244" t="str">
        <f t="shared" si="57"/>
        <v>tak</v>
      </c>
    </row>
    <row r="1245" spans="1:21">
      <c r="A1245">
        <v>1289</v>
      </c>
      <c r="B1245" t="s">
        <v>5897</v>
      </c>
      <c r="C1245" t="s">
        <v>5897</v>
      </c>
      <c r="D1245" t="s">
        <v>3348</v>
      </c>
      <c r="E1245" t="s">
        <v>5904</v>
      </c>
      <c r="F1245" t="s">
        <v>5905</v>
      </c>
      <c r="G1245" t="s">
        <v>6096</v>
      </c>
      <c r="H1245" t="s">
        <v>6095</v>
      </c>
      <c r="I1245" t="s">
        <v>9221</v>
      </c>
      <c r="K1245" t="s">
        <v>164</v>
      </c>
      <c r="N1245" t="str">
        <f t="shared" si="58"/>
        <v>Szanowna Pani</v>
      </c>
      <c r="O1245" s="19" t="s">
        <v>9776</v>
      </c>
      <c r="U1245" t="str">
        <f t="shared" si="57"/>
        <v>tak</v>
      </c>
    </row>
    <row r="1246" spans="1:21">
      <c r="A1246">
        <v>1290</v>
      </c>
      <c r="B1246" t="s">
        <v>5897</v>
      </c>
      <c r="C1246" t="s">
        <v>5897</v>
      </c>
      <c r="D1246" t="s">
        <v>2648</v>
      </c>
      <c r="E1246" t="s">
        <v>5906</v>
      </c>
      <c r="F1246" t="s">
        <v>5907</v>
      </c>
      <c r="G1246" t="s">
        <v>6098</v>
      </c>
      <c r="H1246" t="s">
        <v>6097</v>
      </c>
      <c r="I1246" t="s">
        <v>9222</v>
      </c>
      <c r="K1246" t="s">
        <v>164</v>
      </c>
      <c r="N1246" t="str">
        <f t="shared" si="58"/>
        <v>Szanowna Pani</v>
      </c>
      <c r="O1246" s="19" t="s">
        <v>9776</v>
      </c>
      <c r="U1246" t="str">
        <f t="shared" si="57"/>
        <v>tak</v>
      </c>
    </row>
    <row r="1247" spans="1:21">
      <c r="A1247">
        <v>1291</v>
      </c>
      <c r="B1247" t="s">
        <v>5897</v>
      </c>
      <c r="C1247" t="s">
        <v>5897</v>
      </c>
      <c r="D1247" t="s">
        <v>5908</v>
      </c>
      <c r="E1247" t="s">
        <v>5909</v>
      </c>
      <c r="F1247" t="s">
        <v>5910</v>
      </c>
      <c r="G1247" t="s">
        <v>6100</v>
      </c>
      <c r="H1247" t="s">
        <v>6099</v>
      </c>
      <c r="I1247" t="s">
        <v>9223</v>
      </c>
      <c r="K1247" t="s">
        <v>164</v>
      </c>
      <c r="N1247" t="str">
        <f t="shared" si="58"/>
        <v>Szanowna Pani</v>
      </c>
      <c r="O1247" s="19" t="s">
        <v>9776</v>
      </c>
      <c r="U1247" t="str">
        <f t="shared" si="57"/>
        <v>tak</v>
      </c>
    </row>
    <row r="1248" spans="1:21">
      <c r="A1248">
        <v>1292</v>
      </c>
      <c r="B1248" t="s">
        <v>5897</v>
      </c>
      <c r="C1248" t="s">
        <v>5897</v>
      </c>
      <c r="D1248" t="s">
        <v>2651</v>
      </c>
      <c r="E1248" t="s">
        <v>5911</v>
      </c>
      <c r="F1248" t="s">
        <v>5912</v>
      </c>
      <c r="G1248" t="s">
        <v>6102</v>
      </c>
      <c r="H1248" t="s">
        <v>6101</v>
      </c>
      <c r="I1248" t="s">
        <v>9224</v>
      </c>
      <c r="K1248" t="s">
        <v>164</v>
      </c>
      <c r="N1248" t="str">
        <f t="shared" si="58"/>
        <v>Szanowna Pani</v>
      </c>
      <c r="O1248" s="19" t="s">
        <v>9776</v>
      </c>
      <c r="U1248" t="str">
        <f t="shared" si="57"/>
        <v>tak</v>
      </c>
    </row>
    <row r="1249" spans="1:21">
      <c r="A1249">
        <v>1293</v>
      </c>
      <c r="B1249" t="s">
        <v>5897</v>
      </c>
      <c r="C1249" t="s">
        <v>5897</v>
      </c>
      <c r="D1249" t="s">
        <v>2665</v>
      </c>
      <c r="E1249" t="s">
        <v>5913</v>
      </c>
      <c r="F1249" t="s">
        <v>5914</v>
      </c>
      <c r="G1249">
        <v>914646971</v>
      </c>
      <c r="H1249" t="s">
        <v>6103</v>
      </c>
      <c r="I1249" t="s">
        <v>9225</v>
      </c>
      <c r="K1249" t="s">
        <v>164</v>
      </c>
      <c r="N1249" t="str">
        <f t="shared" si="58"/>
        <v>Szanowna Pani</v>
      </c>
      <c r="O1249" s="19" t="s">
        <v>9776</v>
      </c>
      <c r="U1249" t="str">
        <f t="shared" si="57"/>
        <v>tak</v>
      </c>
    </row>
    <row r="1250" spans="1:21">
      <c r="A1250">
        <v>1294</v>
      </c>
      <c r="B1250" t="s">
        <v>5897</v>
      </c>
      <c r="C1250" t="s">
        <v>5897</v>
      </c>
      <c r="D1250" t="s">
        <v>5915</v>
      </c>
      <c r="E1250" t="s">
        <v>5916</v>
      </c>
      <c r="F1250" t="s">
        <v>5917</v>
      </c>
      <c r="G1250" t="s">
        <v>6105</v>
      </c>
      <c r="H1250" t="s">
        <v>6104</v>
      </c>
      <c r="I1250" t="s">
        <v>9226</v>
      </c>
      <c r="K1250" t="s">
        <v>164</v>
      </c>
      <c r="N1250" t="str">
        <f t="shared" si="58"/>
        <v>Szanowny Pan</v>
      </c>
      <c r="O1250" s="19" t="s">
        <v>9776</v>
      </c>
      <c r="U1250" t="str">
        <f t="shared" si="57"/>
        <v>tak</v>
      </c>
    </row>
    <row r="1251" spans="1:21">
      <c r="A1251">
        <v>1295</v>
      </c>
      <c r="B1251" t="s">
        <v>5897</v>
      </c>
      <c r="C1251" t="s">
        <v>5897</v>
      </c>
      <c r="D1251" t="s">
        <v>5918</v>
      </c>
      <c r="E1251" t="s">
        <v>5919</v>
      </c>
      <c r="F1251" t="s">
        <v>5920</v>
      </c>
      <c r="G1251" t="s">
        <v>6107</v>
      </c>
      <c r="H1251" t="s">
        <v>6106</v>
      </c>
      <c r="I1251" t="s">
        <v>9227</v>
      </c>
      <c r="K1251" t="s">
        <v>164</v>
      </c>
      <c r="N1251" t="str">
        <f t="shared" si="58"/>
        <v>Szanowna Pani</v>
      </c>
      <c r="O1251" s="19" t="s">
        <v>9776</v>
      </c>
      <c r="U1251" t="str">
        <f t="shared" si="57"/>
        <v>tak</v>
      </c>
    </row>
    <row r="1252" spans="1:21">
      <c r="A1252">
        <v>1296</v>
      </c>
      <c r="B1252" t="s">
        <v>5897</v>
      </c>
      <c r="C1252" t="s">
        <v>5897</v>
      </c>
      <c r="D1252" t="s">
        <v>5921</v>
      </c>
      <c r="E1252" t="s">
        <v>5922</v>
      </c>
      <c r="F1252" t="s">
        <v>5923</v>
      </c>
      <c r="G1252" t="s">
        <v>6109</v>
      </c>
      <c r="H1252" t="s">
        <v>6108</v>
      </c>
      <c r="I1252" t="s">
        <v>9228</v>
      </c>
      <c r="K1252" t="s">
        <v>164</v>
      </c>
      <c r="N1252" t="str">
        <f t="shared" si="58"/>
        <v>Szanowny Pan</v>
      </c>
      <c r="O1252" s="19" t="s">
        <v>9776</v>
      </c>
      <c r="U1252" t="str">
        <f t="shared" si="57"/>
        <v>tak</v>
      </c>
    </row>
    <row r="1253" spans="1:21">
      <c r="A1253">
        <v>1297</v>
      </c>
      <c r="B1253" t="s">
        <v>5897</v>
      </c>
      <c r="C1253" t="s">
        <v>5897</v>
      </c>
      <c r="D1253" t="s">
        <v>5924</v>
      </c>
      <c r="E1253" t="s">
        <v>5925</v>
      </c>
      <c r="F1253" t="s">
        <v>5926</v>
      </c>
      <c r="G1253" t="s">
        <v>6135</v>
      </c>
      <c r="H1253" t="s">
        <v>6134</v>
      </c>
      <c r="I1253" t="s">
        <v>9229</v>
      </c>
      <c r="K1253" t="s">
        <v>164</v>
      </c>
      <c r="N1253" t="str">
        <f t="shared" si="58"/>
        <v>Szanowna Pani</v>
      </c>
      <c r="O1253" s="19" t="s">
        <v>9776</v>
      </c>
      <c r="U1253" t="str">
        <f t="shared" si="57"/>
        <v>tak</v>
      </c>
    </row>
    <row r="1254" spans="1:21">
      <c r="A1254">
        <v>1298</v>
      </c>
      <c r="B1254" t="s">
        <v>5897</v>
      </c>
      <c r="C1254" t="s">
        <v>5927</v>
      </c>
      <c r="D1254" t="s">
        <v>251</v>
      </c>
      <c r="E1254" t="s">
        <v>5928</v>
      </c>
      <c r="F1254" t="s">
        <v>5929</v>
      </c>
      <c r="G1254" t="s">
        <v>6111</v>
      </c>
      <c r="H1254" t="s">
        <v>6110</v>
      </c>
      <c r="I1254" t="s">
        <v>9230</v>
      </c>
      <c r="K1254" t="s">
        <v>224</v>
      </c>
      <c r="N1254" t="str">
        <f t="shared" si="58"/>
        <v>Szanowna Pani</v>
      </c>
      <c r="Q1254" s="19" t="s">
        <v>9776</v>
      </c>
      <c r="U1254" t="str">
        <f t="shared" si="57"/>
        <v>tak</v>
      </c>
    </row>
    <row r="1255" spans="1:21">
      <c r="A1255">
        <v>1299</v>
      </c>
      <c r="B1255" t="s">
        <v>5897</v>
      </c>
      <c r="C1255" t="s">
        <v>5927</v>
      </c>
      <c r="D1255" t="s">
        <v>251</v>
      </c>
      <c r="E1255" t="s">
        <v>5928</v>
      </c>
      <c r="F1255" t="s">
        <v>5929</v>
      </c>
      <c r="G1255" t="s">
        <v>6111</v>
      </c>
      <c r="H1255" t="s">
        <v>6110</v>
      </c>
      <c r="I1255" t="s">
        <v>9230</v>
      </c>
      <c r="K1255" t="s">
        <v>165</v>
      </c>
      <c r="N1255" t="str">
        <f t="shared" si="58"/>
        <v>Szanowna Pani</v>
      </c>
      <c r="P1255" s="19" t="s">
        <v>9776</v>
      </c>
      <c r="U1255" t="str">
        <f t="shared" si="57"/>
        <v>tak</v>
      </c>
    </row>
    <row r="1256" spans="1:21">
      <c r="A1256">
        <v>1300</v>
      </c>
      <c r="B1256" t="s">
        <v>5897</v>
      </c>
      <c r="C1256" t="s">
        <v>5930</v>
      </c>
      <c r="D1256" t="s">
        <v>290</v>
      </c>
      <c r="E1256" t="s">
        <v>5931</v>
      </c>
      <c r="F1256" t="s">
        <v>5932</v>
      </c>
      <c r="G1256" t="s">
        <v>6113</v>
      </c>
      <c r="H1256" t="s">
        <v>6112</v>
      </c>
      <c r="I1256" t="s">
        <v>9183</v>
      </c>
      <c r="K1256" t="s">
        <v>164</v>
      </c>
      <c r="N1256" t="str">
        <f t="shared" si="58"/>
        <v>Szanowna Pani</v>
      </c>
      <c r="O1256" s="19" t="s">
        <v>9776</v>
      </c>
      <c r="U1256" t="str">
        <f t="shared" si="57"/>
        <v>tak</v>
      </c>
    </row>
    <row r="1257" spans="1:21">
      <c r="A1257">
        <v>1301</v>
      </c>
      <c r="B1257" t="s">
        <v>5897</v>
      </c>
      <c r="C1257" t="s">
        <v>5930</v>
      </c>
      <c r="D1257" t="s">
        <v>290</v>
      </c>
      <c r="E1257" t="s">
        <v>5931</v>
      </c>
      <c r="F1257" t="s">
        <v>5932</v>
      </c>
      <c r="G1257" t="s">
        <v>6113</v>
      </c>
      <c r="H1257" t="s">
        <v>6114</v>
      </c>
      <c r="I1257" t="s">
        <v>9183</v>
      </c>
      <c r="K1257" t="s">
        <v>165</v>
      </c>
      <c r="N1257" t="str">
        <f t="shared" si="58"/>
        <v>Szanowna Pani</v>
      </c>
      <c r="P1257" s="19" t="s">
        <v>9776</v>
      </c>
      <c r="U1257" t="str">
        <f>+O1257 &amp;P1257&amp;Q1257</f>
        <v>tak</v>
      </c>
    </row>
    <row r="1258" spans="1:21">
      <c r="A1258">
        <v>1302</v>
      </c>
      <c r="B1258" t="s">
        <v>5897</v>
      </c>
      <c r="C1258" t="s">
        <v>5933</v>
      </c>
      <c r="D1258" t="s">
        <v>5934</v>
      </c>
      <c r="E1258" t="s">
        <v>5935</v>
      </c>
      <c r="F1258" t="s">
        <v>5936</v>
      </c>
      <c r="G1258" t="s">
        <v>6116</v>
      </c>
      <c r="H1258" t="s">
        <v>6115</v>
      </c>
      <c r="I1258" t="s">
        <v>9231</v>
      </c>
      <c r="K1258" t="s">
        <v>164</v>
      </c>
      <c r="N1258" t="str">
        <f t="shared" si="58"/>
        <v>Szanowna Pani</v>
      </c>
      <c r="O1258" s="19" t="s">
        <v>9776</v>
      </c>
      <c r="U1258" t="str">
        <f t="shared" ref="U1258:U1292" si="59">+O1258 &amp;P1258&amp;Q1258</f>
        <v>tak</v>
      </c>
    </row>
    <row r="1259" spans="1:21">
      <c r="A1259">
        <v>1303</v>
      </c>
      <c r="B1259" t="s">
        <v>5897</v>
      </c>
      <c r="C1259" t="s">
        <v>5933</v>
      </c>
      <c r="D1259" t="s">
        <v>5934</v>
      </c>
      <c r="E1259" t="s">
        <v>5935</v>
      </c>
      <c r="F1259" t="s">
        <v>5936</v>
      </c>
      <c r="G1259" t="s">
        <v>6118</v>
      </c>
      <c r="H1259" t="s">
        <v>6117</v>
      </c>
      <c r="I1259" t="s">
        <v>9231</v>
      </c>
      <c r="K1259" t="s">
        <v>165</v>
      </c>
      <c r="N1259" t="str">
        <f t="shared" si="58"/>
        <v>Szanowna Pani</v>
      </c>
      <c r="P1259" s="19" t="s">
        <v>9776</v>
      </c>
      <c r="U1259" t="str">
        <f t="shared" si="59"/>
        <v>tak</v>
      </c>
    </row>
    <row r="1260" spans="1:21">
      <c r="A1260">
        <v>1304</v>
      </c>
      <c r="B1260" t="s">
        <v>5897</v>
      </c>
      <c r="C1260" t="s">
        <v>5937</v>
      </c>
      <c r="D1260" t="s">
        <v>5938</v>
      </c>
      <c r="E1260" t="s">
        <v>5939</v>
      </c>
      <c r="F1260" t="s">
        <v>5940</v>
      </c>
      <c r="G1260" t="s">
        <v>6120</v>
      </c>
      <c r="H1260" t="s">
        <v>6119</v>
      </c>
      <c r="I1260" t="s">
        <v>9232</v>
      </c>
      <c r="K1260" t="s">
        <v>164</v>
      </c>
      <c r="N1260" t="str">
        <f t="shared" si="58"/>
        <v>Szanowna Pani</v>
      </c>
      <c r="O1260" s="19" t="s">
        <v>9776</v>
      </c>
      <c r="S1260" t="s">
        <v>9712</v>
      </c>
      <c r="U1260" t="str">
        <f t="shared" si="59"/>
        <v>tak</v>
      </c>
    </row>
    <row r="1261" spans="1:21">
      <c r="A1261">
        <v>1305</v>
      </c>
      <c r="B1261" t="s">
        <v>5897</v>
      </c>
      <c r="C1261" t="s">
        <v>5941</v>
      </c>
      <c r="D1261" t="s">
        <v>6124</v>
      </c>
      <c r="E1261" t="s">
        <v>6123</v>
      </c>
      <c r="F1261" t="s">
        <v>5736</v>
      </c>
      <c r="G1261" t="s">
        <v>6122</v>
      </c>
      <c r="H1261" t="s">
        <v>6121</v>
      </c>
      <c r="I1261" t="s">
        <v>9233</v>
      </c>
      <c r="K1261" t="s">
        <v>565</v>
      </c>
      <c r="L1261" t="s">
        <v>165</v>
      </c>
      <c r="M1261" t="s">
        <v>224</v>
      </c>
      <c r="N1261" t="str">
        <f t="shared" si="58"/>
        <v>Szanowny Pan</v>
      </c>
      <c r="P1261" s="19" t="s">
        <v>9776</v>
      </c>
      <c r="Q1261" s="19" t="s">
        <v>9776</v>
      </c>
      <c r="U1261" t="str">
        <f t="shared" si="59"/>
        <v>taktak</v>
      </c>
    </row>
    <row r="1262" spans="1:21">
      <c r="A1262">
        <v>1306</v>
      </c>
      <c r="B1262" t="s">
        <v>5897</v>
      </c>
      <c r="C1262" t="s">
        <v>5942</v>
      </c>
      <c r="D1262" t="s">
        <v>5943</v>
      </c>
      <c r="E1262" t="s">
        <v>5944</v>
      </c>
      <c r="F1262" t="s">
        <v>5945</v>
      </c>
      <c r="G1262" t="s">
        <v>6126</v>
      </c>
      <c r="H1262" t="s">
        <v>6125</v>
      </c>
      <c r="I1262" t="s">
        <v>9234</v>
      </c>
      <c r="K1262" t="s">
        <v>565</v>
      </c>
      <c r="L1262" t="s">
        <v>165</v>
      </c>
      <c r="M1262" t="s">
        <v>224</v>
      </c>
      <c r="N1262" t="str">
        <f t="shared" si="58"/>
        <v>Szanowna Pani</v>
      </c>
      <c r="P1262" s="19" t="s">
        <v>9776</v>
      </c>
      <c r="Q1262" s="19" t="s">
        <v>9776</v>
      </c>
      <c r="U1262" t="str">
        <f t="shared" si="59"/>
        <v>taktak</v>
      </c>
    </row>
    <row r="1263" spans="1:21">
      <c r="A1263">
        <v>1307</v>
      </c>
      <c r="B1263" t="s">
        <v>5897</v>
      </c>
      <c r="C1263" t="s">
        <v>5946</v>
      </c>
      <c r="D1263" t="s">
        <v>5947</v>
      </c>
      <c r="E1263" t="s">
        <v>5948</v>
      </c>
      <c r="F1263" t="s">
        <v>5828</v>
      </c>
      <c r="G1263" t="s">
        <v>6127</v>
      </c>
      <c r="H1263" t="s">
        <v>6075</v>
      </c>
      <c r="I1263" t="s">
        <v>9235</v>
      </c>
      <c r="K1263" t="s">
        <v>164</v>
      </c>
      <c r="N1263" t="str">
        <f t="shared" si="58"/>
        <v>Szanowna Pani</v>
      </c>
      <c r="O1263" s="19" t="s">
        <v>9776</v>
      </c>
      <c r="S1263" t="s">
        <v>9712</v>
      </c>
      <c r="U1263" t="str">
        <f t="shared" si="59"/>
        <v>tak</v>
      </c>
    </row>
    <row r="1264" spans="1:21">
      <c r="A1264">
        <v>1308</v>
      </c>
      <c r="B1264" t="s">
        <v>5897</v>
      </c>
      <c r="C1264" t="s">
        <v>5949</v>
      </c>
      <c r="D1264" t="s">
        <v>5950</v>
      </c>
      <c r="E1264" t="s">
        <v>5951</v>
      </c>
      <c r="F1264" t="s">
        <v>5952</v>
      </c>
      <c r="G1264" t="s">
        <v>6129</v>
      </c>
      <c r="H1264" t="s">
        <v>6128</v>
      </c>
      <c r="I1264" t="s">
        <v>9236</v>
      </c>
      <c r="K1264" t="s">
        <v>164</v>
      </c>
      <c r="N1264" t="str">
        <f t="shared" si="58"/>
        <v>Szanowna Pani</v>
      </c>
      <c r="O1264" s="19" t="s">
        <v>9776</v>
      </c>
      <c r="U1264" t="str">
        <f t="shared" si="59"/>
        <v>tak</v>
      </c>
    </row>
    <row r="1265" spans="1:21">
      <c r="A1265">
        <v>1309</v>
      </c>
      <c r="B1265" t="s">
        <v>5897</v>
      </c>
      <c r="C1265" t="s">
        <v>5949</v>
      </c>
      <c r="D1265" t="s">
        <v>5950</v>
      </c>
      <c r="E1265" t="s">
        <v>5951</v>
      </c>
      <c r="F1265" t="s">
        <v>5952</v>
      </c>
      <c r="G1265" t="s">
        <v>6129</v>
      </c>
      <c r="H1265" t="s">
        <v>6130</v>
      </c>
      <c r="I1265" t="s">
        <v>9236</v>
      </c>
      <c r="K1265" t="s">
        <v>165</v>
      </c>
      <c r="N1265" t="str">
        <f t="shared" si="58"/>
        <v>Szanowna Pani</v>
      </c>
      <c r="P1265" s="19" t="s">
        <v>9776</v>
      </c>
      <c r="U1265" t="str">
        <f t="shared" si="59"/>
        <v>tak</v>
      </c>
    </row>
    <row r="1266" spans="1:21">
      <c r="A1266">
        <v>1310</v>
      </c>
      <c r="B1266" t="s">
        <v>5897</v>
      </c>
      <c r="C1266" t="s">
        <v>5953</v>
      </c>
      <c r="D1266" t="s">
        <v>5954</v>
      </c>
      <c r="E1266" t="s">
        <v>5955</v>
      </c>
      <c r="F1266" t="s">
        <v>5736</v>
      </c>
      <c r="G1266" t="s">
        <v>6132</v>
      </c>
      <c r="H1266" t="s">
        <v>6131</v>
      </c>
      <c r="I1266" t="s">
        <v>9237</v>
      </c>
      <c r="K1266" t="s">
        <v>165</v>
      </c>
      <c r="N1266" t="str">
        <f t="shared" si="58"/>
        <v>Szanowna Pani</v>
      </c>
      <c r="P1266" s="19" t="s">
        <v>9776</v>
      </c>
      <c r="U1266" t="str">
        <f t="shared" si="59"/>
        <v>tak</v>
      </c>
    </row>
    <row r="1267" spans="1:21">
      <c r="A1267">
        <v>1311</v>
      </c>
      <c r="B1267" t="s">
        <v>6149</v>
      </c>
      <c r="C1267" t="s">
        <v>6136</v>
      </c>
      <c r="D1267" t="s">
        <v>6153</v>
      </c>
      <c r="F1267" t="s">
        <v>6152</v>
      </c>
      <c r="G1267" t="s">
        <v>6151</v>
      </c>
      <c r="H1267" t="s">
        <v>6150</v>
      </c>
      <c r="I1267" t="s">
        <v>9238</v>
      </c>
      <c r="K1267" t="s">
        <v>165</v>
      </c>
      <c r="N1267" t="str">
        <f t="shared" si="58"/>
        <v>Szanowna Pani</v>
      </c>
      <c r="P1267" s="19" t="s">
        <v>9776</v>
      </c>
      <c r="U1267" t="str">
        <f t="shared" si="59"/>
        <v>tak</v>
      </c>
    </row>
    <row r="1268" spans="1:21">
      <c r="A1268">
        <v>1312</v>
      </c>
      <c r="B1268" t="s">
        <v>6149</v>
      </c>
      <c r="C1268" t="s">
        <v>6136</v>
      </c>
      <c r="D1268" t="s">
        <v>6157</v>
      </c>
      <c r="E1268" t="s">
        <v>4614</v>
      </c>
      <c r="F1268" t="s">
        <v>6156</v>
      </c>
      <c r="G1268" t="s">
        <v>6155</v>
      </c>
      <c r="H1268" t="s">
        <v>6154</v>
      </c>
      <c r="I1268" t="s">
        <v>9239</v>
      </c>
      <c r="K1268" t="s">
        <v>164</v>
      </c>
      <c r="N1268" t="str">
        <f t="shared" si="58"/>
        <v>Szanowna Pani</v>
      </c>
      <c r="O1268" s="19" t="s">
        <v>9776</v>
      </c>
      <c r="U1268" t="str">
        <f t="shared" si="59"/>
        <v>tak</v>
      </c>
    </row>
    <row r="1269" spans="1:21">
      <c r="A1269">
        <v>1313</v>
      </c>
      <c r="B1269" t="s">
        <v>6149</v>
      </c>
      <c r="C1269" t="s">
        <v>6136</v>
      </c>
      <c r="D1269" t="s">
        <v>6160</v>
      </c>
      <c r="E1269" t="s">
        <v>6159</v>
      </c>
      <c r="F1269" t="s">
        <v>6156</v>
      </c>
      <c r="G1269" t="s">
        <v>6158</v>
      </c>
      <c r="H1269" t="s">
        <v>6154</v>
      </c>
      <c r="I1269" t="s">
        <v>9239</v>
      </c>
      <c r="K1269" t="s">
        <v>165</v>
      </c>
      <c r="N1269" t="str">
        <f t="shared" si="58"/>
        <v>Szanowna Pani</v>
      </c>
      <c r="P1269" s="19" t="s">
        <v>9776</v>
      </c>
      <c r="U1269" t="str">
        <f t="shared" si="59"/>
        <v>tak</v>
      </c>
    </row>
    <row r="1270" spans="1:21">
      <c r="A1270">
        <v>1314</v>
      </c>
      <c r="B1270" t="s">
        <v>6149</v>
      </c>
      <c r="C1270" t="s">
        <v>6136</v>
      </c>
      <c r="D1270" t="s">
        <v>6165</v>
      </c>
      <c r="E1270" t="s">
        <v>6164</v>
      </c>
      <c r="F1270" t="s">
        <v>6163</v>
      </c>
      <c r="G1270" t="s">
        <v>6162</v>
      </c>
      <c r="H1270" t="s">
        <v>6161</v>
      </c>
      <c r="I1270" t="s">
        <v>9240</v>
      </c>
      <c r="K1270" t="s">
        <v>164</v>
      </c>
      <c r="N1270" t="str">
        <f t="shared" si="58"/>
        <v>Szanowna Pani</v>
      </c>
      <c r="O1270" s="19" t="s">
        <v>9776</v>
      </c>
      <c r="U1270" t="str">
        <f t="shared" si="59"/>
        <v>tak</v>
      </c>
    </row>
    <row r="1271" spans="1:21">
      <c r="A1271">
        <v>1315</v>
      </c>
      <c r="B1271" t="s">
        <v>6149</v>
      </c>
      <c r="C1271" t="s">
        <v>6136</v>
      </c>
      <c r="D1271" t="s">
        <v>6170</v>
      </c>
      <c r="E1271" t="s">
        <v>6169</v>
      </c>
      <c r="F1271" t="s">
        <v>6168</v>
      </c>
      <c r="G1271" t="s">
        <v>6167</v>
      </c>
      <c r="H1271" t="s">
        <v>6166</v>
      </c>
      <c r="I1271" t="s">
        <v>9241</v>
      </c>
      <c r="K1271" t="s">
        <v>164</v>
      </c>
      <c r="N1271" t="str">
        <f t="shared" si="58"/>
        <v>Szanowna Pani</v>
      </c>
      <c r="O1271" s="19" t="s">
        <v>9776</v>
      </c>
      <c r="U1271" t="str">
        <f t="shared" si="59"/>
        <v>tak</v>
      </c>
    </row>
    <row r="1272" spans="1:21">
      <c r="A1272">
        <v>1316</v>
      </c>
      <c r="B1272" t="s">
        <v>6149</v>
      </c>
      <c r="C1272" t="s">
        <v>6136</v>
      </c>
      <c r="D1272" t="s">
        <v>6175</v>
      </c>
      <c r="E1272" t="s">
        <v>6174</v>
      </c>
      <c r="F1272" t="s">
        <v>6173</v>
      </c>
      <c r="G1272" t="s">
        <v>6172</v>
      </c>
      <c r="H1272" t="s">
        <v>6171</v>
      </c>
      <c r="I1272" t="s">
        <v>9242</v>
      </c>
      <c r="K1272" t="s">
        <v>164</v>
      </c>
      <c r="N1272" t="str">
        <f t="shared" si="58"/>
        <v>Szanowna Pani</v>
      </c>
      <c r="O1272" s="19" t="s">
        <v>9776</v>
      </c>
      <c r="U1272" t="str">
        <f t="shared" si="59"/>
        <v>tak</v>
      </c>
    </row>
    <row r="1273" spans="1:21">
      <c r="A1273">
        <v>1317</v>
      </c>
      <c r="B1273" t="s">
        <v>6149</v>
      </c>
      <c r="C1273" t="s">
        <v>6136</v>
      </c>
      <c r="D1273" t="s">
        <v>9672</v>
      </c>
      <c r="E1273" t="s">
        <v>9673</v>
      </c>
      <c r="F1273" t="s">
        <v>6178</v>
      </c>
      <c r="G1273" t="s">
        <v>6177</v>
      </c>
      <c r="H1273" t="s">
        <v>6176</v>
      </c>
      <c r="I1273" t="s">
        <v>9243</v>
      </c>
      <c r="K1273" t="s">
        <v>164</v>
      </c>
      <c r="N1273" t="str">
        <f t="shared" si="58"/>
        <v>Szanowna Pani</v>
      </c>
      <c r="O1273" s="19" t="s">
        <v>9776</v>
      </c>
      <c r="U1273" t="str">
        <f t="shared" si="59"/>
        <v>tak</v>
      </c>
    </row>
    <row r="1274" spans="1:21">
      <c r="A1274">
        <v>1318</v>
      </c>
      <c r="B1274" t="s">
        <v>6149</v>
      </c>
      <c r="C1274" t="s">
        <v>6136</v>
      </c>
      <c r="D1274" t="s">
        <v>6183</v>
      </c>
      <c r="E1274" t="s">
        <v>6182</v>
      </c>
      <c r="F1274" t="s">
        <v>6181</v>
      </c>
      <c r="G1274" t="s">
        <v>6180</v>
      </c>
      <c r="H1274" t="s">
        <v>6179</v>
      </c>
      <c r="I1274" t="s">
        <v>9244</v>
      </c>
      <c r="K1274" t="s">
        <v>164</v>
      </c>
      <c r="N1274" t="str">
        <f t="shared" si="58"/>
        <v>Szanowna Pani</v>
      </c>
      <c r="O1274" s="19" t="s">
        <v>9776</v>
      </c>
      <c r="U1274" t="str">
        <f t="shared" si="59"/>
        <v>tak</v>
      </c>
    </row>
    <row r="1275" spans="1:21">
      <c r="A1275">
        <v>1319</v>
      </c>
      <c r="B1275" t="s">
        <v>6149</v>
      </c>
      <c r="C1275" t="s">
        <v>6136</v>
      </c>
      <c r="D1275" t="s">
        <v>6185</v>
      </c>
      <c r="E1275" t="s">
        <v>6182</v>
      </c>
      <c r="F1275" t="s">
        <v>6181</v>
      </c>
      <c r="G1275" t="s">
        <v>6180</v>
      </c>
      <c r="H1275" t="s">
        <v>6184</v>
      </c>
      <c r="I1275" t="s">
        <v>9244</v>
      </c>
      <c r="K1275" t="s">
        <v>165</v>
      </c>
      <c r="L1275" t="s">
        <v>224</v>
      </c>
      <c r="N1275" t="str">
        <f t="shared" si="58"/>
        <v>Szanowna Pani</v>
      </c>
      <c r="P1275" s="19" t="s">
        <v>9776</v>
      </c>
      <c r="U1275" t="str">
        <f t="shared" si="59"/>
        <v>tak</v>
      </c>
    </row>
    <row r="1276" spans="1:21">
      <c r="A1276">
        <v>1320</v>
      </c>
      <c r="B1276" t="s">
        <v>6149</v>
      </c>
      <c r="C1276" t="s">
        <v>936</v>
      </c>
      <c r="D1276" t="s">
        <v>6190</v>
      </c>
      <c r="E1276" t="s">
        <v>6189</v>
      </c>
      <c r="F1276" t="s">
        <v>6188</v>
      </c>
      <c r="G1276" t="s">
        <v>6187</v>
      </c>
      <c r="H1276" t="s">
        <v>6186</v>
      </c>
      <c r="I1276" t="s">
        <v>9245</v>
      </c>
      <c r="K1276" t="s">
        <v>165</v>
      </c>
      <c r="N1276" t="str">
        <f t="shared" si="58"/>
        <v>Szanowna Pani</v>
      </c>
      <c r="P1276" s="19" t="s">
        <v>9776</v>
      </c>
      <c r="U1276" t="str">
        <f t="shared" si="59"/>
        <v>tak</v>
      </c>
    </row>
    <row r="1277" spans="1:21">
      <c r="A1277">
        <v>1321</v>
      </c>
      <c r="B1277" t="s">
        <v>6149</v>
      </c>
      <c r="C1277" t="s">
        <v>936</v>
      </c>
      <c r="D1277" t="s">
        <v>6195</v>
      </c>
      <c r="E1277" t="s">
        <v>6194</v>
      </c>
      <c r="F1277" t="s">
        <v>6193</v>
      </c>
      <c r="G1277" t="s">
        <v>6192</v>
      </c>
      <c r="H1277" t="s">
        <v>6191</v>
      </c>
      <c r="I1277" t="s">
        <v>9246</v>
      </c>
      <c r="K1277" t="s">
        <v>565</v>
      </c>
      <c r="L1277" t="s">
        <v>165</v>
      </c>
      <c r="M1277" t="s">
        <v>224</v>
      </c>
      <c r="N1277" t="str">
        <f t="shared" si="58"/>
        <v>Szanowna Pani</v>
      </c>
      <c r="P1277" s="19" t="s">
        <v>9776</v>
      </c>
      <c r="Q1277" s="19" t="s">
        <v>9776</v>
      </c>
      <c r="U1277" t="str">
        <f t="shared" si="59"/>
        <v>taktak</v>
      </c>
    </row>
    <row r="1278" spans="1:21">
      <c r="A1278">
        <v>1322</v>
      </c>
      <c r="B1278" t="s">
        <v>6149</v>
      </c>
      <c r="C1278" t="s">
        <v>936</v>
      </c>
      <c r="D1278" t="s">
        <v>9674</v>
      </c>
      <c r="E1278" t="s">
        <v>9675</v>
      </c>
      <c r="F1278" t="s">
        <v>6198</v>
      </c>
      <c r="G1278" t="s">
        <v>6197</v>
      </c>
      <c r="H1278" t="s">
        <v>6196</v>
      </c>
      <c r="I1278" t="s">
        <v>9247</v>
      </c>
      <c r="K1278" t="s">
        <v>165</v>
      </c>
      <c r="L1278" t="s">
        <v>164</v>
      </c>
      <c r="N1278" t="str">
        <f t="shared" si="58"/>
        <v>Szanowna Pani</v>
      </c>
      <c r="P1278" s="19" t="s">
        <v>9776</v>
      </c>
      <c r="U1278" t="str">
        <f t="shared" si="59"/>
        <v>tak</v>
      </c>
    </row>
    <row r="1279" spans="1:21">
      <c r="A1279">
        <v>1323</v>
      </c>
      <c r="B1279" t="s">
        <v>6149</v>
      </c>
      <c r="C1279" t="s">
        <v>936</v>
      </c>
      <c r="D1279" t="s">
        <v>6203</v>
      </c>
      <c r="E1279" t="s">
        <v>6202</v>
      </c>
      <c r="F1279" t="s">
        <v>6201</v>
      </c>
      <c r="G1279" t="s">
        <v>6200</v>
      </c>
      <c r="H1279" t="s">
        <v>6199</v>
      </c>
      <c r="I1279" t="s">
        <v>9248</v>
      </c>
      <c r="K1279" t="s">
        <v>164</v>
      </c>
      <c r="N1279" t="str">
        <f t="shared" si="58"/>
        <v>Szanowna Pani</v>
      </c>
      <c r="O1279" s="19" t="s">
        <v>9776</v>
      </c>
      <c r="U1279" t="str">
        <f t="shared" si="59"/>
        <v>tak</v>
      </c>
    </row>
    <row r="1280" spans="1:21">
      <c r="A1280">
        <v>1324</v>
      </c>
      <c r="B1280" t="s">
        <v>6149</v>
      </c>
      <c r="C1280" t="s">
        <v>936</v>
      </c>
      <c r="D1280" t="s">
        <v>6207</v>
      </c>
      <c r="E1280" t="s">
        <v>4326</v>
      </c>
      <c r="F1280" t="s">
        <v>6206</v>
      </c>
      <c r="G1280" t="s">
        <v>6205</v>
      </c>
      <c r="H1280" t="s">
        <v>6204</v>
      </c>
      <c r="I1280" t="s">
        <v>9249</v>
      </c>
      <c r="K1280" t="s">
        <v>164</v>
      </c>
      <c r="L1280" t="s">
        <v>224</v>
      </c>
      <c r="M1280" t="s">
        <v>165</v>
      </c>
      <c r="N1280" t="str">
        <f t="shared" si="58"/>
        <v>Szanowna Pani</v>
      </c>
      <c r="O1280" s="19" t="s">
        <v>9776</v>
      </c>
      <c r="U1280" t="str">
        <f t="shared" si="59"/>
        <v>tak</v>
      </c>
    </row>
    <row r="1281" spans="1:21">
      <c r="A1281">
        <v>1325</v>
      </c>
      <c r="B1281" t="s">
        <v>6149</v>
      </c>
      <c r="C1281" t="s">
        <v>936</v>
      </c>
      <c r="D1281" t="s">
        <v>6212</v>
      </c>
      <c r="E1281" t="s">
        <v>6211</v>
      </c>
      <c r="F1281" t="s">
        <v>6210</v>
      </c>
      <c r="G1281" t="s">
        <v>6209</v>
      </c>
      <c r="H1281" t="s">
        <v>6208</v>
      </c>
      <c r="I1281" t="s">
        <v>9250</v>
      </c>
      <c r="K1281" t="s">
        <v>164</v>
      </c>
      <c r="N1281" t="str">
        <f t="shared" si="58"/>
        <v>Szanowna Pani</v>
      </c>
      <c r="O1281" s="19" t="s">
        <v>9776</v>
      </c>
      <c r="U1281" t="str">
        <f t="shared" si="59"/>
        <v>tak</v>
      </c>
    </row>
    <row r="1282" spans="1:21">
      <c r="A1282">
        <v>1326</v>
      </c>
      <c r="B1282" t="s">
        <v>6149</v>
      </c>
      <c r="C1282" t="s">
        <v>936</v>
      </c>
      <c r="D1282" t="s">
        <v>6216</v>
      </c>
      <c r="E1282" t="s">
        <v>6215</v>
      </c>
      <c r="F1282" t="s">
        <v>6210</v>
      </c>
      <c r="G1282" t="s">
        <v>6214</v>
      </c>
      <c r="H1282" t="s">
        <v>6213</v>
      </c>
      <c r="I1282" t="s">
        <v>9251</v>
      </c>
      <c r="K1282" t="s">
        <v>164</v>
      </c>
      <c r="N1282" t="str">
        <f t="shared" si="58"/>
        <v>Szanowna Pani</v>
      </c>
      <c r="O1282" s="19" t="s">
        <v>9776</v>
      </c>
      <c r="U1282" t="str">
        <f t="shared" si="59"/>
        <v>tak</v>
      </c>
    </row>
    <row r="1283" spans="1:21">
      <c r="A1283">
        <v>1327</v>
      </c>
      <c r="B1283" t="s">
        <v>6149</v>
      </c>
      <c r="C1283" t="s">
        <v>936</v>
      </c>
      <c r="D1283" t="s">
        <v>6220</v>
      </c>
      <c r="E1283" t="s">
        <v>6219</v>
      </c>
      <c r="F1283" t="s">
        <v>6210</v>
      </c>
      <c r="G1283" t="s">
        <v>6218</v>
      </c>
      <c r="H1283" t="s">
        <v>6217</v>
      </c>
      <c r="I1283" t="s">
        <v>9252</v>
      </c>
      <c r="K1283" t="s">
        <v>164</v>
      </c>
      <c r="N1283" t="str">
        <f t="shared" si="58"/>
        <v>Szanowna Pani</v>
      </c>
      <c r="O1283" s="19" t="s">
        <v>9776</v>
      </c>
      <c r="U1283" t="str">
        <f t="shared" si="59"/>
        <v>tak</v>
      </c>
    </row>
    <row r="1284" spans="1:21">
      <c r="A1284">
        <v>1328</v>
      </c>
      <c r="B1284" t="s">
        <v>6149</v>
      </c>
      <c r="C1284" t="s">
        <v>936</v>
      </c>
      <c r="D1284" t="s">
        <v>6224</v>
      </c>
      <c r="E1284" t="s">
        <v>6223</v>
      </c>
      <c r="F1284" t="s">
        <v>6210</v>
      </c>
      <c r="G1284" t="s">
        <v>6222</v>
      </c>
      <c r="H1284" t="s">
        <v>6221</v>
      </c>
      <c r="I1284" t="s">
        <v>9253</v>
      </c>
      <c r="K1284" t="s">
        <v>164</v>
      </c>
      <c r="N1284" t="str">
        <f t="shared" si="58"/>
        <v>Szanowna Pani</v>
      </c>
      <c r="O1284" s="19" t="s">
        <v>9776</v>
      </c>
      <c r="U1284" t="str">
        <f t="shared" si="59"/>
        <v>tak</v>
      </c>
    </row>
    <row r="1285" spans="1:21">
      <c r="A1285">
        <v>1329</v>
      </c>
      <c r="B1285" t="s">
        <v>6149</v>
      </c>
      <c r="C1285" t="s">
        <v>936</v>
      </c>
      <c r="D1285" t="s">
        <v>6229</v>
      </c>
      <c r="E1285" t="s">
        <v>6228</v>
      </c>
      <c r="F1285" t="s">
        <v>6210</v>
      </c>
      <c r="G1285" t="s">
        <v>6227</v>
      </c>
      <c r="H1285" t="s">
        <v>6226</v>
      </c>
      <c r="I1285" t="s">
        <v>9254</v>
      </c>
      <c r="K1285" t="s">
        <v>6225</v>
      </c>
      <c r="L1285" t="s">
        <v>164</v>
      </c>
      <c r="N1285" t="str">
        <f t="shared" si="58"/>
        <v>Szanowna Pani</v>
      </c>
      <c r="O1285" s="19" t="s">
        <v>9776</v>
      </c>
      <c r="U1285" t="str">
        <f t="shared" si="59"/>
        <v>tak</v>
      </c>
    </row>
    <row r="1286" spans="1:21">
      <c r="A1286">
        <v>1330</v>
      </c>
      <c r="B1286" t="s">
        <v>6149</v>
      </c>
      <c r="C1286" t="s">
        <v>936</v>
      </c>
      <c r="D1286" t="s">
        <v>6233</v>
      </c>
      <c r="E1286" t="s">
        <v>6232</v>
      </c>
      <c r="F1286" t="s">
        <v>6210</v>
      </c>
      <c r="G1286" t="s">
        <v>6231</v>
      </c>
      <c r="H1286" t="s">
        <v>6230</v>
      </c>
      <c r="I1286" t="s">
        <v>9255</v>
      </c>
      <c r="K1286" t="s">
        <v>164</v>
      </c>
      <c r="N1286" t="str">
        <f t="shared" si="58"/>
        <v>Szanowna Pani</v>
      </c>
      <c r="O1286" s="19" t="s">
        <v>9776</v>
      </c>
      <c r="U1286" t="str">
        <f t="shared" si="59"/>
        <v>tak</v>
      </c>
    </row>
    <row r="1287" spans="1:21">
      <c r="A1287">
        <v>1331</v>
      </c>
      <c r="B1287" t="s">
        <v>6149</v>
      </c>
      <c r="C1287" t="s">
        <v>936</v>
      </c>
      <c r="D1287" t="s">
        <v>9676</v>
      </c>
      <c r="E1287" t="s">
        <v>9677</v>
      </c>
      <c r="F1287" t="s">
        <v>6236</v>
      </c>
      <c r="G1287" t="s">
        <v>6235</v>
      </c>
      <c r="H1287" t="s">
        <v>6234</v>
      </c>
      <c r="I1287" t="s">
        <v>9256</v>
      </c>
      <c r="K1287" t="s">
        <v>165</v>
      </c>
      <c r="L1287" t="s">
        <v>164</v>
      </c>
      <c r="N1287" t="str">
        <f t="shared" si="58"/>
        <v>Szanowna Pani</v>
      </c>
      <c r="P1287" s="19" t="s">
        <v>9776</v>
      </c>
      <c r="U1287" t="str">
        <f t="shared" si="59"/>
        <v>tak</v>
      </c>
    </row>
    <row r="1288" spans="1:21">
      <c r="A1288">
        <v>1332</v>
      </c>
      <c r="B1288" t="s">
        <v>6149</v>
      </c>
      <c r="C1288" t="s">
        <v>6137</v>
      </c>
      <c r="D1288" t="s">
        <v>6241</v>
      </c>
      <c r="E1288" t="s">
        <v>6240</v>
      </c>
      <c r="F1288" t="s">
        <v>6239</v>
      </c>
      <c r="G1288" t="s">
        <v>6238</v>
      </c>
      <c r="H1288" t="s">
        <v>6237</v>
      </c>
      <c r="I1288" t="s">
        <v>9257</v>
      </c>
      <c r="K1288" t="s">
        <v>165</v>
      </c>
      <c r="N1288" t="str">
        <f t="shared" si="58"/>
        <v>Szanowna Pani</v>
      </c>
      <c r="P1288" s="19" t="s">
        <v>9776</v>
      </c>
      <c r="U1288" t="str">
        <f t="shared" si="59"/>
        <v>tak</v>
      </c>
    </row>
    <row r="1289" spans="1:21">
      <c r="A1289">
        <v>1333</v>
      </c>
      <c r="B1289" t="s">
        <v>6149</v>
      </c>
      <c r="C1289" t="s">
        <v>6137</v>
      </c>
      <c r="D1289" t="s">
        <v>6246</v>
      </c>
      <c r="E1289" t="s">
        <v>6245</v>
      </c>
      <c r="F1289" t="s">
        <v>6244</v>
      </c>
      <c r="G1289" t="s">
        <v>6243</v>
      </c>
      <c r="H1289" t="s">
        <v>6242</v>
      </c>
      <c r="I1289" t="s">
        <v>9258</v>
      </c>
      <c r="K1289" t="s">
        <v>164</v>
      </c>
      <c r="N1289" t="str">
        <f t="shared" si="58"/>
        <v>Szanowna Pani</v>
      </c>
      <c r="O1289" s="19" t="s">
        <v>9776</v>
      </c>
      <c r="U1289" t="str">
        <f t="shared" si="59"/>
        <v>tak</v>
      </c>
    </row>
    <row r="1290" spans="1:21">
      <c r="A1290">
        <v>1334</v>
      </c>
      <c r="B1290" t="s">
        <v>6149</v>
      </c>
      <c r="C1290" t="s">
        <v>6137</v>
      </c>
      <c r="D1290" t="s">
        <v>6251</v>
      </c>
      <c r="E1290" t="s">
        <v>6250</v>
      </c>
      <c r="F1290" t="s">
        <v>6249</v>
      </c>
      <c r="G1290" t="s">
        <v>6248</v>
      </c>
      <c r="H1290" t="s">
        <v>6247</v>
      </c>
      <c r="I1290" t="s">
        <v>9259</v>
      </c>
      <c r="K1290" t="s">
        <v>164</v>
      </c>
      <c r="N1290" t="str">
        <f t="shared" si="58"/>
        <v>Szanowna Pani</v>
      </c>
      <c r="O1290" s="19" t="s">
        <v>9776</v>
      </c>
      <c r="U1290" t="str">
        <f t="shared" si="59"/>
        <v>tak</v>
      </c>
    </row>
    <row r="1291" spans="1:21">
      <c r="A1291">
        <v>1335</v>
      </c>
      <c r="B1291" t="s">
        <v>6149</v>
      </c>
      <c r="C1291" t="s">
        <v>6137</v>
      </c>
      <c r="D1291" t="s">
        <v>6256</v>
      </c>
      <c r="E1291" t="s">
        <v>6255</v>
      </c>
      <c r="F1291" t="s">
        <v>6254</v>
      </c>
      <c r="G1291" t="s">
        <v>6253</v>
      </c>
      <c r="H1291" t="s">
        <v>6252</v>
      </c>
      <c r="I1291" t="s">
        <v>9260</v>
      </c>
      <c r="K1291" t="s">
        <v>165</v>
      </c>
      <c r="L1291" t="s">
        <v>164</v>
      </c>
      <c r="N1291" t="str">
        <f t="shared" si="58"/>
        <v>Szanowna Pani</v>
      </c>
      <c r="P1291" s="19" t="s">
        <v>9776</v>
      </c>
      <c r="U1291" t="str">
        <f t="shared" si="59"/>
        <v>tak</v>
      </c>
    </row>
    <row r="1292" spans="1:21">
      <c r="A1292">
        <v>1336</v>
      </c>
      <c r="B1292" t="s">
        <v>6149</v>
      </c>
      <c r="C1292" t="s">
        <v>6137</v>
      </c>
      <c r="D1292" t="s">
        <v>6261</v>
      </c>
      <c r="E1292" t="s">
        <v>6260</v>
      </c>
      <c r="F1292" t="s">
        <v>6259</v>
      </c>
      <c r="G1292" t="s">
        <v>6258</v>
      </c>
      <c r="H1292" t="s">
        <v>6257</v>
      </c>
      <c r="I1292" t="s">
        <v>9261</v>
      </c>
      <c r="K1292" t="s">
        <v>165</v>
      </c>
      <c r="L1292" t="s">
        <v>164</v>
      </c>
      <c r="N1292" t="str">
        <f t="shared" si="58"/>
        <v>Szanowne Panie</v>
      </c>
      <c r="P1292" s="19" t="s">
        <v>9776</v>
      </c>
      <c r="U1292" t="str">
        <f t="shared" si="59"/>
        <v>tak</v>
      </c>
    </row>
    <row r="1293" spans="1:21">
      <c r="A1293">
        <v>1337</v>
      </c>
      <c r="B1293" t="s">
        <v>6149</v>
      </c>
      <c r="C1293" t="s">
        <v>6137</v>
      </c>
      <c r="D1293" t="s">
        <v>6266</v>
      </c>
      <c r="E1293" t="s">
        <v>6265</v>
      </c>
      <c r="F1293" t="s">
        <v>6264</v>
      </c>
      <c r="G1293" t="s">
        <v>6263</v>
      </c>
      <c r="H1293" t="s">
        <v>6262</v>
      </c>
      <c r="I1293" t="s">
        <v>9262</v>
      </c>
      <c r="K1293" t="s">
        <v>164</v>
      </c>
      <c r="N1293" t="str">
        <f t="shared" si="58"/>
        <v>Szanowna Pani</v>
      </c>
      <c r="O1293" s="19" t="s">
        <v>9776</v>
      </c>
      <c r="U1293" t="str">
        <f>+O1293 &amp;P1293&amp;Q1293</f>
        <v>tak</v>
      </c>
    </row>
    <row r="1294" spans="1:21">
      <c r="A1294">
        <v>1338</v>
      </c>
      <c r="B1294" t="s">
        <v>6149</v>
      </c>
      <c r="C1294" t="s">
        <v>6137</v>
      </c>
      <c r="D1294" t="s">
        <v>6271</v>
      </c>
      <c r="E1294" t="s">
        <v>6270</v>
      </c>
      <c r="F1294" t="s">
        <v>6269</v>
      </c>
      <c r="G1294" t="s">
        <v>6268</v>
      </c>
      <c r="H1294" t="s">
        <v>6267</v>
      </c>
      <c r="I1294" t="s">
        <v>9263</v>
      </c>
      <c r="K1294" t="s">
        <v>164</v>
      </c>
      <c r="N1294" t="str">
        <f t="shared" si="58"/>
        <v>Szanowna Pani</v>
      </c>
      <c r="O1294" s="19" t="s">
        <v>9776</v>
      </c>
      <c r="U1294" t="str">
        <f t="shared" ref="U1294:U1321" si="60">+O1294 &amp;P1294&amp;Q1294</f>
        <v>tak</v>
      </c>
    </row>
    <row r="1295" spans="1:21">
      <c r="A1295">
        <v>1339</v>
      </c>
      <c r="B1295" t="s">
        <v>6149</v>
      </c>
      <c r="C1295" t="s">
        <v>6138</v>
      </c>
      <c r="D1295" t="s">
        <v>6275</v>
      </c>
      <c r="E1295" t="s">
        <v>6274</v>
      </c>
      <c r="F1295" t="s">
        <v>6143</v>
      </c>
      <c r="G1295" t="s">
        <v>6273</v>
      </c>
      <c r="H1295" t="s">
        <v>6272</v>
      </c>
      <c r="I1295" t="s">
        <v>9264</v>
      </c>
      <c r="K1295" t="s">
        <v>165</v>
      </c>
      <c r="L1295" t="s">
        <v>224</v>
      </c>
      <c r="M1295" t="s">
        <v>164</v>
      </c>
      <c r="N1295" t="str">
        <f t="shared" si="58"/>
        <v>Szanowna Pani</v>
      </c>
      <c r="P1295" s="19" t="s">
        <v>9776</v>
      </c>
      <c r="U1295" t="str">
        <f t="shared" si="60"/>
        <v>tak</v>
      </c>
    </row>
    <row r="1296" spans="1:21">
      <c r="A1296">
        <v>1340</v>
      </c>
      <c r="B1296" t="s">
        <v>6149</v>
      </c>
      <c r="C1296" t="s">
        <v>6138</v>
      </c>
      <c r="D1296" t="s">
        <v>9678</v>
      </c>
      <c r="E1296" t="s">
        <v>9679</v>
      </c>
      <c r="F1296" t="s">
        <v>6278</v>
      </c>
      <c r="G1296" t="s">
        <v>6277</v>
      </c>
      <c r="H1296" t="s">
        <v>6276</v>
      </c>
      <c r="I1296" t="s">
        <v>9265</v>
      </c>
      <c r="K1296" t="s">
        <v>164</v>
      </c>
      <c r="N1296" t="str">
        <f t="shared" si="58"/>
        <v>Szanowna Pani</v>
      </c>
      <c r="O1296" s="19" t="s">
        <v>9776</v>
      </c>
      <c r="U1296" t="str">
        <f t="shared" si="60"/>
        <v>tak</v>
      </c>
    </row>
    <row r="1297" spans="1:21">
      <c r="A1297">
        <v>1341</v>
      </c>
      <c r="B1297" t="s">
        <v>6149</v>
      </c>
      <c r="C1297" t="s">
        <v>6148</v>
      </c>
      <c r="D1297" t="s">
        <v>6282</v>
      </c>
      <c r="E1297" t="s">
        <v>6281</v>
      </c>
      <c r="F1297" t="s">
        <v>6143</v>
      </c>
      <c r="G1297" t="s">
        <v>6280</v>
      </c>
      <c r="H1297" t="s">
        <v>6279</v>
      </c>
      <c r="I1297" t="s">
        <v>9266</v>
      </c>
      <c r="K1297" t="s">
        <v>165</v>
      </c>
      <c r="N1297" t="str">
        <f t="shared" si="58"/>
        <v>Szanowna Pani</v>
      </c>
      <c r="P1297" s="19" t="s">
        <v>9776</v>
      </c>
      <c r="U1297" t="str">
        <f t="shared" si="60"/>
        <v>tak</v>
      </c>
    </row>
    <row r="1298" spans="1:21">
      <c r="A1298">
        <v>1342</v>
      </c>
      <c r="B1298" t="s">
        <v>6149</v>
      </c>
      <c r="C1298" t="s">
        <v>6139</v>
      </c>
      <c r="D1298" t="s">
        <v>6140</v>
      </c>
      <c r="E1298" t="s">
        <v>6141</v>
      </c>
      <c r="F1298" t="s">
        <v>6142</v>
      </c>
      <c r="G1298" t="s">
        <v>6284</v>
      </c>
      <c r="H1298" t="s">
        <v>6283</v>
      </c>
      <c r="I1298" s="15" t="s">
        <v>9722</v>
      </c>
      <c r="K1298" t="s">
        <v>164</v>
      </c>
      <c r="N1298" t="str">
        <f t="shared" si="58"/>
        <v>Szanowna Pani</v>
      </c>
      <c r="O1298" s="19" t="s">
        <v>9776</v>
      </c>
      <c r="U1298" t="str">
        <f t="shared" si="60"/>
        <v>tak</v>
      </c>
    </row>
    <row r="1299" spans="1:21">
      <c r="A1299">
        <v>1343</v>
      </c>
      <c r="B1299" t="s">
        <v>6149</v>
      </c>
      <c r="C1299" t="s">
        <v>6139</v>
      </c>
      <c r="D1299" t="s">
        <v>9680</v>
      </c>
      <c r="E1299" t="s">
        <v>9681</v>
      </c>
      <c r="F1299" t="s">
        <v>6288</v>
      </c>
      <c r="G1299" t="s">
        <v>6287</v>
      </c>
      <c r="H1299" t="s">
        <v>6286</v>
      </c>
      <c r="I1299" t="s">
        <v>9267</v>
      </c>
      <c r="K1299" t="s">
        <v>6285</v>
      </c>
      <c r="L1299" t="s">
        <v>164</v>
      </c>
      <c r="N1299" t="str">
        <f t="shared" si="58"/>
        <v>Szanowna Pani</v>
      </c>
      <c r="P1299" s="19" t="s">
        <v>9776</v>
      </c>
      <c r="U1299" t="str">
        <f t="shared" si="60"/>
        <v>tak</v>
      </c>
    </row>
    <row r="1300" spans="1:21">
      <c r="A1300">
        <v>1344</v>
      </c>
      <c r="B1300" t="s">
        <v>6149</v>
      </c>
      <c r="C1300" t="s">
        <v>6139</v>
      </c>
      <c r="D1300" t="s">
        <v>9682</v>
      </c>
      <c r="E1300" t="s">
        <v>9683</v>
      </c>
      <c r="F1300" t="s">
        <v>6143</v>
      </c>
      <c r="G1300" t="s">
        <v>6290</v>
      </c>
      <c r="H1300" t="s">
        <v>6289</v>
      </c>
      <c r="I1300" t="s">
        <v>9266</v>
      </c>
      <c r="K1300" t="s">
        <v>165</v>
      </c>
      <c r="N1300" t="str">
        <f t="shared" si="58"/>
        <v>Szanowna Pani</v>
      </c>
      <c r="P1300" s="19" t="s">
        <v>9776</v>
      </c>
      <c r="U1300" t="str">
        <f t="shared" si="60"/>
        <v>tak</v>
      </c>
    </row>
    <row r="1301" spans="1:21">
      <c r="A1301">
        <v>1345</v>
      </c>
      <c r="B1301" t="s">
        <v>6149</v>
      </c>
      <c r="C1301" t="s">
        <v>6139</v>
      </c>
      <c r="D1301" t="s">
        <v>6295</v>
      </c>
      <c r="E1301" t="s">
        <v>6294</v>
      </c>
      <c r="F1301" t="s">
        <v>6293</v>
      </c>
      <c r="G1301" t="s">
        <v>6292</v>
      </c>
      <c r="H1301" t="s">
        <v>6291</v>
      </c>
      <c r="I1301" t="s">
        <v>9268</v>
      </c>
      <c r="K1301" t="s">
        <v>164</v>
      </c>
      <c r="N1301" t="str">
        <f t="shared" si="58"/>
        <v>Szanowna Pani</v>
      </c>
      <c r="O1301" s="19" t="s">
        <v>9776</v>
      </c>
      <c r="U1301" t="str">
        <f t="shared" si="60"/>
        <v>tak</v>
      </c>
    </row>
    <row r="1302" spans="1:21">
      <c r="A1302">
        <v>1346</v>
      </c>
      <c r="B1302" t="s">
        <v>6149</v>
      </c>
      <c r="C1302" t="s">
        <v>6139</v>
      </c>
      <c r="D1302" t="s">
        <v>6299</v>
      </c>
      <c r="E1302" t="s">
        <v>6298</v>
      </c>
      <c r="F1302" t="s">
        <v>6293</v>
      </c>
      <c r="G1302" t="s">
        <v>6297</v>
      </c>
      <c r="H1302" t="s">
        <v>6296</v>
      </c>
      <c r="I1302" t="s">
        <v>9269</v>
      </c>
      <c r="K1302" t="s">
        <v>224</v>
      </c>
      <c r="N1302" t="str">
        <f t="shared" si="58"/>
        <v>Szanowna Pani</v>
      </c>
      <c r="Q1302" s="19" t="s">
        <v>9776</v>
      </c>
      <c r="U1302" t="str">
        <f t="shared" si="60"/>
        <v>tak</v>
      </c>
    </row>
    <row r="1303" spans="1:21">
      <c r="A1303">
        <v>1347</v>
      </c>
      <c r="B1303" t="s">
        <v>6149</v>
      </c>
      <c r="C1303" t="s">
        <v>6139</v>
      </c>
      <c r="D1303" t="s">
        <v>6303</v>
      </c>
      <c r="E1303" t="s">
        <v>4326</v>
      </c>
      <c r="F1303" t="s">
        <v>6302</v>
      </c>
      <c r="G1303" t="s">
        <v>6301</v>
      </c>
      <c r="H1303" t="s">
        <v>6300</v>
      </c>
      <c r="I1303" t="s">
        <v>9270</v>
      </c>
      <c r="K1303" t="s">
        <v>224</v>
      </c>
      <c r="N1303" t="str">
        <f t="shared" ref="N1303:N1367" si="61">IF(ISERROR(FIND(",",H1303)),IF(MID(H1303,FIND(" ",H1303)-1,1)="a","Szanowna Pani","Szanowny Pan"), "Szanowne Panie")</f>
        <v>Szanowna Pani</v>
      </c>
      <c r="Q1303" s="19" t="s">
        <v>9776</v>
      </c>
      <c r="U1303" t="str">
        <f t="shared" si="60"/>
        <v>tak</v>
      </c>
    </row>
    <row r="1304" spans="1:21">
      <c r="A1304">
        <v>1348</v>
      </c>
      <c r="B1304" t="s">
        <v>6149</v>
      </c>
      <c r="C1304" t="s">
        <v>6139</v>
      </c>
      <c r="D1304" t="s">
        <v>6308</v>
      </c>
      <c r="E1304" t="s">
        <v>6307</v>
      </c>
      <c r="F1304" t="s">
        <v>6306</v>
      </c>
      <c r="G1304" t="s">
        <v>6305</v>
      </c>
      <c r="H1304" t="s">
        <v>6304</v>
      </c>
      <c r="I1304" t="s">
        <v>9271</v>
      </c>
      <c r="K1304" t="s">
        <v>164</v>
      </c>
      <c r="N1304" t="str">
        <f t="shared" si="61"/>
        <v>Szanowna Pani</v>
      </c>
      <c r="O1304" s="19" t="s">
        <v>9776</v>
      </c>
      <c r="U1304" t="str">
        <f t="shared" si="60"/>
        <v>tak</v>
      </c>
    </row>
    <row r="1305" spans="1:21">
      <c r="A1305">
        <v>1349</v>
      </c>
      <c r="B1305" t="s">
        <v>6149</v>
      </c>
      <c r="C1305" t="s">
        <v>6139</v>
      </c>
      <c r="D1305" t="s">
        <v>9684</v>
      </c>
      <c r="E1305" t="s">
        <v>9685</v>
      </c>
      <c r="F1305" t="s">
        <v>6156</v>
      </c>
      <c r="G1305" t="s">
        <v>6310</v>
      </c>
      <c r="H1305" t="s">
        <v>6309</v>
      </c>
      <c r="I1305" t="s">
        <v>9272</v>
      </c>
      <c r="K1305" t="s">
        <v>164</v>
      </c>
      <c r="N1305" t="str">
        <f t="shared" si="61"/>
        <v>Szanowna Pani</v>
      </c>
      <c r="O1305" s="19" t="s">
        <v>9776</v>
      </c>
      <c r="U1305" t="str">
        <f t="shared" si="60"/>
        <v>tak</v>
      </c>
    </row>
    <row r="1306" spans="1:21">
      <c r="A1306">
        <v>1350</v>
      </c>
      <c r="B1306" t="s">
        <v>6149</v>
      </c>
      <c r="C1306" t="s">
        <v>6139</v>
      </c>
      <c r="D1306" t="s">
        <v>9686</v>
      </c>
      <c r="E1306" t="s">
        <v>9687</v>
      </c>
      <c r="F1306" t="s">
        <v>6156</v>
      </c>
      <c r="G1306" t="s">
        <v>6312</v>
      </c>
      <c r="H1306" t="s">
        <v>6311</v>
      </c>
      <c r="I1306" t="s">
        <v>9273</v>
      </c>
      <c r="K1306" t="s">
        <v>164</v>
      </c>
      <c r="L1306" t="s">
        <v>165</v>
      </c>
      <c r="N1306" t="str">
        <f t="shared" si="61"/>
        <v>Szanowna Pani</v>
      </c>
      <c r="O1306" s="19" t="s">
        <v>9776</v>
      </c>
      <c r="U1306" t="str">
        <f t="shared" si="60"/>
        <v>tak</v>
      </c>
    </row>
    <row r="1307" spans="1:21">
      <c r="A1307">
        <v>1351</v>
      </c>
      <c r="B1307" t="s">
        <v>6149</v>
      </c>
      <c r="C1307" t="s">
        <v>6149</v>
      </c>
      <c r="D1307" t="s">
        <v>9617</v>
      </c>
      <c r="E1307" t="s">
        <v>9618</v>
      </c>
      <c r="F1307" t="s">
        <v>6146</v>
      </c>
      <c r="G1307" t="s">
        <v>9619</v>
      </c>
      <c r="H1307" t="s">
        <v>9620</v>
      </c>
      <c r="I1307" t="s">
        <v>9621</v>
      </c>
      <c r="K1307" t="s">
        <v>164</v>
      </c>
      <c r="N1307" t="str">
        <f t="shared" si="61"/>
        <v>Szanowny Pan</v>
      </c>
      <c r="O1307" s="19" t="s">
        <v>9776</v>
      </c>
      <c r="U1307" t="str">
        <f t="shared" si="60"/>
        <v>tak</v>
      </c>
    </row>
    <row r="1308" spans="1:21">
      <c r="A1308">
        <v>1352</v>
      </c>
      <c r="B1308" t="s">
        <v>6149</v>
      </c>
      <c r="C1308" t="s">
        <v>6149</v>
      </c>
      <c r="D1308" t="s">
        <v>6315</v>
      </c>
      <c r="E1308" t="s">
        <v>6314</v>
      </c>
      <c r="F1308" t="s">
        <v>6146</v>
      </c>
      <c r="G1308" t="s">
        <v>6435</v>
      </c>
      <c r="H1308" t="s">
        <v>6313</v>
      </c>
      <c r="I1308" s="15" t="s">
        <v>9723</v>
      </c>
      <c r="K1308" t="s">
        <v>164</v>
      </c>
      <c r="N1308" t="str">
        <f t="shared" si="61"/>
        <v>Szanowny Pan</v>
      </c>
      <c r="O1308" s="19" t="s">
        <v>9776</v>
      </c>
      <c r="R1308" s="19" t="s">
        <v>9778</v>
      </c>
      <c r="U1308" t="str">
        <f t="shared" si="60"/>
        <v>tak</v>
      </c>
    </row>
    <row r="1309" spans="1:21">
      <c r="A1309">
        <v>1353</v>
      </c>
      <c r="B1309" t="s">
        <v>6149</v>
      </c>
      <c r="C1309" t="s">
        <v>6149</v>
      </c>
      <c r="D1309" t="s">
        <v>6319</v>
      </c>
      <c r="E1309" t="s">
        <v>6318</v>
      </c>
      <c r="F1309" t="s">
        <v>6146</v>
      </c>
      <c r="G1309" t="s">
        <v>6317</v>
      </c>
      <c r="H1309" t="s">
        <v>6316</v>
      </c>
      <c r="I1309" t="s">
        <v>9274</v>
      </c>
      <c r="K1309" t="s">
        <v>164</v>
      </c>
      <c r="N1309" t="str">
        <f t="shared" si="61"/>
        <v>Szanowna Pani</v>
      </c>
      <c r="O1309" s="19" t="s">
        <v>9776</v>
      </c>
      <c r="U1309" t="str">
        <f t="shared" si="60"/>
        <v>tak</v>
      </c>
    </row>
    <row r="1310" spans="1:21">
      <c r="A1310">
        <v>1354</v>
      </c>
      <c r="B1310" t="s">
        <v>6149</v>
      </c>
      <c r="C1310" t="s">
        <v>6149</v>
      </c>
      <c r="D1310" t="s">
        <v>6323</v>
      </c>
      <c r="E1310" t="s">
        <v>6322</v>
      </c>
      <c r="F1310" t="s">
        <v>6146</v>
      </c>
      <c r="G1310" t="s">
        <v>6321</v>
      </c>
      <c r="H1310" t="s">
        <v>6320</v>
      </c>
      <c r="I1310" t="s">
        <v>9275</v>
      </c>
      <c r="K1310" t="s">
        <v>6144</v>
      </c>
      <c r="L1310" t="s">
        <v>164</v>
      </c>
      <c r="N1310" t="str">
        <f t="shared" si="61"/>
        <v>Szanowna Pani</v>
      </c>
      <c r="O1310" s="19" t="s">
        <v>9776</v>
      </c>
      <c r="U1310" t="str">
        <f t="shared" si="60"/>
        <v>tak</v>
      </c>
    </row>
    <row r="1311" spans="1:21">
      <c r="A1311">
        <v>1355</v>
      </c>
      <c r="B1311" t="s">
        <v>6149</v>
      </c>
      <c r="C1311" t="s">
        <v>6149</v>
      </c>
      <c r="D1311" t="s">
        <v>6326</v>
      </c>
      <c r="E1311" t="s">
        <v>6325</v>
      </c>
      <c r="F1311" t="s">
        <v>6146</v>
      </c>
      <c r="G1311" t="s">
        <v>6321</v>
      </c>
      <c r="H1311" t="s">
        <v>6324</v>
      </c>
      <c r="I1311" t="s">
        <v>9276</v>
      </c>
      <c r="K1311" t="s">
        <v>164</v>
      </c>
      <c r="N1311" t="str">
        <f t="shared" si="61"/>
        <v>Szanowne Panie</v>
      </c>
      <c r="O1311" s="19" t="s">
        <v>9776</v>
      </c>
      <c r="U1311" t="str">
        <f t="shared" si="60"/>
        <v>tak</v>
      </c>
    </row>
    <row r="1312" spans="1:21">
      <c r="A1312">
        <v>1356</v>
      </c>
      <c r="B1312" t="s">
        <v>6149</v>
      </c>
      <c r="C1312" t="s">
        <v>6149</v>
      </c>
      <c r="D1312" t="s">
        <v>6323</v>
      </c>
      <c r="E1312" t="s">
        <v>6322</v>
      </c>
      <c r="F1312" t="s">
        <v>6146</v>
      </c>
      <c r="G1312" t="s">
        <v>6328</v>
      </c>
      <c r="H1312" t="s">
        <v>6327</v>
      </c>
      <c r="I1312" t="s">
        <v>9277</v>
      </c>
      <c r="K1312" t="s">
        <v>164</v>
      </c>
      <c r="N1312" t="str">
        <f t="shared" si="61"/>
        <v>Szanowny Pan</v>
      </c>
      <c r="O1312" s="19" t="s">
        <v>9776</v>
      </c>
      <c r="U1312" t="str">
        <f t="shared" si="60"/>
        <v>tak</v>
      </c>
    </row>
    <row r="1313" spans="1:21">
      <c r="A1313">
        <v>1357</v>
      </c>
      <c r="B1313" t="s">
        <v>6149</v>
      </c>
      <c r="C1313" t="s">
        <v>6149</v>
      </c>
      <c r="D1313" t="s">
        <v>6323</v>
      </c>
      <c r="E1313" t="s">
        <v>6322</v>
      </c>
      <c r="F1313" t="s">
        <v>6146</v>
      </c>
      <c r="G1313" t="s">
        <v>6330</v>
      </c>
      <c r="H1313" t="s">
        <v>6329</v>
      </c>
      <c r="I1313" t="s">
        <v>9278</v>
      </c>
      <c r="K1313" t="s">
        <v>165</v>
      </c>
      <c r="N1313" t="str">
        <f t="shared" si="61"/>
        <v>Szanowna Pani</v>
      </c>
      <c r="P1313" s="19" t="s">
        <v>9776</v>
      </c>
      <c r="U1313" t="str">
        <f t="shared" si="60"/>
        <v>tak</v>
      </c>
    </row>
    <row r="1314" spans="1:21">
      <c r="A1314">
        <v>1358</v>
      </c>
      <c r="B1314" t="s">
        <v>6149</v>
      </c>
      <c r="C1314" t="s">
        <v>6149</v>
      </c>
      <c r="D1314" t="s">
        <v>6334</v>
      </c>
      <c r="E1314" t="s">
        <v>6333</v>
      </c>
      <c r="F1314" t="s">
        <v>6146</v>
      </c>
      <c r="G1314" t="s">
        <v>6332</v>
      </c>
      <c r="H1314" t="s">
        <v>6331</v>
      </c>
      <c r="I1314" t="s">
        <v>9279</v>
      </c>
      <c r="K1314" t="s">
        <v>164</v>
      </c>
      <c r="N1314" t="str">
        <f t="shared" si="61"/>
        <v>Szanowna Pani</v>
      </c>
      <c r="O1314" s="19" t="s">
        <v>9776</v>
      </c>
      <c r="U1314" t="str">
        <f t="shared" si="60"/>
        <v>tak</v>
      </c>
    </row>
    <row r="1315" spans="1:21">
      <c r="A1315">
        <v>1359</v>
      </c>
      <c r="B1315" t="s">
        <v>6149</v>
      </c>
      <c r="C1315" t="s">
        <v>6149</v>
      </c>
      <c r="D1315" t="s">
        <v>6338</v>
      </c>
      <c r="E1315" t="s">
        <v>6337</v>
      </c>
      <c r="F1315" t="s">
        <v>6146</v>
      </c>
      <c r="G1315" t="s">
        <v>6336</v>
      </c>
      <c r="H1315" t="s">
        <v>6335</v>
      </c>
      <c r="I1315" t="s">
        <v>9280</v>
      </c>
      <c r="K1315" t="s">
        <v>164</v>
      </c>
      <c r="N1315" t="str">
        <f t="shared" si="61"/>
        <v>Szanowna Pani</v>
      </c>
      <c r="O1315" s="19" t="s">
        <v>9776</v>
      </c>
      <c r="U1315" t="str">
        <f t="shared" si="60"/>
        <v>tak</v>
      </c>
    </row>
    <row r="1316" spans="1:21">
      <c r="A1316">
        <v>1360</v>
      </c>
      <c r="B1316" t="s">
        <v>6149</v>
      </c>
      <c r="C1316" t="s">
        <v>6149</v>
      </c>
      <c r="D1316" t="s">
        <v>6342</v>
      </c>
      <c r="E1316" t="s">
        <v>6341</v>
      </c>
      <c r="F1316" t="s">
        <v>6146</v>
      </c>
      <c r="G1316" t="s">
        <v>6340</v>
      </c>
      <c r="H1316" t="s">
        <v>6339</v>
      </c>
      <c r="I1316" t="s">
        <v>9281</v>
      </c>
      <c r="K1316" t="s">
        <v>164</v>
      </c>
      <c r="N1316" t="str">
        <f t="shared" si="61"/>
        <v>Szanowna Pani</v>
      </c>
      <c r="O1316" s="19" t="s">
        <v>9776</v>
      </c>
      <c r="U1316" t="str">
        <f t="shared" si="60"/>
        <v>tak</v>
      </c>
    </row>
    <row r="1317" spans="1:21">
      <c r="A1317">
        <v>1361</v>
      </c>
      <c r="B1317" t="s">
        <v>6149</v>
      </c>
      <c r="C1317" t="s">
        <v>6149</v>
      </c>
      <c r="D1317" t="s">
        <v>6342</v>
      </c>
      <c r="E1317" t="s">
        <v>6341</v>
      </c>
      <c r="F1317" t="s">
        <v>6146</v>
      </c>
      <c r="G1317" t="s">
        <v>6340</v>
      </c>
      <c r="H1317" t="s">
        <v>6343</v>
      </c>
      <c r="I1317" t="s">
        <v>9282</v>
      </c>
      <c r="K1317" t="s">
        <v>224</v>
      </c>
      <c r="N1317" t="str">
        <f t="shared" si="61"/>
        <v>Szanowny Pan</v>
      </c>
      <c r="Q1317" s="19" t="s">
        <v>9776</v>
      </c>
      <c r="U1317" t="str">
        <f t="shared" si="60"/>
        <v>tak</v>
      </c>
    </row>
    <row r="1318" spans="1:21">
      <c r="A1318">
        <v>1362</v>
      </c>
      <c r="B1318" t="s">
        <v>6149</v>
      </c>
      <c r="C1318" t="s">
        <v>6149</v>
      </c>
      <c r="D1318" t="s">
        <v>6347</v>
      </c>
      <c r="E1318" t="s">
        <v>6346</v>
      </c>
      <c r="F1318" t="s">
        <v>6146</v>
      </c>
      <c r="G1318" t="s">
        <v>6345</v>
      </c>
      <c r="H1318" t="s">
        <v>6344</v>
      </c>
      <c r="I1318" t="s">
        <v>9283</v>
      </c>
      <c r="K1318" t="s">
        <v>164</v>
      </c>
      <c r="N1318" t="str">
        <f t="shared" si="61"/>
        <v>Szanowna Pani</v>
      </c>
      <c r="O1318" s="19" t="s">
        <v>9776</v>
      </c>
      <c r="U1318" t="str">
        <f t="shared" si="60"/>
        <v>tak</v>
      </c>
    </row>
    <row r="1319" spans="1:21">
      <c r="A1319">
        <v>1363</v>
      </c>
      <c r="B1319" t="s">
        <v>6149</v>
      </c>
      <c r="C1319" t="s">
        <v>6149</v>
      </c>
      <c r="D1319" t="s">
        <v>6351</v>
      </c>
      <c r="E1319" t="s">
        <v>6350</v>
      </c>
      <c r="F1319" t="s">
        <v>6146</v>
      </c>
      <c r="G1319" t="s">
        <v>6349</v>
      </c>
      <c r="H1319" t="s">
        <v>6348</v>
      </c>
      <c r="I1319" t="s">
        <v>9284</v>
      </c>
      <c r="K1319" t="s">
        <v>164</v>
      </c>
      <c r="N1319" t="str">
        <f t="shared" si="61"/>
        <v>Szanowna Pani</v>
      </c>
      <c r="O1319" s="19" t="s">
        <v>9776</v>
      </c>
      <c r="U1319" t="str">
        <f t="shared" si="60"/>
        <v>tak</v>
      </c>
    </row>
    <row r="1320" spans="1:21">
      <c r="A1320">
        <v>1364</v>
      </c>
      <c r="B1320" t="s">
        <v>6149</v>
      </c>
      <c r="C1320" t="s">
        <v>6149</v>
      </c>
      <c r="D1320" t="s">
        <v>6351</v>
      </c>
      <c r="E1320" t="s">
        <v>6350</v>
      </c>
      <c r="F1320" t="s">
        <v>6146</v>
      </c>
      <c r="G1320" t="s">
        <v>6349</v>
      </c>
      <c r="H1320" t="s">
        <v>6352</v>
      </c>
      <c r="I1320" t="s">
        <v>9285</v>
      </c>
      <c r="K1320" t="s">
        <v>164</v>
      </c>
      <c r="N1320" t="str">
        <f t="shared" si="61"/>
        <v>Szanowna Pani</v>
      </c>
      <c r="O1320" s="19" t="s">
        <v>9776</v>
      </c>
      <c r="U1320" t="str">
        <f t="shared" si="60"/>
        <v>tak</v>
      </c>
    </row>
    <row r="1321" spans="1:21">
      <c r="A1321">
        <v>1365</v>
      </c>
      <c r="B1321" t="s">
        <v>6149</v>
      </c>
      <c r="C1321" t="s">
        <v>6149</v>
      </c>
      <c r="D1321" t="s">
        <v>6356</v>
      </c>
      <c r="E1321" t="s">
        <v>6355</v>
      </c>
      <c r="F1321" t="s">
        <v>6146</v>
      </c>
      <c r="G1321" t="s">
        <v>6354</v>
      </c>
      <c r="H1321" t="s">
        <v>6353</v>
      </c>
      <c r="I1321" t="s">
        <v>9286</v>
      </c>
      <c r="K1321" t="s">
        <v>165</v>
      </c>
      <c r="N1321" t="str">
        <f t="shared" si="61"/>
        <v>Szanowna Pani</v>
      </c>
      <c r="P1321" s="19" t="s">
        <v>9776</v>
      </c>
      <c r="U1321" t="str">
        <f t="shared" si="60"/>
        <v>tak</v>
      </c>
    </row>
    <row r="1322" spans="1:21">
      <c r="A1322">
        <v>1366</v>
      </c>
      <c r="B1322" t="s">
        <v>6149</v>
      </c>
      <c r="C1322" t="s">
        <v>6149</v>
      </c>
      <c r="D1322" t="s">
        <v>6356</v>
      </c>
      <c r="E1322" t="s">
        <v>6355</v>
      </c>
      <c r="F1322" t="s">
        <v>6146</v>
      </c>
      <c r="G1322" t="s">
        <v>6354</v>
      </c>
      <c r="H1322" t="s">
        <v>6357</v>
      </c>
      <c r="I1322" t="s">
        <v>9287</v>
      </c>
      <c r="K1322" t="s">
        <v>165</v>
      </c>
      <c r="N1322" t="str">
        <f t="shared" si="61"/>
        <v>Szanowna Pani</v>
      </c>
      <c r="P1322" s="19" t="s">
        <v>9776</v>
      </c>
      <c r="U1322" t="str">
        <f>+O1322 &amp;P1322&amp;Q1322</f>
        <v>tak</v>
      </c>
    </row>
    <row r="1323" spans="1:21">
      <c r="A1323">
        <v>1367</v>
      </c>
      <c r="B1323" t="s">
        <v>6149</v>
      </c>
      <c r="C1323" t="s">
        <v>6149</v>
      </c>
      <c r="D1323" t="s">
        <v>6361</v>
      </c>
      <c r="E1323" t="s">
        <v>6360</v>
      </c>
      <c r="F1323" t="s">
        <v>6146</v>
      </c>
      <c r="G1323" t="s">
        <v>6359</v>
      </c>
      <c r="H1323" t="s">
        <v>6358</v>
      </c>
      <c r="I1323" t="s">
        <v>9288</v>
      </c>
      <c r="K1323" t="s">
        <v>165</v>
      </c>
      <c r="N1323" t="str">
        <f t="shared" si="61"/>
        <v>Szanowna Pani</v>
      </c>
      <c r="P1323" s="19" t="s">
        <v>9776</v>
      </c>
      <c r="U1323" t="str">
        <f t="shared" ref="U1323:U1345" si="62">+O1323 &amp;P1323&amp;Q1323</f>
        <v>tak</v>
      </c>
    </row>
    <row r="1324" spans="1:21">
      <c r="A1324">
        <v>1368</v>
      </c>
      <c r="B1324" t="s">
        <v>6149</v>
      </c>
      <c r="C1324" t="s">
        <v>6149</v>
      </c>
      <c r="D1324" t="s">
        <v>6365</v>
      </c>
      <c r="E1324" t="s">
        <v>6364</v>
      </c>
      <c r="F1324" t="s">
        <v>6146</v>
      </c>
      <c r="G1324" t="s">
        <v>6363</v>
      </c>
      <c r="H1324" t="s">
        <v>6362</v>
      </c>
      <c r="I1324" t="s">
        <v>9289</v>
      </c>
      <c r="K1324" t="s">
        <v>164</v>
      </c>
      <c r="N1324" t="str">
        <f t="shared" si="61"/>
        <v>Szanowna Pani</v>
      </c>
      <c r="O1324" s="19" t="s">
        <v>9776</v>
      </c>
      <c r="U1324" t="str">
        <f t="shared" si="62"/>
        <v>tak</v>
      </c>
    </row>
    <row r="1325" spans="1:21">
      <c r="A1325">
        <v>1369</v>
      </c>
      <c r="B1325" t="s">
        <v>6149</v>
      </c>
      <c r="C1325" t="s">
        <v>6149</v>
      </c>
      <c r="D1325" t="s">
        <v>6369</v>
      </c>
      <c r="E1325" t="s">
        <v>6368</v>
      </c>
      <c r="F1325" t="s">
        <v>6146</v>
      </c>
      <c r="G1325" t="s">
        <v>6367</v>
      </c>
      <c r="H1325" t="s">
        <v>6366</v>
      </c>
      <c r="I1325" t="s">
        <v>9290</v>
      </c>
      <c r="K1325" t="s">
        <v>164</v>
      </c>
      <c r="N1325" t="str">
        <f t="shared" si="61"/>
        <v>Szanowna Pani</v>
      </c>
      <c r="O1325" s="19" t="s">
        <v>9776</v>
      </c>
      <c r="U1325" t="str">
        <f t="shared" si="62"/>
        <v>tak</v>
      </c>
    </row>
    <row r="1326" spans="1:21">
      <c r="A1326">
        <v>1370</v>
      </c>
      <c r="B1326" t="s">
        <v>6149</v>
      </c>
      <c r="C1326" t="s">
        <v>6149</v>
      </c>
      <c r="D1326" t="s">
        <v>6373</v>
      </c>
      <c r="E1326" t="s">
        <v>6372</v>
      </c>
      <c r="F1326" t="s">
        <v>6146</v>
      </c>
      <c r="G1326" t="s">
        <v>6371</v>
      </c>
      <c r="H1326" t="s">
        <v>6370</v>
      </c>
      <c r="I1326" t="s">
        <v>9291</v>
      </c>
      <c r="K1326" t="s">
        <v>164</v>
      </c>
      <c r="N1326" t="str">
        <f t="shared" si="61"/>
        <v>Szanowna Pani</v>
      </c>
      <c r="O1326" s="19" t="s">
        <v>9776</v>
      </c>
      <c r="U1326" t="str">
        <f t="shared" si="62"/>
        <v>tak</v>
      </c>
    </row>
    <row r="1327" spans="1:21">
      <c r="A1327">
        <v>1371</v>
      </c>
      <c r="B1327" t="s">
        <v>6149</v>
      </c>
      <c r="C1327" t="s">
        <v>6149</v>
      </c>
      <c r="D1327" t="s">
        <v>6373</v>
      </c>
      <c r="E1327" t="s">
        <v>6372</v>
      </c>
      <c r="F1327" t="s">
        <v>6146</v>
      </c>
      <c r="G1327" t="s">
        <v>6371</v>
      </c>
      <c r="H1327" t="s">
        <v>6432</v>
      </c>
      <c r="I1327" t="s">
        <v>9291</v>
      </c>
      <c r="K1327" t="s">
        <v>165</v>
      </c>
      <c r="N1327" t="str">
        <f t="shared" si="61"/>
        <v>Szanowna Pani</v>
      </c>
      <c r="P1327" s="19" t="s">
        <v>9776</v>
      </c>
      <c r="U1327" t="str">
        <f t="shared" si="62"/>
        <v>tak</v>
      </c>
    </row>
    <row r="1328" spans="1:21">
      <c r="A1328">
        <v>1372</v>
      </c>
      <c r="B1328" t="s">
        <v>6149</v>
      </c>
      <c r="C1328" t="s">
        <v>6149</v>
      </c>
      <c r="D1328" t="s">
        <v>6373</v>
      </c>
      <c r="E1328" t="s">
        <v>6372</v>
      </c>
      <c r="F1328" t="s">
        <v>6146</v>
      </c>
      <c r="G1328" t="s">
        <v>6434</v>
      </c>
      <c r="H1328" t="s">
        <v>6433</v>
      </c>
      <c r="I1328" t="s">
        <v>9292</v>
      </c>
      <c r="K1328" t="s">
        <v>224</v>
      </c>
      <c r="N1328" t="str">
        <f t="shared" si="61"/>
        <v>Szanowna Pani</v>
      </c>
      <c r="Q1328" s="19" t="s">
        <v>9776</v>
      </c>
      <c r="U1328" t="str">
        <f t="shared" si="62"/>
        <v>tak</v>
      </c>
    </row>
    <row r="1329" spans="1:21">
      <c r="A1329">
        <v>1373</v>
      </c>
      <c r="B1329" t="s">
        <v>6149</v>
      </c>
      <c r="C1329" t="s">
        <v>6149</v>
      </c>
      <c r="D1329" t="s">
        <v>6376</v>
      </c>
      <c r="E1329" t="s">
        <v>6145</v>
      </c>
      <c r="F1329" t="s">
        <v>6146</v>
      </c>
      <c r="G1329" t="s">
        <v>6375</v>
      </c>
      <c r="H1329" t="s">
        <v>6374</v>
      </c>
      <c r="I1329" t="s">
        <v>9293</v>
      </c>
      <c r="K1329" t="s">
        <v>164</v>
      </c>
      <c r="N1329" t="str">
        <f t="shared" si="61"/>
        <v>Szanowna Pani</v>
      </c>
      <c r="O1329" s="19" t="s">
        <v>9776</v>
      </c>
      <c r="U1329" t="str">
        <f t="shared" si="62"/>
        <v>tak</v>
      </c>
    </row>
    <row r="1330" spans="1:21">
      <c r="A1330">
        <v>1374</v>
      </c>
      <c r="B1330" t="s">
        <v>6149</v>
      </c>
      <c r="C1330" t="s">
        <v>6139</v>
      </c>
      <c r="D1330" t="s">
        <v>6380</v>
      </c>
      <c r="E1330" t="s">
        <v>6379</v>
      </c>
      <c r="F1330" t="s">
        <v>6143</v>
      </c>
      <c r="G1330" t="s">
        <v>6378</v>
      </c>
      <c r="H1330" t="s">
        <v>6377</v>
      </c>
      <c r="I1330" t="s">
        <v>9266</v>
      </c>
      <c r="K1330" t="s">
        <v>165</v>
      </c>
      <c r="N1330" t="str">
        <f t="shared" si="61"/>
        <v>Szanowna Pani</v>
      </c>
      <c r="P1330" s="19" t="s">
        <v>9776</v>
      </c>
      <c r="U1330" t="str">
        <f t="shared" si="62"/>
        <v>tak</v>
      </c>
    </row>
    <row r="1331" spans="1:21">
      <c r="A1331">
        <v>1375</v>
      </c>
      <c r="B1331" t="s">
        <v>6149</v>
      </c>
      <c r="C1331" t="s">
        <v>6139</v>
      </c>
      <c r="D1331" t="s">
        <v>6384</v>
      </c>
      <c r="E1331" t="s">
        <v>6383</v>
      </c>
      <c r="F1331" t="s">
        <v>6143</v>
      </c>
      <c r="G1331" t="s">
        <v>6382</v>
      </c>
      <c r="H1331" t="s">
        <v>6381</v>
      </c>
      <c r="I1331" t="s">
        <v>9294</v>
      </c>
      <c r="K1331" t="s">
        <v>164</v>
      </c>
      <c r="N1331" t="str">
        <f t="shared" si="61"/>
        <v>Szanowna Pani</v>
      </c>
      <c r="O1331" s="19" t="s">
        <v>9776</v>
      </c>
      <c r="U1331" t="str">
        <f t="shared" si="62"/>
        <v>tak</v>
      </c>
    </row>
    <row r="1332" spans="1:21">
      <c r="A1332">
        <v>1376</v>
      </c>
      <c r="B1332" t="s">
        <v>6149</v>
      </c>
      <c r="C1332" t="s">
        <v>6139</v>
      </c>
      <c r="D1332" t="s">
        <v>3860</v>
      </c>
      <c r="E1332" t="s">
        <v>6387</v>
      </c>
      <c r="F1332" t="s">
        <v>6143</v>
      </c>
      <c r="G1332" t="s">
        <v>6386</v>
      </c>
      <c r="H1332" t="s">
        <v>6385</v>
      </c>
      <c r="I1332" t="s">
        <v>9295</v>
      </c>
      <c r="K1332" t="s">
        <v>165</v>
      </c>
      <c r="N1332" t="str">
        <f t="shared" si="61"/>
        <v>Szanowna Pani</v>
      </c>
      <c r="P1332" s="19" t="s">
        <v>9776</v>
      </c>
      <c r="U1332" t="str">
        <f t="shared" si="62"/>
        <v>tak</v>
      </c>
    </row>
    <row r="1333" spans="1:21">
      <c r="A1333">
        <v>1377</v>
      </c>
      <c r="B1333" t="s">
        <v>6149</v>
      </c>
      <c r="C1333" t="s">
        <v>6139</v>
      </c>
      <c r="D1333" t="s">
        <v>6390</v>
      </c>
      <c r="E1333" t="s">
        <v>5849</v>
      </c>
      <c r="F1333" t="s">
        <v>6188</v>
      </c>
      <c r="G1333" t="s">
        <v>6389</v>
      </c>
      <c r="H1333" t="s">
        <v>6388</v>
      </c>
      <c r="I1333" t="s">
        <v>9296</v>
      </c>
      <c r="K1333" t="s">
        <v>164</v>
      </c>
      <c r="N1333" t="str">
        <f t="shared" si="61"/>
        <v>Szanowna Pani</v>
      </c>
      <c r="O1333" s="19" t="s">
        <v>9776</v>
      </c>
      <c r="U1333" t="str">
        <f t="shared" si="62"/>
        <v>tak</v>
      </c>
    </row>
    <row r="1334" spans="1:21">
      <c r="A1334">
        <v>1378</v>
      </c>
      <c r="B1334" t="s">
        <v>6149</v>
      </c>
      <c r="C1334" t="s">
        <v>6147</v>
      </c>
      <c r="D1334" t="s">
        <v>6395</v>
      </c>
      <c r="E1334" t="s">
        <v>6394</v>
      </c>
      <c r="F1334" t="s">
        <v>6393</v>
      </c>
      <c r="G1334" t="s">
        <v>6392</v>
      </c>
      <c r="H1334" t="s">
        <v>6391</v>
      </c>
      <c r="I1334" t="s">
        <v>9297</v>
      </c>
      <c r="K1334" t="s">
        <v>165</v>
      </c>
      <c r="N1334" t="str">
        <f t="shared" si="61"/>
        <v>Szanowna Pani</v>
      </c>
      <c r="P1334" s="19" t="s">
        <v>9776</v>
      </c>
      <c r="U1334" t="str">
        <f t="shared" si="62"/>
        <v>tak</v>
      </c>
    </row>
    <row r="1335" spans="1:21">
      <c r="A1335">
        <v>1379</v>
      </c>
      <c r="B1335" t="s">
        <v>6149</v>
      </c>
      <c r="C1335" t="s">
        <v>6147</v>
      </c>
      <c r="D1335" t="s">
        <v>6400</v>
      </c>
      <c r="E1335" t="s">
        <v>6399</v>
      </c>
      <c r="F1335" t="s">
        <v>6398</v>
      </c>
      <c r="G1335" t="s">
        <v>6397</v>
      </c>
      <c r="H1335" t="s">
        <v>6396</v>
      </c>
      <c r="I1335" t="s">
        <v>9298</v>
      </c>
      <c r="K1335" t="s">
        <v>164</v>
      </c>
      <c r="N1335" t="str">
        <f t="shared" si="61"/>
        <v>Szanowny Pan</v>
      </c>
      <c r="O1335" s="19" t="s">
        <v>9776</v>
      </c>
      <c r="U1335" t="str">
        <f t="shared" si="62"/>
        <v>tak</v>
      </c>
    </row>
    <row r="1336" spans="1:21">
      <c r="A1336">
        <v>1380</v>
      </c>
      <c r="B1336" t="s">
        <v>6149</v>
      </c>
      <c r="C1336" t="s">
        <v>6147</v>
      </c>
      <c r="D1336" t="s">
        <v>251</v>
      </c>
      <c r="E1336" t="s">
        <v>6404</v>
      </c>
      <c r="F1336" t="s">
        <v>6403</v>
      </c>
      <c r="G1336" t="s">
        <v>6402</v>
      </c>
      <c r="H1336" t="s">
        <v>6401</v>
      </c>
      <c r="I1336" t="s">
        <v>9299</v>
      </c>
      <c r="K1336" t="s">
        <v>164</v>
      </c>
      <c r="N1336" t="str">
        <f t="shared" si="61"/>
        <v>Szanowna Pani</v>
      </c>
      <c r="O1336" s="19" t="s">
        <v>9776</v>
      </c>
      <c r="U1336" t="str">
        <f t="shared" si="62"/>
        <v>tak</v>
      </c>
    </row>
    <row r="1337" spans="1:21">
      <c r="A1337">
        <v>1381</v>
      </c>
      <c r="B1337" t="s">
        <v>6149</v>
      </c>
      <c r="C1337" t="s">
        <v>6147</v>
      </c>
      <c r="D1337" t="s">
        <v>6407</v>
      </c>
      <c r="E1337" t="s">
        <v>6404</v>
      </c>
      <c r="F1337" t="s">
        <v>6403</v>
      </c>
      <c r="G1337" t="s">
        <v>6406</v>
      </c>
      <c r="H1337" t="s">
        <v>6405</v>
      </c>
      <c r="I1337" t="s">
        <v>9300</v>
      </c>
      <c r="K1337" t="s">
        <v>6225</v>
      </c>
      <c r="N1337" t="str">
        <f t="shared" si="61"/>
        <v>Szanowna Pani</v>
      </c>
      <c r="O1337" s="19" t="s">
        <v>9776</v>
      </c>
      <c r="U1337" t="str">
        <f t="shared" si="62"/>
        <v>tak</v>
      </c>
    </row>
    <row r="1338" spans="1:21">
      <c r="A1338">
        <v>1382</v>
      </c>
      <c r="B1338" t="s">
        <v>6149</v>
      </c>
      <c r="C1338" t="s">
        <v>6147</v>
      </c>
      <c r="D1338" t="s">
        <v>3443</v>
      </c>
      <c r="E1338" t="s">
        <v>6410</v>
      </c>
      <c r="F1338" t="s">
        <v>6403</v>
      </c>
      <c r="G1338" t="s">
        <v>6409</v>
      </c>
      <c r="H1338" t="s">
        <v>6408</v>
      </c>
      <c r="I1338" t="s">
        <v>9301</v>
      </c>
      <c r="K1338" t="s">
        <v>164</v>
      </c>
      <c r="N1338" t="str">
        <f t="shared" si="61"/>
        <v>Szanowna Pani</v>
      </c>
      <c r="O1338" s="19" t="s">
        <v>9776</v>
      </c>
      <c r="U1338" t="str">
        <f t="shared" si="62"/>
        <v>tak</v>
      </c>
    </row>
    <row r="1339" spans="1:21">
      <c r="A1339">
        <v>1383</v>
      </c>
      <c r="B1339" t="s">
        <v>6149</v>
      </c>
      <c r="C1339" t="s">
        <v>6147</v>
      </c>
      <c r="D1339" t="s">
        <v>1197</v>
      </c>
      <c r="E1339" t="s">
        <v>6415</v>
      </c>
      <c r="F1339" t="s">
        <v>6403</v>
      </c>
      <c r="G1339" t="s">
        <v>6414</v>
      </c>
      <c r="H1339" t="s">
        <v>6413</v>
      </c>
      <c r="I1339" t="s">
        <v>6412</v>
      </c>
      <c r="K1339" t="s">
        <v>224</v>
      </c>
      <c r="L1339" t="s">
        <v>6411</v>
      </c>
      <c r="N1339" t="str">
        <f t="shared" si="61"/>
        <v>Szanowna Pani</v>
      </c>
      <c r="Q1339" s="19" t="s">
        <v>9776</v>
      </c>
      <c r="U1339" t="str">
        <f t="shared" si="62"/>
        <v>tak</v>
      </c>
    </row>
    <row r="1340" spans="1:21">
      <c r="A1340">
        <v>1384</v>
      </c>
      <c r="B1340" t="s">
        <v>6149</v>
      </c>
      <c r="C1340" t="s">
        <v>6147</v>
      </c>
      <c r="D1340" t="s">
        <v>3348</v>
      </c>
      <c r="E1340" t="s">
        <v>6418</v>
      </c>
      <c r="F1340" t="s">
        <v>6403</v>
      </c>
      <c r="G1340" t="s">
        <v>6417</v>
      </c>
      <c r="H1340" t="s">
        <v>6416</v>
      </c>
      <c r="K1340" t="s">
        <v>164</v>
      </c>
      <c r="N1340" t="str">
        <f t="shared" si="61"/>
        <v>Szanowna Pani</v>
      </c>
      <c r="O1340" s="19" t="s">
        <v>9776</v>
      </c>
      <c r="U1340" t="str">
        <f t="shared" si="62"/>
        <v>tak</v>
      </c>
    </row>
    <row r="1341" spans="1:21">
      <c r="A1341">
        <v>1385</v>
      </c>
      <c r="B1341" t="s">
        <v>6149</v>
      </c>
      <c r="C1341" t="s">
        <v>6147</v>
      </c>
      <c r="D1341" t="s">
        <v>2616</v>
      </c>
      <c r="E1341" t="s">
        <v>6422</v>
      </c>
      <c r="F1341" t="s">
        <v>6403</v>
      </c>
      <c r="G1341" t="s">
        <v>6421</v>
      </c>
      <c r="H1341" t="s">
        <v>6420</v>
      </c>
      <c r="I1341" t="s">
        <v>9302</v>
      </c>
      <c r="K1341" t="s">
        <v>6419</v>
      </c>
      <c r="N1341" t="str">
        <f t="shared" si="61"/>
        <v>Szanowna Pani</v>
      </c>
      <c r="O1341" s="19" t="s">
        <v>9776</v>
      </c>
      <c r="U1341" t="str">
        <f t="shared" si="62"/>
        <v>tak</v>
      </c>
    </row>
    <row r="1342" spans="1:21">
      <c r="A1342">
        <v>1386</v>
      </c>
      <c r="B1342" t="s">
        <v>6149</v>
      </c>
      <c r="C1342" t="s">
        <v>6147</v>
      </c>
      <c r="D1342" t="s">
        <v>3182</v>
      </c>
      <c r="E1342" t="s">
        <v>6424</v>
      </c>
      <c r="F1342" t="s">
        <v>6403</v>
      </c>
      <c r="G1342" t="s">
        <v>6423</v>
      </c>
      <c r="H1342" t="s">
        <v>1334</v>
      </c>
      <c r="I1342" t="s">
        <v>9303</v>
      </c>
      <c r="K1342" t="s">
        <v>164</v>
      </c>
      <c r="N1342" t="str">
        <f t="shared" si="61"/>
        <v>Szanowna Pani</v>
      </c>
      <c r="O1342" s="19" t="s">
        <v>9776</v>
      </c>
      <c r="U1342" t="str">
        <f t="shared" si="62"/>
        <v>tak</v>
      </c>
    </row>
    <row r="1343" spans="1:21">
      <c r="A1343">
        <v>1387</v>
      </c>
      <c r="B1343" t="s">
        <v>6149</v>
      </c>
      <c r="C1343" t="s">
        <v>6147</v>
      </c>
      <c r="D1343" t="s">
        <v>2693</v>
      </c>
      <c r="E1343" t="s">
        <v>6427</v>
      </c>
      <c r="F1343" t="s">
        <v>6403</v>
      </c>
      <c r="G1343" t="s">
        <v>6426</v>
      </c>
      <c r="H1343" t="s">
        <v>6425</v>
      </c>
      <c r="I1343" t="s">
        <v>9304</v>
      </c>
      <c r="K1343" t="s">
        <v>164</v>
      </c>
      <c r="N1343" t="str">
        <f t="shared" si="61"/>
        <v>Szanowna Pani</v>
      </c>
      <c r="O1343" s="19" t="s">
        <v>9776</v>
      </c>
      <c r="U1343" t="str">
        <f t="shared" si="62"/>
        <v>tak</v>
      </c>
    </row>
    <row r="1344" spans="1:21">
      <c r="A1344">
        <v>1388</v>
      </c>
      <c r="B1344" t="s">
        <v>6149</v>
      </c>
      <c r="C1344" t="s">
        <v>6147</v>
      </c>
      <c r="D1344" t="s">
        <v>6431</v>
      </c>
      <c r="E1344" t="s">
        <v>2122</v>
      </c>
      <c r="F1344" t="s">
        <v>6430</v>
      </c>
      <c r="G1344" t="s">
        <v>6429</v>
      </c>
      <c r="H1344" t="s">
        <v>6428</v>
      </c>
      <c r="I1344" t="s">
        <v>9305</v>
      </c>
      <c r="K1344" t="s">
        <v>164</v>
      </c>
      <c r="N1344" t="str">
        <f t="shared" si="61"/>
        <v>Szanowna Pani</v>
      </c>
      <c r="O1344" s="19" t="s">
        <v>9776</v>
      </c>
      <c r="U1344" t="str">
        <f t="shared" si="62"/>
        <v>tak</v>
      </c>
    </row>
    <row r="1345" spans="1:21">
      <c r="A1345">
        <v>1389</v>
      </c>
      <c r="B1345" t="s">
        <v>6677</v>
      </c>
      <c r="C1345" t="s">
        <v>6436</v>
      </c>
      <c r="D1345" t="s">
        <v>6437</v>
      </c>
      <c r="E1345" t="s">
        <v>6438</v>
      </c>
      <c r="F1345" t="s">
        <v>6439</v>
      </c>
      <c r="G1345" t="s">
        <v>6784</v>
      </c>
      <c r="H1345" t="s">
        <v>6783</v>
      </c>
      <c r="I1345" t="s">
        <v>9306</v>
      </c>
      <c r="K1345" t="s">
        <v>164</v>
      </c>
      <c r="N1345" t="str">
        <f t="shared" si="61"/>
        <v>Szanowna Pani</v>
      </c>
      <c r="O1345" s="19" t="s">
        <v>9776</v>
      </c>
      <c r="U1345" t="str">
        <f t="shared" si="62"/>
        <v>tak</v>
      </c>
    </row>
    <row r="1346" spans="1:21">
      <c r="A1346">
        <v>1390</v>
      </c>
      <c r="B1346" t="s">
        <v>6677</v>
      </c>
      <c r="C1346" t="s">
        <v>6440</v>
      </c>
      <c r="D1346" t="s">
        <v>6441</v>
      </c>
      <c r="E1346" t="s">
        <v>6442</v>
      </c>
      <c r="F1346" t="s">
        <v>6443</v>
      </c>
      <c r="G1346" t="s">
        <v>6786</v>
      </c>
      <c r="H1346" t="s">
        <v>6785</v>
      </c>
      <c r="I1346" t="s">
        <v>9307</v>
      </c>
      <c r="K1346" t="s">
        <v>164</v>
      </c>
      <c r="N1346" t="str">
        <f t="shared" si="61"/>
        <v>Szanowna Pani</v>
      </c>
      <c r="O1346" s="19" t="s">
        <v>9776</v>
      </c>
      <c r="U1346" t="str">
        <f>+O1346 &amp;P1346&amp;Q1346</f>
        <v>tak</v>
      </c>
    </row>
    <row r="1347" spans="1:21">
      <c r="A1347">
        <v>1391</v>
      </c>
      <c r="B1347" t="s">
        <v>6677</v>
      </c>
      <c r="C1347" t="s">
        <v>6444</v>
      </c>
      <c r="D1347" t="s">
        <v>166</v>
      </c>
      <c r="E1347" t="s">
        <v>6445</v>
      </c>
      <c r="F1347" t="s">
        <v>6446</v>
      </c>
      <c r="G1347" t="s">
        <v>6788</v>
      </c>
      <c r="H1347" t="s">
        <v>6787</v>
      </c>
      <c r="I1347" t="s">
        <v>9308</v>
      </c>
      <c r="K1347" t="s">
        <v>164</v>
      </c>
      <c r="N1347" t="str">
        <f t="shared" si="61"/>
        <v>Szanowna Pani</v>
      </c>
      <c r="O1347" s="19" t="s">
        <v>9776</v>
      </c>
      <c r="U1347" t="str">
        <f t="shared" ref="U1347:U1410" si="63">+O1347 &amp;P1347&amp;Q1347</f>
        <v>tak</v>
      </c>
    </row>
    <row r="1348" spans="1:21">
      <c r="A1348">
        <v>1392</v>
      </c>
      <c r="B1348" t="s">
        <v>6677</v>
      </c>
      <c r="C1348" t="s">
        <v>6447</v>
      </c>
      <c r="D1348" t="s">
        <v>6448</v>
      </c>
      <c r="E1348" t="s">
        <v>6791</v>
      </c>
      <c r="F1348" t="s">
        <v>6450</v>
      </c>
      <c r="G1348" t="s">
        <v>6790</v>
      </c>
      <c r="H1348" t="s">
        <v>6789</v>
      </c>
      <c r="I1348" t="s">
        <v>9309</v>
      </c>
      <c r="K1348" t="s">
        <v>164</v>
      </c>
      <c r="N1348" t="str">
        <f t="shared" si="61"/>
        <v>Szanowna Pani</v>
      </c>
      <c r="O1348" s="19" t="s">
        <v>9776</v>
      </c>
      <c r="U1348" t="str">
        <f t="shared" si="63"/>
        <v>tak</v>
      </c>
    </row>
    <row r="1349" spans="1:21">
      <c r="A1349">
        <v>1393</v>
      </c>
      <c r="B1349" t="s">
        <v>6677</v>
      </c>
      <c r="C1349" t="s">
        <v>6447</v>
      </c>
      <c r="D1349" t="s">
        <v>6448</v>
      </c>
      <c r="E1349" t="s">
        <v>6449</v>
      </c>
      <c r="F1349" t="s">
        <v>6450</v>
      </c>
      <c r="G1349" t="s">
        <v>6793</v>
      </c>
      <c r="H1349" t="s">
        <v>6792</v>
      </c>
      <c r="I1349" t="s">
        <v>9309</v>
      </c>
      <c r="K1349" t="s">
        <v>164</v>
      </c>
      <c r="N1349" t="str">
        <f t="shared" si="61"/>
        <v>Szanowna Pani</v>
      </c>
      <c r="O1349" s="19" t="s">
        <v>9776</v>
      </c>
      <c r="U1349" t="str">
        <f t="shared" si="63"/>
        <v>tak</v>
      </c>
    </row>
    <row r="1350" spans="1:21">
      <c r="A1350">
        <v>1394</v>
      </c>
      <c r="B1350" t="s">
        <v>6677</v>
      </c>
      <c r="C1350" t="s">
        <v>1438</v>
      </c>
      <c r="D1350" t="s">
        <v>6797</v>
      </c>
      <c r="E1350" t="s">
        <v>6796</v>
      </c>
      <c r="F1350" t="s">
        <v>6636</v>
      </c>
      <c r="G1350" t="s">
        <v>6795</v>
      </c>
      <c r="H1350" t="s">
        <v>6794</v>
      </c>
      <c r="I1350" t="s">
        <v>9310</v>
      </c>
      <c r="K1350" t="s">
        <v>164</v>
      </c>
      <c r="N1350" t="str">
        <f t="shared" si="61"/>
        <v>Szanowna Pani</v>
      </c>
      <c r="O1350" s="19" t="s">
        <v>9776</v>
      </c>
      <c r="U1350" t="str">
        <f t="shared" si="63"/>
        <v>tak</v>
      </c>
    </row>
    <row r="1351" spans="1:21">
      <c r="A1351">
        <v>1395</v>
      </c>
      <c r="B1351" t="s">
        <v>6677</v>
      </c>
      <c r="C1351" t="s">
        <v>6451</v>
      </c>
      <c r="D1351" t="s">
        <v>6802</v>
      </c>
      <c r="E1351" t="s">
        <v>6801</v>
      </c>
      <c r="F1351" t="s">
        <v>6800</v>
      </c>
      <c r="G1351" t="s">
        <v>6799</v>
      </c>
      <c r="H1351" t="s">
        <v>6798</v>
      </c>
      <c r="I1351" t="s">
        <v>9311</v>
      </c>
      <c r="K1351" t="s">
        <v>224</v>
      </c>
      <c r="N1351" t="str">
        <f t="shared" si="61"/>
        <v>Szanowna Pani</v>
      </c>
      <c r="Q1351" s="19" t="s">
        <v>9776</v>
      </c>
      <c r="U1351" t="str">
        <f t="shared" si="63"/>
        <v>tak</v>
      </c>
    </row>
    <row r="1352" spans="1:21">
      <c r="A1352">
        <v>1396</v>
      </c>
      <c r="B1352" t="s">
        <v>6677</v>
      </c>
      <c r="C1352" t="s">
        <v>6452</v>
      </c>
      <c r="D1352" t="s">
        <v>6453</v>
      </c>
      <c r="E1352" t="s">
        <v>6454</v>
      </c>
      <c r="F1352" t="s">
        <v>6455</v>
      </c>
      <c r="G1352" t="s">
        <v>6804</v>
      </c>
      <c r="H1352" t="s">
        <v>6803</v>
      </c>
      <c r="I1352" t="s">
        <v>9312</v>
      </c>
      <c r="K1352" t="s">
        <v>165</v>
      </c>
      <c r="L1352" t="s">
        <v>164</v>
      </c>
      <c r="N1352" t="str">
        <f t="shared" si="61"/>
        <v>Szanowna Pani</v>
      </c>
      <c r="P1352" s="19" t="s">
        <v>9776</v>
      </c>
      <c r="U1352" t="str">
        <f t="shared" si="63"/>
        <v>tak</v>
      </c>
    </row>
    <row r="1353" spans="1:21">
      <c r="A1353">
        <v>1397</v>
      </c>
      <c r="B1353" t="s">
        <v>6677</v>
      </c>
      <c r="C1353" t="s">
        <v>6456</v>
      </c>
      <c r="D1353" t="s">
        <v>6457</v>
      </c>
      <c r="E1353" t="s">
        <v>6458</v>
      </c>
      <c r="F1353" t="s">
        <v>6459</v>
      </c>
      <c r="G1353" t="s">
        <v>6806</v>
      </c>
      <c r="H1353" t="s">
        <v>6805</v>
      </c>
      <c r="I1353" t="s">
        <v>9313</v>
      </c>
      <c r="K1353" t="s">
        <v>164</v>
      </c>
      <c r="N1353" t="str">
        <f t="shared" si="61"/>
        <v>Szanowna Pani</v>
      </c>
      <c r="O1353" s="19" t="s">
        <v>9776</v>
      </c>
      <c r="U1353" t="str">
        <f t="shared" si="63"/>
        <v>tak</v>
      </c>
    </row>
    <row r="1354" spans="1:21">
      <c r="A1354">
        <v>1398</v>
      </c>
      <c r="B1354" t="s">
        <v>6677</v>
      </c>
      <c r="C1354" t="s">
        <v>6456</v>
      </c>
      <c r="D1354" t="s">
        <v>6460</v>
      </c>
      <c r="E1354" t="s">
        <v>6461</v>
      </c>
      <c r="F1354" t="s">
        <v>6459</v>
      </c>
      <c r="G1354" t="s">
        <v>6808</v>
      </c>
      <c r="H1354" t="s">
        <v>6807</v>
      </c>
      <c r="I1354" t="s">
        <v>9314</v>
      </c>
      <c r="K1354" t="s">
        <v>224</v>
      </c>
      <c r="N1354" t="str">
        <f t="shared" si="61"/>
        <v>Szanowna Pani</v>
      </c>
      <c r="Q1354" s="19" t="s">
        <v>9776</v>
      </c>
      <c r="U1354" t="str">
        <f t="shared" si="63"/>
        <v>tak</v>
      </c>
    </row>
    <row r="1355" spans="1:21">
      <c r="A1355">
        <v>1399</v>
      </c>
      <c r="B1355" t="s">
        <v>6677</v>
      </c>
      <c r="C1355" t="s">
        <v>6456</v>
      </c>
      <c r="D1355" t="s">
        <v>2099</v>
      </c>
      <c r="E1355" t="s">
        <v>7093</v>
      </c>
      <c r="F1355" t="s">
        <v>6459</v>
      </c>
      <c r="G1355" t="s">
        <v>7092</v>
      </c>
      <c r="H1355" t="s">
        <v>7091</v>
      </c>
      <c r="I1355" t="s">
        <v>9315</v>
      </c>
      <c r="K1355" t="s">
        <v>164</v>
      </c>
      <c r="N1355" t="str">
        <f t="shared" si="61"/>
        <v>Szanowna Pani</v>
      </c>
      <c r="O1355" s="19" t="s">
        <v>9776</v>
      </c>
      <c r="U1355" t="str">
        <f t="shared" si="63"/>
        <v>tak</v>
      </c>
    </row>
    <row r="1356" spans="1:21">
      <c r="A1356">
        <v>1400</v>
      </c>
      <c r="B1356" t="s">
        <v>6677</v>
      </c>
      <c r="C1356" t="s">
        <v>6462</v>
      </c>
      <c r="D1356" t="s">
        <v>166</v>
      </c>
      <c r="E1356" t="s">
        <v>6463</v>
      </c>
      <c r="F1356" t="s">
        <v>6464</v>
      </c>
      <c r="G1356" t="s">
        <v>6810</v>
      </c>
      <c r="H1356" t="s">
        <v>6809</v>
      </c>
      <c r="I1356" t="s">
        <v>9316</v>
      </c>
      <c r="K1356" t="s">
        <v>164</v>
      </c>
      <c r="N1356" t="str">
        <f t="shared" si="61"/>
        <v>Szanowna Pani</v>
      </c>
      <c r="O1356" s="19" t="s">
        <v>9776</v>
      </c>
      <c r="U1356" t="str">
        <f t="shared" si="63"/>
        <v>tak</v>
      </c>
    </row>
    <row r="1357" spans="1:21">
      <c r="A1357">
        <v>1401</v>
      </c>
      <c r="B1357" t="s">
        <v>6677</v>
      </c>
      <c r="C1357" t="s">
        <v>6462</v>
      </c>
      <c r="D1357" t="s">
        <v>166</v>
      </c>
      <c r="E1357" t="s">
        <v>6463</v>
      </c>
      <c r="F1357" t="s">
        <v>6464</v>
      </c>
      <c r="G1357" t="s">
        <v>6810</v>
      </c>
      <c r="H1357" t="s">
        <v>7094</v>
      </c>
      <c r="I1357" t="s">
        <v>9316</v>
      </c>
      <c r="K1357" t="s">
        <v>224</v>
      </c>
      <c r="N1357" t="str">
        <f t="shared" si="61"/>
        <v>Szanowna Pani</v>
      </c>
      <c r="Q1357" s="19" t="s">
        <v>9776</v>
      </c>
      <c r="U1357" t="str">
        <f t="shared" si="63"/>
        <v>tak</v>
      </c>
    </row>
    <row r="1358" spans="1:21">
      <c r="A1358">
        <v>1402</v>
      </c>
      <c r="B1358" t="s">
        <v>6677</v>
      </c>
      <c r="C1358" t="s">
        <v>6465</v>
      </c>
      <c r="D1358" t="s">
        <v>6466</v>
      </c>
      <c r="E1358" t="s">
        <v>6467</v>
      </c>
      <c r="F1358" t="s">
        <v>6468</v>
      </c>
      <c r="G1358" t="s">
        <v>7107</v>
      </c>
      <c r="H1358" t="s">
        <v>7106</v>
      </c>
      <c r="I1358" t="s">
        <v>9317</v>
      </c>
      <c r="K1358" t="s">
        <v>7105</v>
      </c>
      <c r="N1358" t="str">
        <f t="shared" si="61"/>
        <v>Szanowna Pani</v>
      </c>
      <c r="O1358" s="19" t="s">
        <v>9776</v>
      </c>
      <c r="Q1358" s="19" t="s">
        <v>9776</v>
      </c>
      <c r="U1358" t="str">
        <f t="shared" si="63"/>
        <v>taktak</v>
      </c>
    </row>
    <row r="1359" spans="1:21">
      <c r="A1359">
        <v>1403</v>
      </c>
      <c r="B1359" t="s">
        <v>6677</v>
      </c>
      <c r="C1359" t="s">
        <v>7104</v>
      </c>
      <c r="D1359" t="s">
        <v>6469</v>
      </c>
      <c r="E1359" t="s">
        <v>6470</v>
      </c>
      <c r="F1359" t="s">
        <v>6471</v>
      </c>
      <c r="G1359" t="s">
        <v>6812</v>
      </c>
      <c r="H1359" t="s">
        <v>6811</v>
      </c>
      <c r="I1359" t="s">
        <v>9318</v>
      </c>
      <c r="K1359" t="s">
        <v>164</v>
      </c>
      <c r="N1359" t="str">
        <f t="shared" si="61"/>
        <v>Szanowna Pani</v>
      </c>
      <c r="O1359" s="19" t="s">
        <v>9776</v>
      </c>
      <c r="U1359" t="str">
        <f t="shared" si="63"/>
        <v>tak</v>
      </c>
    </row>
    <row r="1360" spans="1:21">
      <c r="A1360">
        <v>1404</v>
      </c>
      <c r="B1360" t="s">
        <v>6677</v>
      </c>
      <c r="C1360" t="s">
        <v>6472</v>
      </c>
      <c r="D1360" t="s">
        <v>6473</v>
      </c>
      <c r="E1360" t="s">
        <v>6474</v>
      </c>
      <c r="F1360" t="s">
        <v>6475</v>
      </c>
      <c r="G1360" t="s">
        <v>6813</v>
      </c>
      <c r="H1360" t="s">
        <v>7108</v>
      </c>
      <c r="I1360" t="s">
        <v>9319</v>
      </c>
      <c r="K1360" t="s">
        <v>164</v>
      </c>
      <c r="N1360" t="str">
        <f t="shared" si="61"/>
        <v>Szanowna Pani</v>
      </c>
      <c r="O1360" s="19" t="s">
        <v>9776</v>
      </c>
      <c r="U1360" t="str">
        <f t="shared" si="63"/>
        <v>tak</v>
      </c>
    </row>
    <row r="1361" spans="1:21">
      <c r="A1361">
        <v>1405</v>
      </c>
      <c r="B1361" t="s">
        <v>6677</v>
      </c>
      <c r="C1361" t="s">
        <v>6476</v>
      </c>
      <c r="D1361" t="s">
        <v>6477</v>
      </c>
      <c r="E1361" t="s">
        <v>6478</v>
      </c>
      <c r="F1361" t="s">
        <v>6479</v>
      </c>
      <c r="G1361" t="s">
        <v>6815</v>
      </c>
      <c r="H1361" t="s">
        <v>6814</v>
      </c>
      <c r="I1361" t="s">
        <v>9320</v>
      </c>
      <c r="K1361" t="s">
        <v>164</v>
      </c>
      <c r="N1361" t="str">
        <f t="shared" si="61"/>
        <v>Szanowna Pani</v>
      </c>
      <c r="O1361" s="19" t="s">
        <v>9776</v>
      </c>
      <c r="U1361" t="str">
        <f t="shared" si="63"/>
        <v>tak</v>
      </c>
    </row>
    <row r="1362" spans="1:21">
      <c r="A1362">
        <v>1406</v>
      </c>
      <c r="B1362" t="s">
        <v>6677</v>
      </c>
      <c r="C1362" t="s">
        <v>6480</v>
      </c>
      <c r="D1362" t="s">
        <v>166</v>
      </c>
      <c r="E1362" t="s">
        <v>6481</v>
      </c>
      <c r="F1362" t="s">
        <v>6482</v>
      </c>
      <c r="G1362" t="s">
        <v>6817</v>
      </c>
      <c r="H1362" t="s">
        <v>6816</v>
      </c>
      <c r="I1362" t="s">
        <v>9321</v>
      </c>
      <c r="K1362" t="s">
        <v>164</v>
      </c>
      <c r="N1362" t="str">
        <f t="shared" si="61"/>
        <v>Szanowna Pani</v>
      </c>
      <c r="O1362" s="19" t="s">
        <v>9776</v>
      </c>
      <c r="U1362" t="str">
        <f t="shared" si="63"/>
        <v>tak</v>
      </c>
    </row>
    <row r="1363" spans="1:21">
      <c r="A1363">
        <v>1407</v>
      </c>
      <c r="B1363" t="s">
        <v>6677</v>
      </c>
      <c r="C1363" t="s">
        <v>6483</v>
      </c>
      <c r="D1363" t="s">
        <v>6484</v>
      </c>
      <c r="E1363" t="s">
        <v>6485</v>
      </c>
      <c r="F1363" t="s">
        <v>6486</v>
      </c>
      <c r="G1363" t="s">
        <v>6819</v>
      </c>
      <c r="H1363" t="s">
        <v>6818</v>
      </c>
      <c r="I1363" t="s">
        <v>9322</v>
      </c>
      <c r="K1363" t="s">
        <v>165</v>
      </c>
      <c r="N1363" t="str">
        <f t="shared" si="61"/>
        <v>Szanowna Pani</v>
      </c>
      <c r="P1363" s="19" t="s">
        <v>9776</v>
      </c>
      <c r="U1363" t="str">
        <f t="shared" si="63"/>
        <v>tak</v>
      </c>
    </row>
    <row r="1364" spans="1:21">
      <c r="A1364">
        <v>1408</v>
      </c>
      <c r="B1364" t="s">
        <v>6677</v>
      </c>
      <c r="C1364" t="s">
        <v>6487</v>
      </c>
      <c r="D1364" t="s">
        <v>6488</v>
      </c>
      <c r="E1364" t="s">
        <v>6489</v>
      </c>
      <c r="F1364" t="s">
        <v>6490</v>
      </c>
      <c r="G1364" t="s">
        <v>6822</v>
      </c>
      <c r="H1364" t="s">
        <v>6821</v>
      </c>
      <c r="I1364" t="s">
        <v>6820</v>
      </c>
      <c r="K1364" t="s">
        <v>164</v>
      </c>
      <c r="N1364" t="str">
        <f t="shared" si="61"/>
        <v>Szanowna Pani</v>
      </c>
      <c r="O1364" s="19" t="s">
        <v>9776</v>
      </c>
      <c r="U1364" t="str">
        <f t="shared" si="63"/>
        <v>tak</v>
      </c>
    </row>
    <row r="1365" spans="1:21">
      <c r="A1365">
        <v>1409</v>
      </c>
      <c r="B1365" t="s">
        <v>6677</v>
      </c>
      <c r="C1365" t="s">
        <v>6491</v>
      </c>
      <c r="D1365" t="s">
        <v>246</v>
      </c>
      <c r="E1365" t="s">
        <v>6492</v>
      </c>
      <c r="F1365" t="s">
        <v>6493</v>
      </c>
      <c r="G1365" t="s">
        <v>6824</v>
      </c>
      <c r="H1365" t="s">
        <v>6823</v>
      </c>
      <c r="I1365" t="s">
        <v>9323</v>
      </c>
      <c r="K1365" t="s">
        <v>165</v>
      </c>
      <c r="L1365" t="s">
        <v>164</v>
      </c>
      <c r="N1365" t="str">
        <f t="shared" si="61"/>
        <v>Szanowne Panie</v>
      </c>
      <c r="P1365" s="19" t="s">
        <v>9776</v>
      </c>
      <c r="U1365" t="str">
        <f t="shared" si="63"/>
        <v>tak</v>
      </c>
    </row>
    <row r="1366" spans="1:21">
      <c r="A1366">
        <v>1410</v>
      </c>
      <c r="B1366" t="s">
        <v>6677</v>
      </c>
      <c r="C1366" t="s">
        <v>6494</v>
      </c>
      <c r="D1366" t="s">
        <v>6495</v>
      </c>
      <c r="E1366" t="s">
        <v>6496</v>
      </c>
      <c r="F1366" t="s">
        <v>6497</v>
      </c>
      <c r="G1366" t="s">
        <v>6826</v>
      </c>
      <c r="H1366" t="s">
        <v>6825</v>
      </c>
      <c r="I1366" t="s">
        <v>9324</v>
      </c>
      <c r="K1366" t="s">
        <v>164</v>
      </c>
      <c r="N1366" t="str">
        <f t="shared" si="61"/>
        <v>Szanowna Pani</v>
      </c>
      <c r="O1366" s="19" t="s">
        <v>9776</v>
      </c>
      <c r="U1366" t="str">
        <f t="shared" si="63"/>
        <v>tak</v>
      </c>
    </row>
    <row r="1367" spans="1:21">
      <c r="A1367">
        <v>1411</v>
      </c>
      <c r="B1367" t="s">
        <v>6677</v>
      </c>
      <c r="C1367" t="s">
        <v>6498</v>
      </c>
      <c r="D1367" t="s">
        <v>166</v>
      </c>
      <c r="E1367" t="s">
        <v>6499</v>
      </c>
      <c r="F1367" t="s">
        <v>6500</v>
      </c>
      <c r="G1367" t="s">
        <v>6828</v>
      </c>
      <c r="H1367" t="s">
        <v>6827</v>
      </c>
      <c r="I1367" t="s">
        <v>9325</v>
      </c>
      <c r="K1367" t="s">
        <v>164</v>
      </c>
      <c r="N1367" t="str">
        <f t="shared" si="61"/>
        <v>Szanowna Pani</v>
      </c>
      <c r="O1367" s="19" t="s">
        <v>9776</v>
      </c>
      <c r="U1367" t="str">
        <f t="shared" si="63"/>
        <v>tak</v>
      </c>
    </row>
    <row r="1368" spans="1:21">
      <c r="A1368">
        <v>1412</v>
      </c>
      <c r="B1368" t="s">
        <v>6677</v>
      </c>
      <c r="C1368" t="s">
        <v>6501</v>
      </c>
      <c r="D1368" t="s">
        <v>9688</v>
      </c>
      <c r="E1368" t="s">
        <v>9689</v>
      </c>
      <c r="F1368" t="s">
        <v>6502</v>
      </c>
      <c r="G1368" t="s">
        <v>6830</v>
      </c>
      <c r="H1368" t="s">
        <v>6829</v>
      </c>
      <c r="I1368" t="s">
        <v>9326</v>
      </c>
      <c r="K1368" t="s">
        <v>164</v>
      </c>
      <c r="N1368" t="str">
        <f t="shared" ref="N1368:N1431" si="64">IF(ISERROR(FIND(",",H1368)),IF(MID(H1368,FIND(" ",H1368)-1,1)="a","Szanowna Pani","Szanowny Pan"), "Szanowne Panie")</f>
        <v>Szanowna Pani</v>
      </c>
      <c r="O1368" s="19" t="s">
        <v>9776</v>
      </c>
      <c r="U1368" t="str">
        <f t="shared" si="63"/>
        <v>tak</v>
      </c>
    </row>
    <row r="1369" spans="1:21">
      <c r="A1369">
        <v>1413</v>
      </c>
      <c r="B1369" t="s">
        <v>6677</v>
      </c>
      <c r="C1369" t="s">
        <v>3424</v>
      </c>
      <c r="D1369" t="s">
        <v>6503</v>
      </c>
      <c r="E1369" t="s">
        <v>6504</v>
      </c>
      <c r="F1369" t="s">
        <v>6505</v>
      </c>
      <c r="G1369" t="s">
        <v>6832</v>
      </c>
      <c r="H1369" t="s">
        <v>6831</v>
      </c>
      <c r="I1369" t="s">
        <v>9327</v>
      </c>
      <c r="K1369" t="s">
        <v>224</v>
      </c>
      <c r="L1369" t="s">
        <v>164</v>
      </c>
      <c r="N1369" t="str">
        <f t="shared" si="64"/>
        <v>Szanowna Pani</v>
      </c>
      <c r="Q1369" s="19" t="s">
        <v>9776</v>
      </c>
      <c r="U1369" t="str">
        <f t="shared" si="63"/>
        <v>tak</v>
      </c>
    </row>
    <row r="1370" spans="1:21">
      <c r="A1370">
        <v>1414</v>
      </c>
      <c r="B1370" t="s">
        <v>6677</v>
      </c>
      <c r="C1370" t="s">
        <v>6506</v>
      </c>
      <c r="D1370" t="s">
        <v>6507</v>
      </c>
      <c r="E1370" t="s">
        <v>3298</v>
      </c>
      <c r="F1370" t="s">
        <v>6508</v>
      </c>
      <c r="G1370" t="s">
        <v>6834</v>
      </c>
      <c r="H1370" t="s">
        <v>6833</v>
      </c>
      <c r="I1370" t="s">
        <v>9328</v>
      </c>
      <c r="K1370" t="s">
        <v>164</v>
      </c>
      <c r="N1370" t="str">
        <f t="shared" si="64"/>
        <v>Szanowna Pani</v>
      </c>
      <c r="O1370" s="19" t="s">
        <v>9776</v>
      </c>
      <c r="U1370" t="str">
        <f t="shared" si="63"/>
        <v>tak</v>
      </c>
    </row>
    <row r="1371" spans="1:21">
      <c r="A1371">
        <v>1415</v>
      </c>
      <c r="B1371" t="s">
        <v>6677</v>
      </c>
      <c r="C1371" t="s">
        <v>6509</v>
      </c>
      <c r="D1371" t="s">
        <v>7133</v>
      </c>
      <c r="E1371" t="s">
        <v>7132</v>
      </c>
      <c r="F1371" t="s">
        <v>6939</v>
      </c>
      <c r="G1371" t="s">
        <v>7131</v>
      </c>
      <c r="H1371" t="s">
        <v>7130</v>
      </c>
      <c r="I1371" t="s">
        <v>9329</v>
      </c>
      <c r="K1371" t="s">
        <v>164</v>
      </c>
      <c r="N1371" t="str">
        <f t="shared" si="64"/>
        <v>Szanowna Pani</v>
      </c>
      <c r="O1371" s="19" t="s">
        <v>9776</v>
      </c>
      <c r="U1371" t="str">
        <f t="shared" si="63"/>
        <v>tak</v>
      </c>
    </row>
    <row r="1372" spans="1:21">
      <c r="A1372">
        <v>1416</v>
      </c>
      <c r="B1372" t="s">
        <v>6677</v>
      </c>
      <c r="C1372" t="s">
        <v>6510</v>
      </c>
      <c r="D1372" t="s">
        <v>6838</v>
      </c>
      <c r="E1372" t="s">
        <v>6837</v>
      </c>
      <c r="F1372" t="s">
        <v>6636</v>
      </c>
      <c r="G1372" t="s">
        <v>6836</v>
      </c>
      <c r="H1372" t="s">
        <v>6835</v>
      </c>
      <c r="I1372" t="s">
        <v>9330</v>
      </c>
      <c r="K1372" t="s">
        <v>164</v>
      </c>
      <c r="N1372" t="str">
        <f t="shared" si="64"/>
        <v>Szanowna Pani</v>
      </c>
      <c r="O1372" s="19" t="s">
        <v>9776</v>
      </c>
      <c r="U1372" t="str">
        <f t="shared" si="63"/>
        <v>tak</v>
      </c>
    </row>
    <row r="1373" spans="1:21">
      <c r="A1373">
        <v>1417</v>
      </c>
      <c r="B1373" t="s">
        <v>6677</v>
      </c>
      <c r="C1373" t="s">
        <v>6510</v>
      </c>
      <c r="D1373" t="s">
        <v>6838</v>
      </c>
      <c r="E1373" t="s">
        <v>6837</v>
      </c>
      <c r="F1373" t="s">
        <v>6636</v>
      </c>
      <c r="G1373" t="s">
        <v>6840</v>
      </c>
      <c r="H1373" t="s">
        <v>6839</v>
      </c>
      <c r="I1373" t="s">
        <v>9331</v>
      </c>
      <c r="K1373" t="s">
        <v>164</v>
      </c>
      <c r="N1373" t="str">
        <f t="shared" si="64"/>
        <v>Szanowna Pani</v>
      </c>
      <c r="O1373" s="19" t="s">
        <v>9776</v>
      </c>
      <c r="U1373" t="str">
        <f t="shared" si="63"/>
        <v>tak</v>
      </c>
    </row>
    <row r="1374" spans="1:21">
      <c r="A1374">
        <v>1418</v>
      </c>
      <c r="B1374" t="s">
        <v>6677</v>
      </c>
      <c r="C1374" t="s">
        <v>6511</v>
      </c>
      <c r="D1374" t="s">
        <v>7113</v>
      </c>
      <c r="E1374" t="s">
        <v>7112</v>
      </c>
      <c r="F1374" t="s">
        <v>6512</v>
      </c>
      <c r="G1374" t="s">
        <v>7111</v>
      </c>
      <c r="H1374" t="s">
        <v>7110</v>
      </c>
      <c r="I1374" s="15" t="s">
        <v>9779</v>
      </c>
      <c r="K1374" t="s">
        <v>9780</v>
      </c>
      <c r="N1374" t="str">
        <f t="shared" si="64"/>
        <v>Szanowna Pani</v>
      </c>
      <c r="O1374" s="19" t="s">
        <v>9776</v>
      </c>
      <c r="U1374" t="str">
        <f t="shared" si="63"/>
        <v>tak</v>
      </c>
    </row>
    <row r="1375" spans="1:21">
      <c r="A1375">
        <v>1419</v>
      </c>
      <c r="B1375" t="s">
        <v>6677</v>
      </c>
      <c r="C1375" t="s">
        <v>2110</v>
      </c>
      <c r="D1375" t="s">
        <v>6513</v>
      </c>
      <c r="E1375" t="s">
        <v>6514</v>
      </c>
      <c r="F1375" t="s">
        <v>6515</v>
      </c>
      <c r="G1375" t="s">
        <v>6842</v>
      </c>
      <c r="H1375" t="s">
        <v>6841</v>
      </c>
      <c r="I1375" t="s">
        <v>9332</v>
      </c>
      <c r="K1375" t="s">
        <v>164</v>
      </c>
      <c r="N1375" t="str">
        <f t="shared" si="64"/>
        <v>Szanowna Pani</v>
      </c>
      <c r="O1375" s="19" t="s">
        <v>9776</v>
      </c>
      <c r="U1375" t="str">
        <f t="shared" si="63"/>
        <v>tak</v>
      </c>
    </row>
    <row r="1376" spans="1:21">
      <c r="A1376">
        <v>1420</v>
      </c>
      <c r="B1376" t="s">
        <v>6677</v>
      </c>
      <c r="C1376" t="s">
        <v>6516</v>
      </c>
      <c r="D1376" t="s">
        <v>6517</v>
      </c>
      <c r="E1376" t="s">
        <v>6518</v>
      </c>
      <c r="F1376" t="s">
        <v>6519</v>
      </c>
      <c r="G1376" t="s">
        <v>6844</v>
      </c>
      <c r="H1376" t="s">
        <v>6843</v>
      </c>
      <c r="I1376" t="s">
        <v>9333</v>
      </c>
      <c r="K1376" t="s">
        <v>164</v>
      </c>
      <c r="N1376" t="str">
        <f t="shared" si="64"/>
        <v>Szanowna Pani</v>
      </c>
      <c r="O1376" s="19" t="s">
        <v>9776</v>
      </c>
      <c r="U1376" t="str">
        <f t="shared" si="63"/>
        <v>tak</v>
      </c>
    </row>
    <row r="1377" spans="1:21">
      <c r="A1377">
        <v>1421</v>
      </c>
      <c r="B1377" t="s">
        <v>6677</v>
      </c>
      <c r="C1377" t="s">
        <v>6520</v>
      </c>
      <c r="D1377" t="s">
        <v>6521</v>
      </c>
      <c r="E1377" t="s">
        <v>6522</v>
      </c>
      <c r="F1377" t="s">
        <v>6523</v>
      </c>
      <c r="G1377" t="s">
        <v>6845</v>
      </c>
      <c r="H1377" t="s">
        <v>6818</v>
      </c>
      <c r="I1377" t="s">
        <v>9322</v>
      </c>
      <c r="K1377" t="s">
        <v>164</v>
      </c>
      <c r="N1377" t="str">
        <f t="shared" si="64"/>
        <v>Szanowna Pani</v>
      </c>
      <c r="O1377" s="19" t="s">
        <v>9776</v>
      </c>
      <c r="U1377" t="str">
        <f t="shared" si="63"/>
        <v>tak</v>
      </c>
    </row>
    <row r="1378" spans="1:21">
      <c r="A1378">
        <v>1422</v>
      </c>
      <c r="B1378" t="s">
        <v>6677</v>
      </c>
      <c r="C1378" t="s">
        <v>6524</v>
      </c>
      <c r="D1378" t="s">
        <v>6850</v>
      </c>
      <c r="E1378" t="s">
        <v>6849</v>
      </c>
      <c r="F1378" t="s">
        <v>6848</v>
      </c>
      <c r="G1378" t="s">
        <v>6847</v>
      </c>
      <c r="H1378" t="s">
        <v>6846</v>
      </c>
      <c r="I1378" t="s">
        <v>9334</v>
      </c>
      <c r="K1378" t="s">
        <v>164</v>
      </c>
      <c r="N1378" t="str">
        <f t="shared" si="64"/>
        <v>Szanowna Pani</v>
      </c>
      <c r="O1378" s="19" t="s">
        <v>9776</v>
      </c>
      <c r="U1378" t="str">
        <f t="shared" si="63"/>
        <v>tak</v>
      </c>
    </row>
    <row r="1379" spans="1:21">
      <c r="A1379">
        <v>1423</v>
      </c>
      <c r="B1379" t="s">
        <v>6677</v>
      </c>
      <c r="C1379" t="s">
        <v>6524</v>
      </c>
      <c r="D1379" t="s">
        <v>6525</v>
      </c>
      <c r="E1379" t="s">
        <v>6526</v>
      </c>
      <c r="F1379" t="s">
        <v>6527</v>
      </c>
      <c r="G1379" t="s">
        <v>6851</v>
      </c>
      <c r="H1379" t="s">
        <v>6825</v>
      </c>
      <c r="I1379" t="s">
        <v>9324</v>
      </c>
      <c r="K1379" t="s">
        <v>565</v>
      </c>
      <c r="L1379" t="s">
        <v>165</v>
      </c>
      <c r="M1379" t="s">
        <v>224</v>
      </c>
      <c r="N1379" t="str">
        <f t="shared" si="64"/>
        <v>Szanowna Pani</v>
      </c>
      <c r="P1379" s="19" t="s">
        <v>9776</v>
      </c>
      <c r="Q1379" s="19" t="s">
        <v>9776</v>
      </c>
      <c r="U1379" t="str">
        <f t="shared" si="63"/>
        <v>taktak</v>
      </c>
    </row>
    <row r="1380" spans="1:21">
      <c r="A1380">
        <v>1424</v>
      </c>
      <c r="B1380" t="s">
        <v>6677</v>
      </c>
      <c r="C1380" t="s">
        <v>6528</v>
      </c>
      <c r="D1380" t="s">
        <v>6529</v>
      </c>
      <c r="E1380" t="s">
        <v>6530</v>
      </c>
      <c r="F1380" t="s">
        <v>6531</v>
      </c>
      <c r="G1380" t="s">
        <v>6853</v>
      </c>
      <c r="H1380" t="s">
        <v>6852</v>
      </c>
      <c r="I1380" t="s">
        <v>9335</v>
      </c>
      <c r="K1380" t="s">
        <v>164</v>
      </c>
      <c r="N1380" t="str">
        <f t="shared" si="64"/>
        <v>Szanowna Pani</v>
      </c>
      <c r="O1380" s="19" t="s">
        <v>9776</v>
      </c>
      <c r="U1380" t="str">
        <f t="shared" si="63"/>
        <v>tak</v>
      </c>
    </row>
    <row r="1381" spans="1:21">
      <c r="A1381">
        <v>1425</v>
      </c>
      <c r="B1381" t="s">
        <v>6677</v>
      </c>
      <c r="C1381" t="s">
        <v>6532</v>
      </c>
      <c r="D1381" t="s">
        <v>6533</v>
      </c>
      <c r="E1381" t="s">
        <v>6534</v>
      </c>
      <c r="F1381" t="s">
        <v>6535</v>
      </c>
      <c r="G1381" t="s">
        <v>6855</v>
      </c>
      <c r="H1381" t="s">
        <v>6854</v>
      </c>
      <c r="I1381" t="s">
        <v>9336</v>
      </c>
      <c r="K1381" t="s">
        <v>164</v>
      </c>
      <c r="N1381" t="str">
        <f t="shared" si="64"/>
        <v>Szanowna Pani</v>
      </c>
      <c r="O1381" s="19" t="s">
        <v>9776</v>
      </c>
      <c r="U1381" t="str">
        <f t="shared" si="63"/>
        <v>tak</v>
      </c>
    </row>
    <row r="1382" spans="1:21">
      <c r="A1382">
        <v>1426</v>
      </c>
      <c r="B1382" t="s">
        <v>6677</v>
      </c>
      <c r="C1382" t="s">
        <v>1517</v>
      </c>
      <c r="D1382" t="s">
        <v>1518</v>
      </c>
      <c r="E1382" t="s">
        <v>6536</v>
      </c>
      <c r="F1382" t="s">
        <v>6537</v>
      </c>
      <c r="G1382" t="s">
        <v>6857</v>
      </c>
      <c r="H1382" t="s">
        <v>6856</v>
      </c>
      <c r="I1382" t="s">
        <v>9337</v>
      </c>
      <c r="K1382" t="s">
        <v>164</v>
      </c>
      <c r="N1382" t="str">
        <f t="shared" si="64"/>
        <v>Szanowna Pani</v>
      </c>
      <c r="O1382" s="19" t="s">
        <v>9776</v>
      </c>
      <c r="U1382" t="str">
        <f t="shared" si="63"/>
        <v>tak</v>
      </c>
    </row>
    <row r="1383" spans="1:21">
      <c r="A1383">
        <v>1427</v>
      </c>
      <c r="B1383" t="s">
        <v>6677</v>
      </c>
      <c r="C1383" t="s">
        <v>6538</v>
      </c>
      <c r="D1383" t="s">
        <v>6539</v>
      </c>
      <c r="E1383" t="s">
        <v>6540</v>
      </c>
      <c r="F1383" t="s">
        <v>6541</v>
      </c>
      <c r="G1383" t="s">
        <v>6859</v>
      </c>
      <c r="H1383" t="s">
        <v>6858</v>
      </c>
      <c r="I1383" t="s">
        <v>9338</v>
      </c>
      <c r="K1383" t="s">
        <v>164</v>
      </c>
      <c r="N1383" t="str">
        <f t="shared" si="64"/>
        <v>Szanowna Pani</v>
      </c>
      <c r="O1383" s="19" t="s">
        <v>9776</v>
      </c>
      <c r="U1383" t="str">
        <f t="shared" si="63"/>
        <v>tak</v>
      </c>
    </row>
    <row r="1384" spans="1:21">
      <c r="A1384">
        <v>1428</v>
      </c>
      <c r="B1384" t="s">
        <v>6677</v>
      </c>
      <c r="C1384" t="s">
        <v>6542</v>
      </c>
      <c r="D1384" t="s">
        <v>7117</v>
      </c>
      <c r="E1384" t="s">
        <v>7116</v>
      </c>
      <c r="F1384" t="s">
        <v>6544</v>
      </c>
      <c r="G1384" t="s">
        <v>7115</v>
      </c>
      <c r="H1384" t="s">
        <v>7114</v>
      </c>
      <c r="I1384" t="s">
        <v>9339</v>
      </c>
      <c r="K1384" t="s">
        <v>164</v>
      </c>
      <c r="N1384" t="str">
        <f t="shared" si="64"/>
        <v>Szanowna Pani</v>
      </c>
      <c r="O1384" s="19" t="s">
        <v>9776</v>
      </c>
      <c r="U1384" t="str">
        <f t="shared" si="63"/>
        <v>tak</v>
      </c>
    </row>
    <row r="1385" spans="1:21">
      <c r="A1385">
        <v>1429</v>
      </c>
      <c r="B1385" t="s">
        <v>6677</v>
      </c>
      <c r="C1385" t="s">
        <v>6542</v>
      </c>
      <c r="D1385" t="s">
        <v>251</v>
      </c>
      <c r="E1385" t="s">
        <v>6543</v>
      </c>
      <c r="F1385" t="s">
        <v>6544</v>
      </c>
      <c r="G1385" t="s">
        <v>6861</v>
      </c>
      <c r="H1385" t="s">
        <v>6860</v>
      </c>
      <c r="I1385" t="s">
        <v>9340</v>
      </c>
      <c r="K1385" t="s">
        <v>164</v>
      </c>
      <c r="N1385" t="str">
        <f t="shared" si="64"/>
        <v>Szanowna Pani</v>
      </c>
      <c r="O1385" s="19" t="s">
        <v>9776</v>
      </c>
      <c r="S1385" t="s">
        <v>9712</v>
      </c>
      <c r="U1385" t="str">
        <f t="shared" si="63"/>
        <v>tak</v>
      </c>
    </row>
    <row r="1386" spans="1:21">
      <c r="A1386">
        <v>1430</v>
      </c>
      <c r="B1386" t="s">
        <v>6677</v>
      </c>
      <c r="C1386" t="s">
        <v>6545</v>
      </c>
      <c r="D1386" t="s">
        <v>6546</v>
      </c>
      <c r="E1386" t="s">
        <v>6547</v>
      </c>
      <c r="F1386" t="s">
        <v>6548</v>
      </c>
      <c r="G1386" t="s">
        <v>6863</v>
      </c>
      <c r="H1386" t="s">
        <v>6862</v>
      </c>
      <c r="I1386" t="s">
        <v>9341</v>
      </c>
      <c r="K1386" t="s">
        <v>164</v>
      </c>
      <c r="N1386" t="str">
        <f t="shared" si="64"/>
        <v>Szanowna Pani</v>
      </c>
      <c r="O1386" s="19" t="s">
        <v>9776</v>
      </c>
      <c r="U1386" t="str">
        <f t="shared" si="63"/>
        <v>tak</v>
      </c>
    </row>
    <row r="1387" spans="1:21">
      <c r="A1387">
        <v>1431</v>
      </c>
      <c r="B1387" t="s">
        <v>6677</v>
      </c>
      <c r="C1387" t="s">
        <v>6549</v>
      </c>
      <c r="D1387" t="s">
        <v>6550</v>
      </c>
      <c r="E1387" t="s">
        <v>6551</v>
      </c>
      <c r="F1387" t="s">
        <v>6552</v>
      </c>
      <c r="G1387" t="s">
        <v>6866</v>
      </c>
      <c r="H1387" t="s">
        <v>6865</v>
      </c>
      <c r="I1387" t="s">
        <v>6864</v>
      </c>
      <c r="K1387" t="s">
        <v>164</v>
      </c>
      <c r="N1387" t="str">
        <f t="shared" si="64"/>
        <v>Szanowna Pani</v>
      </c>
      <c r="O1387" s="19" t="s">
        <v>9776</v>
      </c>
      <c r="U1387" t="str">
        <f t="shared" si="63"/>
        <v>tak</v>
      </c>
    </row>
    <row r="1388" spans="1:21">
      <c r="A1388">
        <v>1432</v>
      </c>
      <c r="B1388" t="s">
        <v>6677</v>
      </c>
      <c r="C1388" t="s">
        <v>6553</v>
      </c>
      <c r="D1388" t="s">
        <v>251</v>
      </c>
      <c r="E1388" t="s">
        <v>3323</v>
      </c>
      <c r="F1388" t="s">
        <v>6554</v>
      </c>
      <c r="G1388" t="s">
        <v>6868</v>
      </c>
      <c r="H1388" t="s">
        <v>6867</v>
      </c>
      <c r="I1388" t="s">
        <v>9342</v>
      </c>
      <c r="K1388" t="s">
        <v>164</v>
      </c>
      <c r="N1388" t="str">
        <f t="shared" si="64"/>
        <v>Szanowna Pani</v>
      </c>
      <c r="O1388" s="19" t="s">
        <v>9776</v>
      </c>
      <c r="U1388" t="str">
        <f t="shared" si="63"/>
        <v>tak</v>
      </c>
    </row>
    <row r="1389" spans="1:21">
      <c r="A1389">
        <v>1433</v>
      </c>
      <c r="B1389" t="s">
        <v>6677</v>
      </c>
      <c r="C1389" t="s">
        <v>6555</v>
      </c>
      <c r="D1389" t="s">
        <v>6556</v>
      </c>
      <c r="E1389" t="s">
        <v>6557</v>
      </c>
      <c r="F1389" t="s">
        <v>6558</v>
      </c>
      <c r="G1389" t="s">
        <v>6870</v>
      </c>
      <c r="H1389" t="s">
        <v>6869</v>
      </c>
      <c r="I1389" t="s">
        <v>9343</v>
      </c>
      <c r="K1389" t="s">
        <v>164</v>
      </c>
      <c r="N1389" t="str">
        <f t="shared" si="64"/>
        <v>Szanowna Pani</v>
      </c>
      <c r="O1389" s="19" t="s">
        <v>9776</v>
      </c>
      <c r="U1389" t="str">
        <f t="shared" si="63"/>
        <v>tak</v>
      </c>
    </row>
    <row r="1390" spans="1:21">
      <c r="A1390">
        <v>1434</v>
      </c>
      <c r="B1390" t="s">
        <v>6677</v>
      </c>
      <c r="C1390" t="s">
        <v>6559</v>
      </c>
      <c r="D1390" t="s">
        <v>246</v>
      </c>
      <c r="E1390" t="s">
        <v>6874</v>
      </c>
      <c r="F1390" t="s">
        <v>6873</v>
      </c>
      <c r="G1390" t="s">
        <v>6872</v>
      </c>
      <c r="H1390" t="s">
        <v>6871</v>
      </c>
      <c r="I1390" t="s">
        <v>9344</v>
      </c>
      <c r="K1390" t="s">
        <v>165</v>
      </c>
      <c r="L1390" t="s">
        <v>164</v>
      </c>
      <c r="N1390" t="str">
        <f t="shared" si="64"/>
        <v>Szanowna Pani</v>
      </c>
      <c r="P1390" s="19" t="s">
        <v>9776</v>
      </c>
      <c r="U1390" t="str">
        <f t="shared" si="63"/>
        <v>tak</v>
      </c>
    </row>
    <row r="1391" spans="1:21">
      <c r="A1391">
        <v>1435</v>
      </c>
      <c r="B1391" t="s">
        <v>6677</v>
      </c>
      <c r="C1391" t="s">
        <v>6560</v>
      </c>
      <c r="D1391" t="s">
        <v>6561</v>
      </c>
      <c r="E1391" t="s">
        <v>6562</v>
      </c>
      <c r="F1391" t="s">
        <v>6563</v>
      </c>
      <c r="G1391" t="s">
        <v>6876</v>
      </c>
      <c r="H1391" t="s">
        <v>6875</v>
      </c>
      <c r="I1391" t="s">
        <v>9345</v>
      </c>
      <c r="K1391" t="s">
        <v>164</v>
      </c>
      <c r="N1391" t="str">
        <f t="shared" si="64"/>
        <v>Szanowna Pani</v>
      </c>
      <c r="O1391" s="19" t="s">
        <v>9776</v>
      </c>
      <c r="U1391" t="str">
        <f t="shared" si="63"/>
        <v>tak</v>
      </c>
    </row>
    <row r="1392" spans="1:21">
      <c r="A1392">
        <v>1436</v>
      </c>
      <c r="B1392" t="s">
        <v>6677</v>
      </c>
      <c r="C1392" t="s">
        <v>6564</v>
      </c>
      <c r="D1392" t="s">
        <v>6565</v>
      </c>
      <c r="E1392" t="s">
        <v>6566</v>
      </c>
      <c r="F1392" t="s">
        <v>6567</v>
      </c>
      <c r="G1392" t="s">
        <v>6878</v>
      </c>
      <c r="H1392" t="s">
        <v>6877</v>
      </c>
      <c r="I1392" t="s">
        <v>9346</v>
      </c>
      <c r="K1392" t="s">
        <v>164</v>
      </c>
      <c r="N1392" t="str">
        <f t="shared" si="64"/>
        <v>Szanowna Pani</v>
      </c>
      <c r="O1392" s="19" t="s">
        <v>9776</v>
      </c>
      <c r="U1392" t="str">
        <f t="shared" si="63"/>
        <v>tak</v>
      </c>
    </row>
    <row r="1393" spans="1:21">
      <c r="A1393">
        <v>1437</v>
      </c>
      <c r="B1393" t="s">
        <v>6677</v>
      </c>
      <c r="C1393" t="s">
        <v>6568</v>
      </c>
      <c r="D1393" t="s">
        <v>6883</v>
      </c>
      <c r="E1393" t="s">
        <v>6882</v>
      </c>
      <c r="F1393" t="s">
        <v>6881</v>
      </c>
      <c r="G1393" t="s">
        <v>6880</v>
      </c>
      <c r="H1393" t="s">
        <v>6879</v>
      </c>
      <c r="I1393" t="s">
        <v>9347</v>
      </c>
      <c r="K1393" t="s">
        <v>164</v>
      </c>
      <c r="N1393" t="str">
        <f t="shared" si="64"/>
        <v>Szanowna Pani</v>
      </c>
      <c r="O1393" s="19" t="s">
        <v>9776</v>
      </c>
      <c r="U1393" t="str">
        <f t="shared" si="63"/>
        <v>tak</v>
      </c>
    </row>
    <row r="1394" spans="1:21">
      <c r="A1394">
        <v>1438</v>
      </c>
      <c r="B1394" t="s">
        <v>6677</v>
      </c>
      <c r="C1394" t="s">
        <v>6569</v>
      </c>
      <c r="D1394" t="s">
        <v>6570</v>
      </c>
      <c r="E1394" t="s">
        <v>6571</v>
      </c>
      <c r="F1394" t="s">
        <v>6572</v>
      </c>
      <c r="G1394" t="s">
        <v>6885</v>
      </c>
      <c r="H1394" t="s">
        <v>6884</v>
      </c>
      <c r="I1394" t="s">
        <v>9348</v>
      </c>
      <c r="K1394" t="s">
        <v>164</v>
      </c>
      <c r="N1394" t="str">
        <f t="shared" si="64"/>
        <v>Szanowna Pani</v>
      </c>
      <c r="O1394" s="19" t="s">
        <v>9776</v>
      </c>
      <c r="U1394" t="str">
        <f t="shared" si="63"/>
        <v>tak</v>
      </c>
    </row>
    <row r="1395" spans="1:21">
      <c r="A1395">
        <v>1439</v>
      </c>
      <c r="B1395" t="s">
        <v>6677</v>
      </c>
      <c r="C1395" t="s">
        <v>6573</v>
      </c>
      <c r="D1395" t="s">
        <v>6574</v>
      </c>
      <c r="E1395" t="s">
        <v>6575</v>
      </c>
      <c r="F1395" t="s">
        <v>6576</v>
      </c>
      <c r="G1395" t="s">
        <v>6887</v>
      </c>
      <c r="H1395" t="s">
        <v>6886</v>
      </c>
      <c r="I1395" s="15" t="s">
        <v>9727</v>
      </c>
      <c r="K1395" t="s">
        <v>164</v>
      </c>
      <c r="N1395" t="str">
        <f t="shared" si="64"/>
        <v>Szanowna Pani</v>
      </c>
      <c r="O1395" s="19" t="s">
        <v>9776</v>
      </c>
      <c r="S1395" t="s">
        <v>9712</v>
      </c>
      <c r="U1395" t="str">
        <f t="shared" si="63"/>
        <v>tak</v>
      </c>
    </row>
    <row r="1396" spans="1:21">
      <c r="A1396">
        <v>1440</v>
      </c>
      <c r="B1396" t="s">
        <v>6677</v>
      </c>
      <c r="C1396" t="s">
        <v>6573</v>
      </c>
      <c r="D1396" t="s">
        <v>6577</v>
      </c>
      <c r="E1396" t="s">
        <v>6578</v>
      </c>
      <c r="F1396" t="s">
        <v>6576</v>
      </c>
      <c r="G1396" t="s">
        <v>7119</v>
      </c>
      <c r="H1396" t="s">
        <v>7118</v>
      </c>
      <c r="I1396" t="s">
        <v>9349</v>
      </c>
      <c r="K1396" t="s">
        <v>224</v>
      </c>
      <c r="N1396" t="str">
        <f t="shared" si="64"/>
        <v>Szanowny Pan</v>
      </c>
      <c r="Q1396" s="19" t="s">
        <v>9776</v>
      </c>
      <c r="U1396" t="str">
        <f t="shared" si="63"/>
        <v>tak</v>
      </c>
    </row>
    <row r="1397" spans="1:21">
      <c r="A1397">
        <v>1441</v>
      </c>
      <c r="B1397" t="s">
        <v>6677</v>
      </c>
      <c r="C1397" t="s">
        <v>6573</v>
      </c>
      <c r="D1397" t="s">
        <v>6579</v>
      </c>
      <c r="E1397" t="s">
        <v>6580</v>
      </c>
      <c r="F1397" t="s">
        <v>6576</v>
      </c>
      <c r="G1397" t="s">
        <v>7121</v>
      </c>
      <c r="H1397" t="s">
        <v>7120</v>
      </c>
      <c r="I1397" t="s">
        <v>9350</v>
      </c>
      <c r="K1397" t="s">
        <v>224</v>
      </c>
      <c r="N1397" t="str">
        <f t="shared" si="64"/>
        <v>Szanowna Pani</v>
      </c>
      <c r="Q1397" s="19" t="s">
        <v>9776</v>
      </c>
      <c r="U1397" t="str">
        <f t="shared" si="63"/>
        <v>tak</v>
      </c>
    </row>
    <row r="1398" spans="1:21">
      <c r="A1398">
        <v>1442</v>
      </c>
      <c r="B1398" t="s">
        <v>6677</v>
      </c>
      <c r="C1398" t="s">
        <v>6581</v>
      </c>
      <c r="D1398" t="s">
        <v>34</v>
      </c>
      <c r="E1398" t="s">
        <v>3298</v>
      </c>
      <c r="F1398" t="s">
        <v>6582</v>
      </c>
      <c r="G1398" t="s">
        <v>6889</v>
      </c>
      <c r="H1398" t="s">
        <v>6888</v>
      </c>
      <c r="I1398" t="s">
        <v>9726</v>
      </c>
      <c r="K1398" t="s">
        <v>164</v>
      </c>
      <c r="N1398" t="str">
        <f t="shared" si="64"/>
        <v>Szanowna Pani</v>
      </c>
      <c r="O1398" s="19" t="s">
        <v>9776</v>
      </c>
      <c r="S1398" t="s">
        <v>9712</v>
      </c>
      <c r="U1398" t="str">
        <f t="shared" si="63"/>
        <v>tak</v>
      </c>
    </row>
    <row r="1399" spans="1:21">
      <c r="A1399">
        <v>1443</v>
      </c>
      <c r="B1399" t="s">
        <v>6677</v>
      </c>
      <c r="C1399" t="s">
        <v>6581</v>
      </c>
      <c r="D1399" t="s">
        <v>34</v>
      </c>
      <c r="E1399" t="s">
        <v>3298</v>
      </c>
      <c r="F1399" t="s">
        <v>6582</v>
      </c>
      <c r="G1399" t="s">
        <v>6889</v>
      </c>
      <c r="H1399" t="s">
        <v>6890</v>
      </c>
      <c r="I1399" t="s">
        <v>9351</v>
      </c>
      <c r="K1399" t="s">
        <v>565</v>
      </c>
      <c r="L1399" t="s">
        <v>165</v>
      </c>
      <c r="M1399" t="s">
        <v>224</v>
      </c>
      <c r="N1399" t="str">
        <f t="shared" si="64"/>
        <v>Szanowna Pani</v>
      </c>
      <c r="P1399" s="19" t="s">
        <v>9776</v>
      </c>
      <c r="Q1399" s="19" t="s">
        <v>9776</v>
      </c>
      <c r="U1399" t="str">
        <f t="shared" si="63"/>
        <v>taktak</v>
      </c>
    </row>
    <row r="1400" spans="1:21">
      <c r="A1400">
        <v>1444</v>
      </c>
      <c r="B1400" t="s">
        <v>6677</v>
      </c>
      <c r="C1400" t="s">
        <v>6583</v>
      </c>
      <c r="D1400" t="s">
        <v>6584</v>
      </c>
      <c r="E1400" t="s">
        <v>6585</v>
      </c>
      <c r="F1400" t="s">
        <v>6586</v>
      </c>
      <c r="G1400" t="s">
        <v>6892</v>
      </c>
      <c r="H1400" t="s">
        <v>6891</v>
      </c>
      <c r="I1400" t="s">
        <v>9352</v>
      </c>
      <c r="K1400" t="s">
        <v>164</v>
      </c>
      <c r="N1400" t="str">
        <f t="shared" si="64"/>
        <v>Szanowna Pani</v>
      </c>
      <c r="O1400" s="19" t="s">
        <v>9776</v>
      </c>
      <c r="U1400" t="str">
        <f t="shared" si="63"/>
        <v>tak</v>
      </c>
    </row>
    <row r="1401" spans="1:21">
      <c r="A1401">
        <v>1445</v>
      </c>
      <c r="B1401" t="s">
        <v>6677</v>
      </c>
      <c r="C1401" t="s">
        <v>6587</v>
      </c>
      <c r="D1401" t="s">
        <v>251</v>
      </c>
      <c r="E1401" t="s">
        <v>6896</v>
      </c>
      <c r="F1401" t="s">
        <v>6895</v>
      </c>
      <c r="G1401" t="s">
        <v>6894</v>
      </c>
      <c r="H1401" t="s">
        <v>6893</v>
      </c>
      <c r="I1401" t="s">
        <v>9353</v>
      </c>
      <c r="K1401" t="s">
        <v>164</v>
      </c>
      <c r="N1401" t="str">
        <f t="shared" si="64"/>
        <v>Szanowna Pani</v>
      </c>
      <c r="O1401" s="19" t="s">
        <v>9776</v>
      </c>
      <c r="U1401" t="str">
        <f t="shared" si="63"/>
        <v>tak</v>
      </c>
    </row>
    <row r="1402" spans="1:21">
      <c r="A1402">
        <v>1446</v>
      </c>
      <c r="B1402" t="s">
        <v>6677</v>
      </c>
      <c r="C1402" t="s">
        <v>6587</v>
      </c>
      <c r="D1402" t="s">
        <v>6588</v>
      </c>
      <c r="E1402" t="s">
        <v>6589</v>
      </c>
      <c r="F1402" t="s">
        <v>6590</v>
      </c>
      <c r="G1402" t="s">
        <v>6898</v>
      </c>
      <c r="H1402" t="s">
        <v>6897</v>
      </c>
      <c r="I1402" t="s">
        <v>9354</v>
      </c>
      <c r="K1402" t="s">
        <v>164</v>
      </c>
      <c r="N1402" t="str">
        <f t="shared" si="64"/>
        <v>Szanowna Pani</v>
      </c>
      <c r="O1402" s="19" t="s">
        <v>9776</v>
      </c>
      <c r="U1402" t="str">
        <f t="shared" si="63"/>
        <v>tak</v>
      </c>
    </row>
    <row r="1403" spans="1:21">
      <c r="A1403">
        <v>1447</v>
      </c>
      <c r="B1403" t="s">
        <v>6677</v>
      </c>
      <c r="C1403" t="s">
        <v>6587</v>
      </c>
      <c r="D1403" t="s">
        <v>6591</v>
      </c>
      <c r="E1403" t="s">
        <v>6592</v>
      </c>
      <c r="F1403" t="s">
        <v>6593</v>
      </c>
      <c r="G1403" t="s">
        <v>6900</v>
      </c>
      <c r="H1403" t="s">
        <v>6899</v>
      </c>
      <c r="I1403" t="s">
        <v>9355</v>
      </c>
      <c r="K1403" t="s">
        <v>164</v>
      </c>
      <c r="N1403" t="str">
        <f t="shared" si="64"/>
        <v>Szanowna Pani</v>
      </c>
      <c r="O1403" s="19" t="s">
        <v>9776</v>
      </c>
      <c r="U1403" t="str">
        <f t="shared" si="63"/>
        <v>tak</v>
      </c>
    </row>
    <row r="1404" spans="1:21">
      <c r="A1404">
        <v>1448</v>
      </c>
      <c r="B1404" t="s">
        <v>6677</v>
      </c>
      <c r="C1404" t="s">
        <v>6594</v>
      </c>
      <c r="D1404" t="s">
        <v>6595</v>
      </c>
      <c r="E1404" t="s">
        <v>6596</v>
      </c>
      <c r="F1404" t="s">
        <v>6597</v>
      </c>
      <c r="G1404" t="s">
        <v>6902</v>
      </c>
      <c r="H1404" t="s">
        <v>6901</v>
      </c>
      <c r="I1404" t="s">
        <v>9356</v>
      </c>
      <c r="K1404" t="s">
        <v>164</v>
      </c>
      <c r="N1404" t="str">
        <f t="shared" si="64"/>
        <v>Szanowna Pani</v>
      </c>
      <c r="O1404" s="19" t="s">
        <v>9776</v>
      </c>
      <c r="U1404" t="str">
        <f t="shared" si="63"/>
        <v>tak</v>
      </c>
    </row>
    <row r="1405" spans="1:21">
      <c r="A1405">
        <v>1449</v>
      </c>
      <c r="B1405" t="s">
        <v>6677</v>
      </c>
      <c r="C1405" t="s">
        <v>6598</v>
      </c>
      <c r="D1405" t="s">
        <v>251</v>
      </c>
      <c r="E1405" t="s">
        <v>6906</v>
      </c>
      <c r="F1405" t="s">
        <v>6905</v>
      </c>
      <c r="G1405" t="s">
        <v>6904</v>
      </c>
      <c r="H1405" t="s">
        <v>6903</v>
      </c>
      <c r="I1405" t="s">
        <v>9357</v>
      </c>
      <c r="K1405" t="s">
        <v>165</v>
      </c>
      <c r="L1405" t="s">
        <v>164</v>
      </c>
      <c r="N1405" t="str">
        <f t="shared" si="64"/>
        <v>Szanowne Panie</v>
      </c>
      <c r="P1405" s="19" t="s">
        <v>9776</v>
      </c>
      <c r="U1405" t="str">
        <f t="shared" si="63"/>
        <v>tak</v>
      </c>
    </row>
    <row r="1406" spans="1:21">
      <c r="A1406">
        <v>1450</v>
      </c>
      <c r="B1406" t="s">
        <v>6677</v>
      </c>
      <c r="C1406" t="s">
        <v>6599</v>
      </c>
      <c r="D1406" t="s">
        <v>6600</v>
      </c>
      <c r="E1406" t="s">
        <v>6601</v>
      </c>
      <c r="F1406" t="s">
        <v>6602</v>
      </c>
      <c r="G1406" t="s">
        <v>6908</v>
      </c>
      <c r="H1406" t="s">
        <v>6907</v>
      </c>
      <c r="I1406" t="s">
        <v>9358</v>
      </c>
      <c r="K1406" t="s">
        <v>164</v>
      </c>
      <c r="N1406" t="str">
        <f t="shared" si="64"/>
        <v>Szanowna Pani</v>
      </c>
      <c r="O1406" s="19" t="s">
        <v>9776</v>
      </c>
      <c r="U1406" t="str">
        <f t="shared" si="63"/>
        <v>tak</v>
      </c>
    </row>
    <row r="1407" spans="1:21">
      <c r="A1407">
        <v>1451</v>
      </c>
      <c r="B1407" t="s">
        <v>6677</v>
      </c>
      <c r="C1407" t="s">
        <v>6603</v>
      </c>
      <c r="D1407" t="s">
        <v>6604</v>
      </c>
      <c r="E1407" t="s">
        <v>6605</v>
      </c>
      <c r="F1407" t="s">
        <v>6606</v>
      </c>
      <c r="G1407" t="s">
        <v>6910</v>
      </c>
      <c r="H1407" t="s">
        <v>6909</v>
      </c>
      <c r="I1407" t="s">
        <v>9359</v>
      </c>
      <c r="K1407" t="s">
        <v>164</v>
      </c>
      <c r="N1407" t="str">
        <f t="shared" si="64"/>
        <v>Szanowna Pani</v>
      </c>
      <c r="O1407" s="19" t="s">
        <v>9776</v>
      </c>
      <c r="U1407" t="str">
        <f t="shared" si="63"/>
        <v>tak</v>
      </c>
    </row>
    <row r="1408" spans="1:21">
      <c r="A1408">
        <v>1452</v>
      </c>
      <c r="B1408" t="s">
        <v>6677</v>
      </c>
      <c r="C1408" t="s">
        <v>6607</v>
      </c>
      <c r="D1408" t="s">
        <v>6608</v>
      </c>
      <c r="E1408" t="s">
        <v>6609</v>
      </c>
      <c r="F1408" t="s">
        <v>6610</v>
      </c>
      <c r="G1408" t="s">
        <v>6912</v>
      </c>
      <c r="H1408" t="s">
        <v>6911</v>
      </c>
      <c r="I1408" t="s">
        <v>9360</v>
      </c>
      <c r="K1408" t="s">
        <v>224</v>
      </c>
      <c r="N1408" t="str">
        <f t="shared" si="64"/>
        <v>Szanowna Pani</v>
      </c>
      <c r="Q1408" s="19" t="s">
        <v>9776</v>
      </c>
      <c r="U1408" t="str">
        <f t="shared" si="63"/>
        <v>tak</v>
      </c>
    </row>
    <row r="1409" spans="1:21">
      <c r="A1409">
        <v>1453</v>
      </c>
      <c r="B1409" t="s">
        <v>6677</v>
      </c>
      <c r="C1409" t="s">
        <v>6611</v>
      </c>
      <c r="D1409" t="s">
        <v>251</v>
      </c>
      <c r="E1409" t="s">
        <v>6612</v>
      </c>
      <c r="F1409" t="s">
        <v>6613</v>
      </c>
      <c r="G1409" s="17">
        <v>502087085</v>
      </c>
      <c r="H1409" t="s">
        <v>6913</v>
      </c>
      <c r="I1409" s="15" t="s">
        <v>9728</v>
      </c>
      <c r="K1409" t="s">
        <v>164</v>
      </c>
      <c r="N1409" t="str">
        <f t="shared" si="64"/>
        <v>Szanowna Pani</v>
      </c>
      <c r="O1409" s="19" t="s">
        <v>9776</v>
      </c>
      <c r="U1409" t="str">
        <f t="shared" si="63"/>
        <v>tak</v>
      </c>
    </row>
    <row r="1410" spans="1:21">
      <c r="A1410">
        <v>1454</v>
      </c>
      <c r="B1410" t="s">
        <v>6677</v>
      </c>
      <c r="C1410" t="s">
        <v>6614</v>
      </c>
      <c r="D1410" t="s">
        <v>6917</v>
      </c>
      <c r="E1410" t="s">
        <v>6916</v>
      </c>
      <c r="F1410" t="s">
        <v>6486</v>
      </c>
      <c r="G1410" t="s">
        <v>6915</v>
      </c>
      <c r="H1410" t="s">
        <v>6914</v>
      </c>
      <c r="I1410" t="s">
        <v>9361</v>
      </c>
      <c r="K1410" t="s">
        <v>164</v>
      </c>
      <c r="N1410" t="str">
        <f t="shared" si="64"/>
        <v>Szanowna Pani</v>
      </c>
      <c r="O1410" s="19" t="s">
        <v>9776</v>
      </c>
      <c r="U1410" t="str">
        <f t="shared" si="63"/>
        <v>tak</v>
      </c>
    </row>
    <row r="1411" spans="1:21">
      <c r="A1411">
        <v>1455</v>
      </c>
      <c r="B1411" t="s">
        <v>6677</v>
      </c>
      <c r="C1411" t="s">
        <v>6615</v>
      </c>
      <c r="D1411" t="s">
        <v>6616</v>
      </c>
      <c r="E1411" t="s">
        <v>6617</v>
      </c>
      <c r="F1411" t="s">
        <v>6618</v>
      </c>
      <c r="G1411" t="s">
        <v>6919</v>
      </c>
      <c r="H1411" t="s">
        <v>6918</v>
      </c>
      <c r="I1411" t="s">
        <v>9362</v>
      </c>
      <c r="K1411" t="s">
        <v>164</v>
      </c>
      <c r="N1411" t="str">
        <f t="shared" si="64"/>
        <v>Szanowna Pani</v>
      </c>
      <c r="O1411" s="19" t="s">
        <v>9776</v>
      </c>
      <c r="U1411" t="str">
        <f t="shared" ref="U1411:U1474" si="65">+O1411 &amp;P1411&amp;Q1411</f>
        <v>tak</v>
      </c>
    </row>
    <row r="1412" spans="1:21">
      <c r="A1412">
        <v>1456</v>
      </c>
      <c r="B1412" t="s">
        <v>6677</v>
      </c>
      <c r="C1412" t="s">
        <v>6615</v>
      </c>
      <c r="D1412" t="s">
        <v>6619</v>
      </c>
      <c r="E1412" t="s">
        <v>6620</v>
      </c>
      <c r="F1412" t="s">
        <v>6618</v>
      </c>
      <c r="G1412" t="s">
        <v>6921</v>
      </c>
      <c r="H1412" t="s">
        <v>6920</v>
      </c>
      <c r="I1412" t="s">
        <v>9363</v>
      </c>
      <c r="K1412" t="s">
        <v>224</v>
      </c>
      <c r="N1412" t="str">
        <f t="shared" si="64"/>
        <v>Szanowna Pani</v>
      </c>
      <c r="Q1412" s="19" t="s">
        <v>9776</v>
      </c>
      <c r="U1412" t="str">
        <f t="shared" si="65"/>
        <v>tak</v>
      </c>
    </row>
    <row r="1413" spans="1:21">
      <c r="A1413">
        <v>1457</v>
      </c>
      <c r="B1413" t="s">
        <v>6677</v>
      </c>
      <c r="C1413" t="s">
        <v>6621</v>
      </c>
      <c r="D1413" t="s">
        <v>6622</v>
      </c>
      <c r="E1413" t="s">
        <v>6623</v>
      </c>
      <c r="F1413" t="s">
        <v>6624</v>
      </c>
      <c r="G1413" t="s">
        <v>6923</v>
      </c>
      <c r="H1413" t="s">
        <v>6922</v>
      </c>
      <c r="I1413" t="s">
        <v>9364</v>
      </c>
      <c r="K1413" t="s">
        <v>164</v>
      </c>
      <c r="N1413" t="str">
        <f t="shared" si="64"/>
        <v>Szanowna Pani</v>
      </c>
      <c r="O1413" s="19" t="s">
        <v>9776</v>
      </c>
      <c r="U1413" t="str">
        <f t="shared" si="65"/>
        <v>tak</v>
      </c>
    </row>
    <row r="1414" spans="1:21">
      <c r="A1414">
        <v>1458</v>
      </c>
      <c r="B1414" t="s">
        <v>6677</v>
      </c>
      <c r="C1414" t="s">
        <v>6625</v>
      </c>
      <c r="D1414" t="s">
        <v>6626</v>
      </c>
      <c r="E1414" t="s">
        <v>6627</v>
      </c>
      <c r="F1414" t="s">
        <v>6628</v>
      </c>
      <c r="G1414" t="s">
        <v>6925</v>
      </c>
      <c r="H1414" t="s">
        <v>6924</v>
      </c>
      <c r="I1414" t="s">
        <v>9365</v>
      </c>
      <c r="K1414" t="s">
        <v>164</v>
      </c>
      <c r="N1414" t="str">
        <f t="shared" si="64"/>
        <v>Szanowna Pani</v>
      </c>
      <c r="O1414" s="19" t="s">
        <v>9776</v>
      </c>
      <c r="U1414" t="str">
        <f t="shared" si="65"/>
        <v>tak</v>
      </c>
    </row>
    <row r="1415" spans="1:21">
      <c r="A1415">
        <v>1459</v>
      </c>
      <c r="B1415" t="s">
        <v>6677</v>
      </c>
      <c r="C1415" t="s">
        <v>6629</v>
      </c>
      <c r="D1415" t="s">
        <v>6630</v>
      </c>
      <c r="E1415" t="s">
        <v>6631</v>
      </c>
      <c r="F1415" t="s">
        <v>6486</v>
      </c>
      <c r="G1415" t="s">
        <v>6927</v>
      </c>
      <c r="H1415" t="s">
        <v>6926</v>
      </c>
      <c r="I1415" t="s">
        <v>9361</v>
      </c>
      <c r="K1415" t="s">
        <v>164</v>
      </c>
      <c r="N1415" t="str">
        <f t="shared" si="64"/>
        <v>Szanowna Pani</v>
      </c>
      <c r="O1415" s="19" t="s">
        <v>9776</v>
      </c>
      <c r="U1415" t="str">
        <f t="shared" si="65"/>
        <v>tak</v>
      </c>
    </row>
    <row r="1416" spans="1:21">
      <c r="A1416">
        <v>1460</v>
      </c>
      <c r="B1416" t="s">
        <v>6677</v>
      </c>
      <c r="C1416" t="s">
        <v>4521</v>
      </c>
      <c r="D1416" t="s">
        <v>7125</v>
      </c>
      <c r="E1416" t="s">
        <v>7124</v>
      </c>
      <c r="F1416" t="s">
        <v>6632</v>
      </c>
      <c r="G1416" t="s">
        <v>7123</v>
      </c>
      <c r="H1416" t="s">
        <v>7122</v>
      </c>
      <c r="I1416" t="s">
        <v>9366</v>
      </c>
      <c r="K1416" t="s">
        <v>164</v>
      </c>
      <c r="N1416" t="str">
        <f t="shared" si="64"/>
        <v>Szanowna Pani</v>
      </c>
      <c r="O1416" s="19" t="s">
        <v>9776</v>
      </c>
      <c r="U1416" t="str">
        <f t="shared" si="65"/>
        <v>tak</v>
      </c>
    </row>
    <row r="1417" spans="1:21">
      <c r="A1417">
        <v>1461</v>
      </c>
      <c r="B1417" t="s">
        <v>6677</v>
      </c>
      <c r="C1417" t="s">
        <v>4521</v>
      </c>
      <c r="D1417" t="s">
        <v>166</v>
      </c>
      <c r="E1417" t="s">
        <v>958</v>
      </c>
      <c r="F1417" t="s">
        <v>6632</v>
      </c>
      <c r="G1417" t="s">
        <v>6929</v>
      </c>
      <c r="H1417" t="s">
        <v>6928</v>
      </c>
      <c r="I1417" t="s">
        <v>9367</v>
      </c>
      <c r="K1417" t="s">
        <v>164</v>
      </c>
      <c r="N1417" t="str">
        <f t="shared" si="64"/>
        <v>Szanowna Pani</v>
      </c>
      <c r="O1417" s="19" t="s">
        <v>9776</v>
      </c>
      <c r="U1417" t="str">
        <f t="shared" si="65"/>
        <v>tak</v>
      </c>
    </row>
    <row r="1418" spans="1:21">
      <c r="A1418">
        <v>1462</v>
      </c>
      <c r="B1418" t="s">
        <v>6677</v>
      </c>
      <c r="C1418" t="s">
        <v>6633</v>
      </c>
      <c r="D1418" t="s">
        <v>6634</v>
      </c>
      <c r="E1418" t="s">
        <v>6635</v>
      </c>
      <c r="F1418" t="s">
        <v>6636</v>
      </c>
      <c r="G1418" t="s">
        <v>6931</v>
      </c>
      <c r="H1418" t="s">
        <v>6930</v>
      </c>
      <c r="I1418" t="s">
        <v>9368</v>
      </c>
      <c r="K1418" t="s">
        <v>224</v>
      </c>
      <c r="N1418" t="str">
        <f t="shared" si="64"/>
        <v>Szanowna Pani</v>
      </c>
      <c r="Q1418" s="19" t="s">
        <v>9776</v>
      </c>
      <c r="U1418" t="str">
        <f t="shared" si="65"/>
        <v>tak</v>
      </c>
    </row>
    <row r="1419" spans="1:21">
      <c r="A1419">
        <v>1463</v>
      </c>
      <c r="B1419" t="s">
        <v>6677</v>
      </c>
      <c r="C1419" t="s">
        <v>6637</v>
      </c>
      <c r="D1419" t="s">
        <v>6638</v>
      </c>
      <c r="E1419" t="s">
        <v>6639</v>
      </c>
      <c r="F1419" t="s">
        <v>6640</v>
      </c>
      <c r="G1419" t="s">
        <v>6933</v>
      </c>
      <c r="H1419" t="s">
        <v>6932</v>
      </c>
      <c r="I1419" t="s">
        <v>9369</v>
      </c>
      <c r="K1419" t="s">
        <v>164</v>
      </c>
      <c r="N1419" t="str">
        <f t="shared" si="64"/>
        <v>Szanowna Pani</v>
      </c>
      <c r="O1419" s="19" t="s">
        <v>9776</v>
      </c>
      <c r="U1419" t="str">
        <f t="shared" si="65"/>
        <v>tak</v>
      </c>
    </row>
    <row r="1420" spans="1:21">
      <c r="A1420">
        <v>1464</v>
      </c>
      <c r="B1420" t="s">
        <v>6677</v>
      </c>
      <c r="C1420" t="s">
        <v>6641</v>
      </c>
      <c r="D1420" t="s">
        <v>6936</v>
      </c>
      <c r="E1420" t="s">
        <v>6642</v>
      </c>
      <c r="F1420" t="s">
        <v>6643</v>
      </c>
      <c r="G1420" t="s">
        <v>6935</v>
      </c>
      <c r="H1420" t="s">
        <v>6934</v>
      </c>
      <c r="I1420" t="s">
        <v>9370</v>
      </c>
      <c r="K1420" t="s">
        <v>224</v>
      </c>
      <c r="L1420" t="s">
        <v>165</v>
      </c>
      <c r="N1420" t="str">
        <f t="shared" si="64"/>
        <v>Szanowne Panie</v>
      </c>
      <c r="Q1420" s="19" t="s">
        <v>9776</v>
      </c>
      <c r="U1420" t="str">
        <f t="shared" si="65"/>
        <v>tak</v>
      </c>
    </row>
    <row r="1421" spans="1:21">
      <c r="A1421">
        <v>1465</v>
      </c>
      <c r="B1421" t="s">
        <v>6677</v>
      </c>
      <c r="C1421" t="s">
        <v>6644</v>
      </c>
      <c r="D1421" t="s">
        <v>6941</v>
      </c>
      <c r="E1421" t="s">
        <v>6940</v>
      </c>
      <c r="F1421" t="s">
        <v>6939</v>
      </c>
      <c r="G1421" t="s">
        <v>6938</v>
      </c>
      <c r="H1421" t="s">
        <v>6937</v>
      </c>
      <c r="I1421" t="s">
        <v>9371</v>
      </c>
      <c r="K1421" t="s">
        <v>164</v>
      </c>
      <c r="N1421" t="str">
        <f t="shared" si="64"/>
        <v>Szanowna Pani</v>
      </c>
      <c r="O1421" s="19" t="s">
        <v>9776</v>
      </c>
      <c r="U1421" t="str">
        <f t="shared" si="65"/>
        <v>tak</v>
      </c>
    </row>
    <row r="1422" spans="1:21">
      <c r="A1422">
        <v>1466</v>
      </c>
      <c r="B1422" t="s">
        <v>6677</v>
      </c>
      <c r="C1422" t="s">
        <v>6645</v>
      </c>
      <c r="D1422" t="s">
        <v>6646</v>
      </c>
      <c r="E1422" t="s">
        <v>6647</v>
      </c>
      <c r="F1422" t="s">
        <v>6648</v>
      </c>
      <c r="G1422" t="s">
        <v>6943</v>
      </c>
      <c r="H1422" t="s">
        <v>6942</v>
      </c>
      <c r="I1422" t="s">
        <v>9372</v>
      </c>
      <c r="K1422" t="s">
        <v>224</v>
      </c>
      <c r="L1422" t="s">
        <v>164</v>
      </c>
      <c r="N1422" t="str">
        <f t="shared" si="64"/>
        <v>Szanowny Pan</v>
      </c>
      <c r="Q1422" s="19" t="s">
        <v>9776</v>
      </c>
      <c r="U1422" t="str">
        <f t="shared" si="65"/>
        <v>tak</v>
      </c>
    </row>
    <row r="1423" spans="1:21">
      <c r="A1423">
        <v>1467</v>
      </c>
      <c r="B1423" t="s">
        <v>6677</v>
      </c>
      <c r="C1423" t="s">
        <v>6649</v>
      </c>
      <c r="D1423" t="s">
        <v>251</v>
      </c>
      <c r="E1423" t="s">
        <v>6650</v>
      </c>
      <c r="F1423" t="s">
        <v>6651</v>
      </c>
      <c r="G1423" t="s">
        <v>6945</v>
      </c>
      <c r="H1423" t="s">
        <v>6944</v>
      </c>
      <c r="I1423" t="s">
        <v>9373</v>
      </c>
      <c r="K1423" t="s">
        <v>164</v>
      </c>
      <c r="N1423" t="str">
        <f t="shared" si="64"/>
        <v>Szanowna Pani</v>
      </c>
      <c r="O1423" s="19" t="s">
        <v>9776</v>
      </c>
      <c r="S1423" t="s">
        <v>9712</v>
      </c>
      <c r="U1423" t="str">
        <f t="shared" si="65"/>
        <v>tak</v>
      </c>
    </row>
    <row r="1424" spans="1:21">
      <c r="A1424">
        <v>1468</v>
      </c>
      <c r="B1424" t="s">
        <v>6677</v>
      </c>
      <c r="C1424" t="s">
        <v>6649</v>
      </c>
      <c r="D1424" t="s">
        <v>6948</v>
      </c>
      <c r="E1424" t="s">
        <v>6650</v>
      </c>
      <c r="F1424" t="s">
        <v>6651</v>
      </c>
      <c r="G1424" t="s">
        <v>6947</v>
      </c>
      <c r="H1424" t="s">
        <v>6946</v>
      </c>
      <c r="I1424" t="s">
        <v>9374</v>
      </c>
      <c r="K1424" t="s">
        <v>164</v>
      </c>
      <c r="N1424" t="str">
        <f t="shared" si="64"/>
        <v>Szanowna Pani</v>
      </c>
      <c r="O1424" s="19" t="s">
        <v>9776</v>
      </c>
      <c r="U1424" t="str">
        <f t="shared" si="65"/>
        <v>tak</v>
      </c>
    </row>
    <row r="1425" spans="1:21">
      <c r="A1425">
        <v>1469</v>
      </c>
      <c r="B1425" t="s">
        <v>6677</v>
      </c>
      <c r="C1425" t="s">
        <v>6649</v>
      </c>
      <c r="D1425" t="s">
        <v>6579</v>
      </c>
      <c r="E1425" t="s">
        <v>6652</v>
      </c>
      <c r="F1425" t="s">
        <v>6651</v>
      </c>
      <c r="G1425" t="s">
        <v>7127</v>
      </c>
      <c r="H1425" t="s">
        <v>7126</v>
      </c>
      <c r="I1425" t="s">
        <v>9375</v>
      </c>
      <c r="K1425" t="s">
        <v>224</v>
      </c>
      <c r="N1425" t="str">
        <f t="shared" si="64"/>
        <v>Szanowna Pani</v>
      </c>
      <c r="Q1425" s="19" t="s">
        <v>9776</v>
      </c>
      <c r="U1425" t="str">
        <f t="shared" si="65"/>
        <v>tak</v>
      </c>
    </row>
    <row r="1426" spans="1:21">
      <c r="A1426">
        <v>1470</v>
      </c>
      <c r="B1426" t="s">
        <v>6677</v>
      </c>
      <c r="C1426" t="s">
        <v>6653</v>
      </c>
      <c r="D1426" t="s">
        <v>6654</v>
      </c>
      <c r="E1426" t="s">
        <v>6655</v>
      </c>
      <c r="F1426" t="s">
        <v>6656</v>
      </c>
      <c r="G1426" t="s">
        <v>6950</v>
      </c>
      <c r="H1426" t="s">
        <v>6949</v>
      </c>
      <c r="I1426" t="s">
        <v>9376</v>
      </c>
      <c r="K1426" t="s">
        <v>165</v>
      </c>
      <c r="L1426" t="s">
        <v>164</v>
      </c>
      <c r="N1426" t="str">
        <f t="shared" si="64"/>
        <v>Szanowna Pani</v>
      </c>
      <c r="P1426" s="19" t="s">
        <v>9776</v>
      </c>
      <c r="U1426" t="str">
        <f t="shared" si="65"/>
        <v>tak</v>
      </c>
    </row>
    <row r="1427" spans="1:21">
      <c r="A1427">
        <v>1471</v>
      </c>
      <c r="B1427" t="s">
        <v>6677</v>
      </c>
      <c r="C1427" t="s">
        <v>6657</v>
      </c>
      <c r="D1427" t="s">
        <v>166</v>
      </c>
      <c r="E1427" t="s">
        <v>6658</v>
      </c>
      <c r="F1427" t="s">
        <v>6659</v>
      </c>
      <c r="G1427" t="s">
        <v>6952</v>
      </c>
      <c r="H1427" t="s">
        <v>6951</v>
      </c>
      <c r="I1427" t="s">
        <v>9377</v>
      </c>
      <c r="K1427" t="s">
        <v>164</v>
      </c>
      <c r="N1427" t="str">
        <f t="shared" si="64"/>
        <v>Szanowna Pani</v>
      </c>
      <c r="O1427" s="19" t="s">
        <v>9776</v>
      </c>
      <c r="U1427" t="str">
        <f t="shared" si="65"/>
        <v>tak</v>
      </c>
    </row>
    <row r="1428" spans="1:21">
      <c r="A1428">
        <v>1472</v>
      </c>
      <c r="B1428" t="s">
        <v>6677</v>
      </c>
      <c r="C1428" t="s">
        <v>6660</v>
      </c>
      <c r="D1428" t="s">
        <v>6661</v>
      </c>
      <c r="E1428" t="s">
        <v>6662</v>
      </c>
      <c r="F1428" t="s">
        <v>6502</v>
      </c>
      <c r="G1428" t="s">
        <v>6954</v>
      </c>
      <c r="H1428" t="s">
        <v>6953</v>
      </c>
      <c r="I1428" t="s">
        <v>9378</v>
      </c>
      <c r="K1428" t="s">
        <v>164</v>
      </c>
      <c r="N1428" t="str">
        <f t="shared" si="64"/>
        <v>Szanowna Pani</v>
      </c>
      <c r="O1428" s="19" t="s">
        <v>9776</v>
      </c>
      <c r="U1428" t="str">
        <f t="shared" si="65"/>
        <v>tak</v>
      </c>
    </row>
    <row r="1429" spans="1:21">
      <c r="A1429">
        <v>1473</v>
      </c>
      <c r="B1429" t="s">
        <v>6677</v>
      </c>
      <c r="C1429" t="s">
        <v>6663</v>
      </c>
      <c r="D1429" t="s">
        <v>6664</v>
      </c>
      <c r="E1429" t="s">
        <v>6665</v>
      </c>
      <c r="F1429" t="s">
        <v>6519</v>
      </c>
      <c r="G1429" t="s">
        <v>6956</v>
      </c>
      <c r="H1429" t="s">
        <v>6955</v>
      </c>
      <c r="I1429" t="s">
        <v>9379</v>
      </c>
      <c r="K1429" t="s">
        <v>164</v>
      </c>
      <c r="N1429" t="str">
        <f t="shared" si="64"/>
        <v>Szanowna Pani</v>
      </c>
      <c r="O1429" s="19" t="s">
        <v>9776</v>
      </c>
      <c r="U1429" t="str">
        <f t="shared" si="65"/>
        <v>tak</v>
      </c>
    </row>
    <row r="1430" spans="1:21">
      <c r="A1430">
        <v>1474</v>
      </c>
      <c r="B1430" t="s">
        <v>6677</v>
      </c>
      <c r="C1430" t="s">
        <v>6666</v>
      </c>
      <c r="D1430" t="s">
        <v>6667</v>
      </c>
      <c r="E1430" t="s">
        <v>6668</v>
      </c>
      <c r="F1430" t="s">
        <v>6502</v>
      </c>
      <c r="G1430" t="s">
        <v>6958</v>
      </c>
      <c r="H1430" t="s">
        <v>6957</v>
      </c>
      <c r="I1430" t="s">
        <v>9380</v>
      </c>
      <c r="K1430" t="s">
        <v>164</v>
      </c>
      <c r="N1430" t="str">
        <f t="shared" si="64"/>
        <v>Szanowna Pani</v>
      </c>
      <c r="O1430" s="19" t="s">
        <v>9776</v>
      </c>
      <c r="U1430" t="str">
        <f t="shared" si="65"/>
        <v>tak</v>
      </c>
    </row>
    <row r="1431" spans="1:21">
      <c r="A1431">
        <v>1475</v>
      </c>
      <c r="B1431" t="s">
        <v>6677</v>
      </c>
      <c r="C1431" t="s">
        <v>6669</v>
      </c>
      <c r="D1431" t="s">
        <v>6670</v>
      </c>
      <c r="E1431" t="s">
        <v>6671</v>
      </c>
      <c r="F1431" t="s">
        <v>6672</v>
      </c>
      <c r="G1431" t="s">
        <v>6960</v>
      </c>
      <c r="H1431" t="s">
        <v>6959</v>
      </c>
      <c r="I1431" t="s">
        <v>9381</v>
      </c>
      <c r="K1431" t="s">
        <v>164</v>
      </c>
      <c r="N1431" t="str">
        <f t="shared" si="64"/>
        <v>Szanowne Panie</v>
      </c>
      <c r="O1431" s="19" t="s">
        <v>9776</v>
      </c>
      <c r="U1431" t="str">
        <f t="shared" si="65"/>
        <v>tak</v>
      </c>
    </row>
    <row r="1432" spans="1:21">
      <c r="A1432">
        <v>1476</v>
      </c>
      <c r="B1432" t="s">
        <v>6677</v>
      </c>
      <c r="C1432" t="s">
        <v>6673</v>
      </c>
      <c r="D1432" t="s">
        <v>6674</v>
      </c>
      <c r="E1432" t="s">
        <v>6675</v>
      </c>
      <c r="F1432" t="s">
        <v>6676</v>
      </c>
      <c r="G1432" t="s">
        <v>6963</v>
      </c>
      <c r="H1432" t="s">
        <v>6962</v>
      </c>
      <c r="I1432" t="s">
        <v>9382</v>
      </c>
      <c r="K1432" t="s">
        <v>6961</v>
      </c>
      <c r="N1432" t="str">
        <f t="shared" ref="N1432:N1496" si="66">IF(ISERROR(FIND(",",H1432)),IF(MID(H1432,FIND(" ",H1432)-1,1)="a","Szanowna Pani","Szanowny Pan"), "Szanowne Panie")</f>
        <v>Szanowna Pani</v>
      </c>
      <c r="O1432" s="19" t="s">
        <v>9776</v>
      </c>
      <c r="U1432" t="str">
        <f t="shared" si="65"/>
        <v>tak</v>
      </c>
    </row>
    <row r="1433" spans="1:21">
      <c r="A1433">
        <v>1477</v>
      </c>
      <c r="B1433" t="s">
        <v>6677</v>
      </c>
      <c r="C1433" t="s">
        <v>6678</v>
      </c>
      <c r="D1433" t="s">
        <v>6679</v>
      </c>
      <c r="E1433" t="s">
        <v>6680</v>
      </c>
      <c r="F1433" t="s">
        <v>6681</v>
      </c>
      <c r="G1433" t="s">
        <v>6965</v>
      </c>
      <c r="H1433" t="s">
        <v>6964</v>
      </c>
      <c r="I1433" t="s">
        <v>9383</v>
      </c>
      <c r="K1433" t="s">
        <v>565</v>
      </c>
      <c r="L1433" t="s">
        <v>165</v>
      </c>
      <c r="M1433" t="s">
        <v>224</v>
      </c>
      <c r="N1433" t="str">
        <f t="shared" si="66"/>
        <v>Szanowna Pani</v>
      </c>
      <c r="P1433" s="19" t="s">
        <v>9776</v>
      </c>
      <c r="Q1433" s="19" t="s">
        <v>9776</v>
      </c>
      <c r="U1433" t="str">
        <f t="shared" si="65"/>
        <v>taktak</v>
      </c>
    </row>
    <row r="1434" spans="1:21">
      <c r="A1434">
        <v>1478</v>
      </c>
      <c r="B1434" t="s">
        <v>6677</v>
      </c>
      <c r="C1434" t="s">
        <v>6682</v>
      </c>
      <c r="D1434" t="s">
        <v>6970</v>
      </c>
      <c r="E1434" t="s">
        <v>6969</v>
      </c>
      <c r="F1434" t="s">
        <v>6968</v>
      </c>
      <c r="G1434" t="s">
        <v>6967</v>
      </c>
      <c r="H1434" t="s">
        <v>6966</v>
      </c>
      <c r="I1434" t="s">
        <v>9384</v>
      </c>
      <c r="K1434" t="s">
        <v>164</v>
      </c>
      <c r="N1434" t="str">
        <f t="shared" si="66"/>
        <v>Szanowne Panie</v>
      </c>
      <c r="O1434" s="19" t="s">
        <v>9776</v>
      </c>
      <c r="U1434" t="str">
        <f t="shared" si="65"/>
        <v>tak</v>
      </c>
    </row>
    <row r="1435" spans="1:21">
      <c r="A1435">
        <v>1479</v>
      </c>
      <c r="B1435" t="s">
        <v>6677</v>
      </c>
      <c r="C1435" t="s">
        <v>6683</v>
      </c>
      <c r="D1435" t="s">
        <v>6973</v>
      </c>
      <c r="E1435" t="s">
        <v>6684</v>
      </c>
      <c r="F1435" t="s">
        <v>6685</v>
      </c>
      <c r="G1435" t="s">
        <v>6972</v>
      </c>
      <c r="H1435" t="s">
        <v>6971</v>
      </c>
      <c r="I1435" t="s">
        <v>9385</v>
      </c>
      <c r="K1435" t="s">
        <v>164</v>
      </c>
      <c r="N1435" t="str">
        <f t="shared" si="66"/>
        <v>Szanowna Pani</v>
      </c>
      <c r="O1435" s="19" t="s">
        <v>9776</v>
      </c>
      <c r="U1435" t="str">
        <f t="shared" si="65"/>
        <v>tak</v>
      </c>
    </row>
    <row r="1436" spans="1:21">
      <c r="A1436">
        <v>1480</v>
      </c>
      <c r="B1436" t="s">
        <v>6677</v>
      </c>
      <c r="C1436" t="s">
        <v>6683</v>
      </c>
      <c r="D1436" t="s">
        <v>6686</v>
      </c>
      <c r="E1436" t="s">
        <v>6687</v>
      </c>
      <c r="F1436" t="s">
        <v>6688</v>
      </c>
      <c r="G1436" t="s">
        <v>6975</v>
      </c>
      <c r="H1436" t="s">
        <v>6974</v>
      </c>
      <c r="I1436" t="s">
        <v>9386</v>
      </c>
      <c r="K1436" t="s">
        <v>164</v>
      </c>
      <c r="N1436" t="str">
        <f t="shared" si="66"/>
        <v>Szanowna Pani</v>
      </c>
      <c r="O1436" s="19" t="s">
        <v>9776</v>
      </c>
      <c r="U1436" t="str">
        <f t="shared" si="65"/>
        <v>tak</v>
      </c>
    </row>
    <row r="1437" spans="1:21">
      <c r="A1437">
        <v>1481</v>
      </c>
      <c r="B1437" t="s">
        <v>6677</v>
      </c>
      <c r="C1437" t="s">
        <v>6689</v>
      </c>
      <c r="D1437" t="s">
        <v>6978</v>
      </c>
      <c r="E1437" t="s">
        <v>6690</v>
      </c>
      <c r="F1437" t="s">
        <v>6691</v>
      </c>
      <c r="G1437" t="s">
        <v>6977</v>
      </c>
      <c r="H1437" t="s">
        <v>6976</v>
      </c>
      <c r="I1437" t="s">
        <v>9387</v>
      </c>
      <c r="K1437" t="s">
        <v>164</v>
      </c>
      <c r="N1437" t="str">
        <f t="shared" si="66"/>
        <v>Szanowna Pani</v>
      </c>
      <c r="O1437" s="19" t="s">
        <v>9776</v>
      </c>
      <c r="U1437" t="str">
        <f t="shared" si="65"/>
        <v>tak</v>
      </c>
    </row>
    <row r="1438" spans="1:21">
      <c r="A1438">
        <v>1482</v>
      </c>
      <c r="B1438" t="s">
        <v>6677</v>
      </c>
      <c r="C1438" t="s">
        <v>6689</v>
      </c>
      <c r="D1438" t="s">
        <v>6692</v>
      </c>
      <c r="E1438" t="s">
        <v>6693</v>
      </c>
      <c r="F1438" t="s">
        <v>6694</v>
      </c>
      <c r="G1438" t="s">
        <v>6980</v>
      </c>
      <c r="H1438" t="s">
        <v>6979</v>
      </c>
      <c r="I1438" t="s">
        <v>9388</v>
      </c>
      <c r="K1438" t="s">
        <v>224</v>
      </c>
      <c r="N1438" t="str">
        <f t="shared" si="66"/>
        <v>Szanowna Pani</v>
      </c>
      <c r="Q1438" s="19" t="s">
        <v>9776</v>
      </c>
      <c r="U1438" t="str">
        <f t="shared" si="65"/>
        <v>tak</v>
      </c>
    </row>
    <row r="1439" spans="1:21">
      <c r="A1439">
        <v>1483</v>
      </c>
      <c r="B1439" t="s">
        <v>6677</v>
      </c>
      <c r="C1439" t="s">
        <v>6695</v>
      </c>
      <c r="D1439" t="s">
        <v>6985</v>
      </c>
      <c r="E1439" t="s">
        <v>6984</v>
      </c>
      <c r="F1439" t="s">
        <v>6983</v>
      </c>
      <c r="G1439" t="s">
        <v>6982</v>
      </c>
      <c r="H1439" t="s">
        <v>6981</v>
      </c>
      <c r="I1439" t="s">
        <v>9389</v>
      </c>
      <c r="K1439" t="s">
        <v>164</v>
      </c>
      <c r="N1439" t="str">
        <f t="shared" si="66"/>
        <v>Szanowna Pani</v>
      </c>
      <c r="O1439" s="19" t="s">
        <v>9776</v>
      </c>
      <c r="S1439" t="s">
        <v>9712</v>
      </c>
      <c r="U1439" t="str">
        <f t="shared" si="65"/>
        <v>tak</v>
      </c>
    </row>
    <row r="1440" spans="1:21">
      <c r="A1440">
        <v>1484</v>
      </c>
      <c r="B1440" t="s">
        <v>6677</v>
      </c>
      <c r="C1440" t="s">
        <v>6695</v>
      </c>
      <c r="D1440" t="s">
        <v>6696</v>
      </c>
      <c r="E1440" t="s">
        <v>6697</v>
      </c>
      <c r="F1440" t="s">
        <v>6698</v>
      </c>
      <c r="G1440" t="s">
        <v>6987</v>
      </c>
      <c r="H1440" t="s">
        <v>6986</v>
      </c>
      <c r="I1440" t="s">
        <v>9390</v>
      </c>
      <c r="K1440" t="s">
        <v>224</v>
      </c>
      <c r="N1440" t="str">
        <f t="shared" si="66"/>
        <v>Szanowna Pani</v>
      </c>
      <c r="Q1440" s="19" t="s">
        <v>9776</v>
      </c>
      <c r="U1440" t="str">
        <f t="shared" si="65"/>
        <v>tak</v>
      </c>
    </row>
    <row r="1441" spans="1:21">
      <c r="A1441">
        <v>1485</v>
      </c>
      <c r="B1441" t="s">
        <v>6677</v>
      </c>
      <c r="C1441" t="s">
        <v>6695</v>
      </c>
      <c r="D1441" t="s">
        <v>6699</v>
      </c>
      <c r="E1441" t="s">
        <v>6700</v>
      </c>
      <c r="F1441" t="s">
        <v>6701</v>
      </c>
      <c r="G1441" t="s">
        <v>6989</v>
      </c>
      <c r="H1441" t="s">
        <v>6988</v>
      </c>
      <c r="I1441" t="s">
        <v>9391</v>
      </c>
      <c r="K1441" t="s">
        <v>224</v>
      </c>
      <c r="N1441" t="str">
        <f t="shared" si="66"/>
        <v>Szanowne Panie</v>
      </c>
      <c r="Q1441" s="19" t="s">
        <v>9776</v>
      </c>
      <c r="U1441" t="str">
        <f t="shared" si="65"/>
        <v>tak</v>
      </c>
    </row>
    <row r="1442" spans="1:21">
      <c r="A1442">
        <v>1486</v>
      </c>
      <c r="B1442" t="s">
        <v>6677</v>
      </c>
      <c r="C1442" t="s">
        <v>6702</v>
      </c>
      <c r="D1442" t="s">
        <v>6994</v>
      </c>
      <c r="E1442" t="s">
        <v>6993</v>
      </c>
      <c r="F1442" t="s">
        <v>6992</v>
      </c>
      <c r="G1442" t="s">
        <v>6991</v>
      </c>
      <c r="H1442" t="s">
        <v>6990</v>
      </c>
      <c r="I1442" t="s">
        <v>9392</v>
      </c>
      <c r="K1442" t="s">
        <v>164</v>
      </c>
      <c r="N1442" t="str">
        <f t="shared" si="66"/>
        <v>Szanowna Pani</v>
      </c>
      <c r="O1442" s="19" t="s">
        <v>9776</v>
      </c>
      <c r="U1442" t="str">
        <f t="shared" si="65"/>
        <v>tak</v>
      </c>
    </row>
    <row r="1443" spans="1:21">
      <c r="A1443">
        <v>1487</v>
      </c>
      <c r="B1443" t="s">
        <v>6677</v>
      </c>
      <c r="C1443" t="s">
        <v>6703</v>
      </c>
      <c r="D1443" t="s">
        <v>6999</v>
      </c>
      <c r="E1443" t="s">
        <v>6998</v>
      </c>
      <c r="F1443" t="s">
        <v>6997</v>
      </c>
      <c r="G1443" t="s">
        <v>6996</v>
      </c>
      <c r="H1443" t="s">
        <v>6995</v>
      </c>
      <c r="I1443" t="s">
        <v>9393</v>
      </c>
      <c r="K1443" t="s">
        <v>164</v>
      </c>
      <c r="N1443" t="str">
        <f t="shared" si="66"/>
        <v>Szanowna Pani</v>
      </c>
      <c r="O1443" s="19" t="s">
        <v>9776</v>
      </c>
      <c r="U1443" t="str">
        <f t="shared" si="65"/>
        <v>tak</v>
      </c>
    </row>
    <row r="1444" spans="1:21">
      <c r="A1444">
        <v>1488</v>
      </c>
      <c r="B1444" t="s">
        <v>6677</v>
      </c>
      <c r="C1444" t="s">
        <v>6704</v>
      </c>
      <c r="D1444" t="s">
        <v>7002</v>
      </c>
      <c r="E1444" t="s">
        <v>6705</v>
      </c>
      <c r="F1444" t="s">
        <v>6706</v>
      </c>
      <c r="G1444" t="s">
        <v>7001</v>
      </c>
      <c r="H1444" t="s">
        <v>7000</v>
      </c>
      <c r="I1444" t="s">
        <v>9394</v>
      </c>
      <c r="K1444" t="s">
        <v>164</v>
      </c>
      <c r="N1444" t="str">
        <f t="shared" si="66"/>
        <v>Szanowna Pani</v>
      </c>
      <c r="O1444" s="19" t="s">
        <v>9776</v>
      </c>
      <c r="U1444" t="str">
        <f t="shared" si="65"/>
        <v>tak</v>
      </c>
    </row>
    <row r="1445" spans="1:21">
      <c r="A1445">
        <v>1489</v>
      </c>
      <c r="B1445" t="s">
        <v>6677</v>
      </c>
      <c r="C1445" t="s">
        <v>6707</v>
      </c>
      <c r="D1445" t="s">
        <v>6708</v>
      </c>
      <c r="E1445" t="s">
        <v>6709</v>
      </c>
      <c r="F1445" t="s">
        <v>6710</v>
      </c>
      <c r="G1445" t="s">
        <v>7004</v>
      </c>
      <c r="H1445" t="s">
        <v>7003</v>
      </c>
      <c r="I1445" t="s">
        <v>9395</v>
      </c>
      <c r="K1445" t="s">
        <v>165</v>
      </c>
      <c r="N1445" t="str">
        <f t="shared" si="66"/>
        <v>Szanowna Pani</v>
      </c>
      <c r="P1445" s="19" t="s">
        <v>9776</v>
      </c>
      <c r="U1445" t="str">
        <f t="shared" si="65"/>
        <v>tak</v>
      </c>
    </row>
    <row r="1446" spans="1:21">
      <c r="A1446">
        <v>1490</v>
      </c>
      <c r="B1446" t="s">
        <v>6677</v>
      </c>
      <c r="C1446" t="s">
        <v>6707</v>
      </c>
      <c r="D1446" t="s">
        <v>7007</v>
      </c>
      <c r="E1446" t="s">
        <v>6711</v>
      </c>
      <c r="F1446" t="s">
        <v>6712</v>
      </c>
      <c r="G1446" t="s">
        <v>7006</v>
      </c>
      <c r="H1446" t="s">
        <v>7005</v>
      </c>
      <c r="I1446" t="s">
        <v>9396</v>
      </c>
      <c r="K1446" t="s">
        <v>164</v>
      </c>
      <c r="N1446" t="str">
        <f t="shared" si="66"/>
        <v>Szanowna Pani</v>
      </c>
      <c r="O1446" s="19" t="s">
        <v>9776</v>
      </c>
      <c r="U1446" t="str">
        <f t="shared" si="65"/>
        <v>tak</v>
      </c>
    </row>
    <row r="1447" spans="1:21">
      <c r="A1447">
        <v>1491</v>
      </c>
      <c r="B1447" t="s">
        <v>6677</v>
      </c>
      <c r="C1447" t="s">
        <v>6713</v>
      </c>
      <c r="D1447" t="s">
        <v>6714</v>
      </c>
      <c r="E1447" t="s">
        <v>7010</v>
      </c>
      <c r="F1447" t="s">
        <v>6718</v>
      </c>
      <c r="G1447" t="s">
        <v>7009</v>
      </c>
      <c r="H1447" t="s">
        <v>7008</v>
      </c>
      <c r="I1447" t="s">
        <v>9397</v>
      </c>
      <c r="K1447" t="s">
        <v>164</v>
      </c>
      <c r="N1447" t="str">
        <f t="shared" si="66"/>
        <v>Szanowna Pani</v>
      </c>
      <c r="O1447" s="19" t="s">
        <v>9776</v>
      </c>
      <c r="U1447" t="str">
        <f t="shared" si="65"/>
        <v>tak</v>
      </c>
    </row>
    <row r="1448" spans="1:21">
      <c r="A1448">
        <v>1492</v>
      </c>
      <c r="B1448" t="s">
        <v>6677</v>
      </c>
      <c r="C1448" t="s">
        <v>6713</v>
      </c>
      <c r="D1448" t="s">
        <v>7014</v>
      </c>
      <c r="E1448" t="s">
        <v>7013</v>
      </c>
      <c r="F1448" t="s">
        <v>6718</v>
      </c>
      <c r="G1448" t="s">
        <v>7012</v>
      </c>
      <c r="H1448" t="s">
        <v>7011</v>
      </c>
      <c r="I1448" t="s">
        <v>9398</v>
      </c>
      <c r="K1448" t="s">
        <v>164</v>
      </c>
      <c r="N1448" t="str">
        <f t="shared" si="66"/>
        <v>Szanowna Pani</v>
      </c>
      <c r="O1448" s="19" t="s">
        <v>9776</v>
      </c>
      <c r="U1448" t="str">
        <f t="shared" si="65"/>
        <v>tak</v>
      </c>
    </row>
    <row r="1449" spans="1:21">
      <c r="A1449">
        <v>1493</v>
      </c>
      <c r="B1449" t="s">
        <v>6677</v>
      </c>
      <c r="C1449" t="s">
        <v>6713</v>
      </c>
      <c r="D1449" t="s">
        <v>7098</v>
      </c>
      <c r="E1449" t="s">
        <v>6715</v>
      </c>
      <c r="F1449" t="s">
        <v>6716</v>
      </c>
      <c r="G1449" t="s">
        <v>7016</v>
      </c>
      <c r="H1449" t="s">
        <v>7015</v>
      </c>
      <c r="I1449" t="s">
        <v>9399</v>
      </c>
      <c r="K1449" t="s">
        <v>164</v>
      </c>
      <c r="N1449" t="str">
        <f t="shared" si="66"/>
        <v>Szanowna Pani</v>
      </c>
      <c r="O1449" s="19" t="s">
        <v>9776</v>
      </c>
      <c r="U1449" t="str">
        <f t="shared" si="65"/>
        <v>tak</v>
      </c>
    </row>
    <row r="1450" spans="1:21">
      <c r="A1450">
        <v>1494</v>
      </c>
      <c r="B1450" t="s">
        <v>6677</v>
      </c>
      <c r="C1450" t="s">
        <v>6713</v>
      </c>
      <c r="D1450" t="s">
        <v>7095</v>
      </c>
      <c r="E1450" t="s">
        <v>6717</v>
      </c>
      <c r="F1450" t="s">
        <v>6718</v>
      </c>
      <c r="G1450" t="s">
        <v>7018</v>
      </c>
      <c r="H1450" t="s">
        <v>7017</v>
      </c>
      <c r="I1450" t="s">
        <v>9400</v>
      </c>
      <c r="K1450" t="s">
        <v>164</v>
      </c>
      <c r="N1450" t="str">
        <f t="shared" si="66"/>
        <v>Szanowna Pani</v>
      </c>
      <c r="O1450" s="19" t="s">
        <v>9776</v>
      </c>
      <c r="U1450" t="str">
        <f t="shared" si="65"/>
        <v>tak</v>
      </c>
    </row>
    <row r="1451" spans="1:21">
      <c r="A1451">
        <v>1495</v>
      </c>
      <c r="B1451" t="s">
        <v>6677</v>
      </c>
      <c r="C1451" t="s">
        <v>6719</v>
      </c>
      <c r="D1451" t="s">
        <v>7021</v>
      </c>
      <c r="E1451" t="s">
        <v>6720</v>
      </c>
      <c r="F1451" t="s">
        <v>6721</v>
      </c>
      <c r="G1451" t="s">
        <v>7020</v>
      </c>
      <c r="H1451" t="s">
        <v>7019</v>
      </c>
      <c r="I1451" t="s">
        <v>9401</v>
      </c>
      <c r="K1451" t="s">
        <v>164</v>
      </c>
      <c r="N1451" t="str">
        <f t="shared" si="66"/>
        <v>Szanowna Pani</v>
      </c>
      <c r="O1451" s="19" t="s">
        <v>9776</v>
      </c>
      <c r="U1451" t="str">
        <f t="shared" si="65"/>
        <v>tak</v>
      </c>
    </row>
    <row r="1452" spans="1:21">
      <c r="A1452">
        <v>1496</v>
      </c>
      <c r="B1452" t="s">
        <v>6677</v>
      </c>
      <c r="C1452" t="s">
        <v>6719</v>
      </c>
      <c r="D1452" t="s">
        <v>7096</v>
      </c>
      <c r="E1452" t="s">
        <v>6722</v>
      </c>
      <c r="F1452" t="s">
        <v>6723</v>
      </c>
      <c r="G1452" t="s">
        <v>7023</v>
      </c>
      <c r="H1452" t="s">
        <v>7022</v>
      </c>
      <c r="I1452" t="s">
        <v>9402</v>
      </c>
      <c r="K1452" t="s">
        <v>224</v>
      </c>
      <c r="N1452" t="str">
        <f t="shared" si="66"/>
        <v>Szanowna Pani</v>
      </c>
      <c r="Q1452" s="19" t="s">
        <v>9776</v>
      </c>
      <c r="U1452" t="str">
        <f t="shared" si="65"/>
        <v>tak</v>
      </c>
    </row>
    <row r="1453" spans="1:21">
      <c r="A1453">
        <v>1497</v>
      </c>
      <c r="B1453" t="s">
        <v>6677</v>
      </c>
      <c r="C1453" t="s">
        <v>6719</v>
      </c>
      <c r="D1453" t="s">
        <v>7109</v>
      </c>
      <c r="E1453" t="s">
        <v>6724</v>
      </c>
      <c r="F1453" t="s">
        <v>6725</v>
      </c>
      <c r="G1453" t="s">
        <v>7129</v>
      </c>
      <c r="H1453" t="s">
        <v>7128</v>
      </c>
      <c r="I1453" t="s">
        <v>9403</v>
      </c>
      <c r="K1453" t="s">
        <v>164</v>
      </c>
      <c r="N1453" t="str">
        <f t="shared" si="66"/>
        <v>Szanowna Pani</v>
      </c>
      <c r="O1453" s="19" t="s">
        <v>9776</v>
      </c>
      <c r="U1453" t="str">
        <f t="shared" si="65"/>
        <v>tak</v>
      </c>
    </row>
    <row r="1454" spans="1:21">
      <c r="A1454">
        <v>1498</v>
      </c>
      <c r="B1454" t="s">
        <v>6677</v>
      </c>
      <c r="C1454" t="s">
        <v>6726</v>
      </c>
      <c r="D1454" t="s">
        <v>7028</v>
      </c>
      <c r="E1454" t="s">
        <v>7027</v>
      </c>
      <c r="F1454" t="s">
        <v>7026</v>
      </c>
      <c r="G1454" t="s">
        <v>7025</v>
      </c>
      <c r="H1454" t="s">
        <v>7024</v>
      </c>
      <c r="I1454" t="s">
        <v>9404</v>
      </c>
      <c r="K1454" t="s">
        <v>164</v>
      </c>
      <c r="N1454" t="str">
        <f t="shared" si="66"/>
        <v>Szanowna Pani</v>
      </c>
      <c r="O1454" s="19" t="s">
        <v>9776</v>
      </c>
      <c r="U1454" t="str">
        <f t="shared" si="65"/>
        <v>tak</v>
      </c>
    </row>
    <row r="1455" spans="1:21">
      <c r="A1455">
        <v>1499</v>
      </c>
      <c r="B1455" t="s">
        <v>6677</v>
      </c>
      <c r="C1455" t="s">
        <v>6727</v>
      </c>
      <c r="D1455" t="s">
        <v>7031</v>
      </c>
      <c r="E1455" t="s">
        <v>6728</v>
      </c>
      <c r="F1455" t="s">
        <v>6729</v>
      </c>
      <c r="G1455" t="s">
        <v>7030</v>
      </c>
      <c r="H1455" t="s">
        <v>7029</v>
      </c>
      <c r="I1455" t="s">
        <v>9405</v>
      </c>
      <c r="K1455" t="s">
        <v>164</v>
      </c>
      <c r="N1455" t="str">
        <f t="shared" si="66"/>
        <v>Szanowna Pani</v>
      </c>
      <c r="O1455" s="19" t="s">
        <v>9776</v>
      </c>
      <c r="U1455" t="str">
        <f t="shared" si="65"/>
        <v>tak</v>
      </c>
    </row>
    <row r="1456" spans="1:21">
      <c r="A1456">
        <v>1500</v>
      </c>
      <c r="B1456" t="s">
        <v>6677</v>
      </c>
      <c r="C1456" t="s">
        <v>6727</v>
      </c>
      <c r="D1456" t="s">
        <v>7099</v>
      </c>
      <c r="E1456" t="s">
        <v>6730</v>
      </c>
      <c r="F1456" t="s">
        <v>6731</v>
      </c>
      <c r="G1456" t="s">
        <v>7033</v>
      </c>
      <c r="H1456" t="s">
        <v>7032</v>
      </c>
      <c r="I1456" t="s">
        <v>9406</v>
      </c>
      <c r="K1456" t="s">
        <v>164</v>
      </c>
      <c r="N1456" t="str">
        <f t="shared" si="66"/>
        <v>Szanowna Pani</v>
      </c>
      <c r="O1456" s="19" t="s">
        <v>9776</v>
      </c>
      <c r="S1456" t="s">
        <v>9712</v>
      </c>
      <c r="U1456" t="str">
        <f t="shared" si="65"/>
        <v>tak</v>
      </c>
    </row>
    <row r="1457" spans="1:21">
      <c r="A1457">
        <v>1501</v>
      </c>
      <c r="B1457" t="s">
        <v>6677</v>
      </c>
      <c r="C1457" t="s">
        <v>6732</v>
      </c>
      <c r="D1457" t="s">
        <v>6733</v>
      </c>
      <c r="E1457" t="s">
        <v>7037</v>
      </c>
      <c r="F1457" t="s">
        <v>7036</v>
      </c>
      <c r="G1457" t="s">
        <v>7035</v>
      </c>
      <c r="H1457" t="s">
        <v>7034</v>
      </c>
      <c r="I1457" t="s">
        <v>9407</v>
      </c>
      <c r="K1457" t="s">
        <v>164</v>
      </c>
      <c r="N1457" t="str">
        <f t="shared" si="66"/>
        <v>Szanowna Pani</v>
      </c>
      <c r="O1457" s="19" t="s">
        <v>9776</v>
      </c>
      <c r="U1457" t="str">
        <f t="shared" si="65"/>
        <v>tak</v>
      </c>
    </row>
    <row r="1458" spans="1:21">
      <c r="A1458">
        <v>1502</v>
      </c>
      <c r="B1458" t="s">
        <v>6677</v>
      </c>
      <c r="C1458" t="s">
        <v>6732</v>
      </c>
      <c r="D1458" t="s">
        <v>7040</v>
      </c>
      <c r="E1458" t="s">
        <v>6734</v>
      </c>
      <c r="F1458" t="s">
        <v>6735</v>
      </c>
      <c r="G1458" t="s">
        <v>7039</v>
      </c>
      <c r="H1458" t="s">
        <v>7038</v>
      </c>
      <c r="I1458" t="s">
        <v>9408</v>
      </c>
      <c r="K1458" t="s">
        <v>164</v>
      </c>
      <c r="N1458" t="str">
        <f t="shared" si="66"/>
        <v>Szanowna Pani</v>
      </c>
      <c r="O1458" s="19" t="s">
        <v>9776</v>
      </c>
      <c r="U1458" t="str">
        <f t="shared" si="65"/>
        <v>tak</v>
      </c>
    </row>
    <row r="1459" spans="1:21">
      <c r="A1459">
        <v>1503</v>
      </c>
      <c r="B1459" t="s">
        <v>6677</v>
      </c>
      <c r="C1459" t="s">
        <v>6732</v>
      </c>
      <c r="D1459" t="s">
        <v>6985</v>
      </c>
      <c r="E1459" t="s">
        <v>7043</v>
      </c>
      <c r="F1459" t="s">
        <v>6736</v>
      </c>
      <c r="G1459" t="s">
        <v>7042</v>
      </c>
      <c r="H1459" t="s">
        <v>7041</v>
      </c>
      <c r="I1459" t="s">
        <v>9409</v>
      </c>
      <c r="K1459" t="s">
        <v>164</v>
      </c>
      <c r="N1459" t="str">
        <f t="shared" si="66"/>
        <v>Szanowna Pani</v>
      </c>
      <c r="O1459" s="19" t="s">
        <v>9776</v>
      </c>
      <c r="U1459" t="str">
        <f t="shared" si="65"/>
        <v>tak</v>
      </c>
    </row>
    <row r="1460" spans="1:21">
      <c r="A1460">
        <v>1504</v>
      </c>
      <c r="B1460" t="s">
        <v>6677</v>
      </c>
      <c r="C1460" t="s">
        <v>6732</v>
      </c>
      <c r="D1460" t="s">
        <v>7046</v>
      </c>
      <c r="E1460" t="s">
        <v>6737</v>
      </c>
      <c r="F1460" t="s">
        <v>6738</v>
      </c>
      <c r="G1460" t="s">
        <v>7045</v>
      </c>
      <c r="H1460" t="s">
        <v>7044</v>
      </c>
      <c r="I1460" t="s">
        <v>9410</v>
      </c>
      <c r="K1460" t="s">
        <v>164</v>
      </c>
      <c r="N1460" t="str">
        <f t="shared" si="66"/>
        <v>Szanowna Pani</v>
      </c>
      <c r="O1460" s="19" t="s">
        <v>9776</v>
      </c>
      <c r="U1460" t="str">
        <f t="shared" si="65"/>
        <v>tak</v>
      </c>
    </row>
    <row r="1461" spans="1:21">
      <c r="A1461">
        <v>1505</v>
      </c>
      <c r="B1461" t="s">
        <v>6677</v>
      </c>
      <c r="C1461" t="s">
        <v>6739</v>
      </c>
      <c r="D1461" t="s">
        <v>7097</v>
      </c>
      <c r="E1461" t="s">
        <v>7050</v>
      </c>
      <c r="F1461" t="s">
        <v>7049</v>
      </c>
      <c r="G1461" t="s">
        <v>7048</v>
      </c>
      <c r="H1461" t="s">
        <v>7047</v>
      </c>
      <c r="I1461" t="s">
        <v>9411</v>
      </c>
      <c r="K1461" t="s">
        <v>164</v>
      </c>
      <c r="N1461" t="str">
        <f t="shared" si="66"/>
        <v>Szanowna Pani</v>
      </c>
      <c r="O1461" s="19" t="s">
        <v>9776</v>
      </c>
      <c r="U1461" t="str">
        <f t="shared" si="65"/>
        <v>tak</v>
      </c>
    </row>
    <row r="1462" spans="1:21">
      <c r="A1462">
        <v>1506</v>
      </c>
      <c r="B1462" t="s">
        <v>6677</v>
      </c>
      <c r="C1462" t="s">
        <v>6739</v>
      </c>
      <c r="D1462" t="s">
        <v>7100</v>
      </c>
      <c r="E1462" t="s">
        <v>6740</v>
      </c>
      <c r="F1462" t="s">
        <v>6741</v>
      </c>
      <c r="G1462" t="s">
        <v>7052</v>
      </c>
      <c r="H1462" t="s">
        <v>7051</v>
      </c>
      <c r="I1462" t="s">
        <v>9412</v>
      </c>
      <c r="K1462" t="s">
        <v>164</v>
      </c>
      <c r="N1462" t="str">
        <f t="shared" si="66"/>
        <v>Szanowne Panie</v>
      </c>
      <c r="O1462" s="19" t="s">
        <v>9776</v>
      </c>
      <c r="R1462" t="s">
        <v>9777</v>
      </c>
      <c r="U1462" t="str">
        <f t="shared" si="65"/>
        <v>tak</v>
      </c>
    </row>
    <row r="1463" spans="1:21">
      <c r="A1463">
        <v>1507</v>
      </c>
      <c r="B1463" t="s">
        <v>6677</v>
      </c>
      <c r="C1463" t="s">
        <v>6739</v>
      </c>
      <c r="D1463" t="s">
        <v>7101</v>
      </c>
      <c r="E1463" t="s">
        <v>6742</v>
      </c>
      <c r="F1463" t="s">
        <v>6743</v>
      </c>
      <c r="G1463" t="s">
        <v>7054</v>
      </c>
      <c r="H1463" t="s">
        <v>7053</v>
      </c>
      <c r="I1463" t="s">
        <v>9413</v>
      </c>
      <c r="K1463" t="s">
        <v>224</v>
      </c>
      <c r="N1463" t="str">
        <f t="shared" si="66"/>
        <v>Szanowna Pani</v>
      </c>
      <c r="Q1463" s="19" t="s">
        <v>9776</v>
      </c>
      <c r="U1463" t="str">
        <f t="shared" si="65"/>
        <v>tak</v>
      </c>
    </row>
    <row r="1464" spans="1:21">
      <c r="A1464">
        <v>1508</v>
      </c>
      <c r="B1464" t="s">
        <v>6677</v>
      </c>
      <c r="C1464" t="s">
        <v>6739</v>
      </c>
      <c r="D1464" t="s">
        <v>7102</v>
      </c>
      <c r="E1464" t="s">
        <v>6744</v>
      </c>
      <c r="F1464" t="s">
        <v>6745</v>
      </c>
      <c r="G1464" t="s">
        <v>7056</v>
      </c>
      <c r="H1464" t="s">
        <v>7055</v>
      </c>
      <c r="I1464" t="s">
        <v>9414</v>
      </c>
      <c r="K1464" t="s">
        <v>224</v>
      </c>
      <c r="N1464" t="str">
        <f t="shared" si="66"/>
        <v>Szanowna Pani</v>
      </c>
      <c r="Q1464" s="19" t="s">
        <v>9776</v>
      </c>
      <c r="U1464" t="str">
        <f t="shared" si="65"/>
        <v>tak</v>
      </c>
    </row>
    <row r="1465" spans="1:21">
      <c r="A1465">
        <v>1509</v>
      </c>
      <c r="B1465" t="s">
        <v>6677</v>
      </c>
      <c r="C1465" t="s">
        <v>6739</v>
      </c>
      <c r="D1465" t="s">
        <v>7059</v>
      </c>
      <c r="E1465" t="s">
        <v>6746</v>
      </c>
      <c r="F1465" t="s">
        <v>6747</v>
      </c>
      <c r="G1465" t="s">
        <v>7058</v>
      </c>
      <c r="H1465" t="s">
        <v>7057</v>
      </c>
      <c r="I1465" t="s">
        <v>9415</v>
      </c>
      <c r="K1465" t="s">
        <v>164</v>
      </c>
      <c r="N1465" t="str">
        <f t="shared" si="66"/>
        <v>Szanowna Pani</v>
      </c>
      <c r="O1465" s="19" t="s">
        <v>9776</v>
      </c>
      <c r="U1465" t="str">
        <f t="shared" si="65"/>
        <v>tak</v>
      </c>
    </row>
    <row r="1466" spans="1:21">
      <c r="A1466">
        <v>1510</v>
      </c>
      <c r="B1466" t="s">
        <v>6677</v>
      </c>
      <c r="C1466" t="s">
        <v>6739</v>
      </c>
      <c r="D1466" t="s">
        <v>7061</v>
      </c>
      <c r="E1466" t="s">
        <v>6742</v>
      </c>
      <c r="F1466" t="s">
        <v>6748</v>
      </c>
      <c r="G1466" t="s">
        <v>7054</v>
      </c>
      <c r="H1466" t="s">
        <v>7060</v>
      </c>
      <c r="I1466" t="s">
        <v>9416</v>
      </c>
      <c r="K1466" t="s">
        <v>164</v>
      </c>
      <c r="N1466" t="str">
        <f t="shared" si="66"/>
        <v>Szanowny Pan</v>
      </c>
      <c r="O1466" s="19" t="s">
        <v>9776</v>
      </c>
      <c r="U1466" t="str">
        <f t="shared" si="65"/>
        <v>tak</v>
      </c>
    </row>
    <row r="1467" spans="1:21">
      <c r="A1467">
        <v>1511</v>
      </c>
      <c r="B1467" t="s">
        <v>6677</v>
      </c>
      <c r="C1467" t="s">
        <v>6739</v>
      </c>
      <c r="D1467" t="s">
        <v>7064</v>
      </c>
      <c r="E1467" t="s">
        <v>6749</v>
      </c>
      <c r="F1467" t="s">
        <v>6750</v>
      </c>
      <c r="G1467" t="s">
        <v>7063</v>
      </c>
      <c r="H1467" t="s">
        <v>7062</v>
      </c>
      <c r="I1467" t="s">
        <v>9417</v>
      </c>
      <c r="K1467" t="s">
        <v>164</v>
      </c>
      <c r="N1467" t="str">
        <f t="shared" si="66"/>
        <v>Szanowna Pani</v>
      </c>
      <c r="O1467" s="19" t="s">
        <v>9776</v>
      </c>
      <c r="U1467" t="str">
        <f t="shared" si="65"/>
        <v>tak</v>
      </c>
    </row>
    <row r="1468" spans="1:21">
      <c r="A1468">
        <v>1512</v>
      </c>
      <c r="B1468" t="s">
        <v>6677</v>
      </c>
      <c r="C1468" t="s">
        <v>6751</v>
      </c>
      <c r="D1468" t="s">
        <v>7067</v>
      </c>
      <c r="E1468" t="s">
        <v>6752</v>
      </c>
      <c r="F1468" t="s">
        <v>6688</v>
      </c>
      <c r="G1468" t="s">
        <v>7066</v>
      </c>
      <c r="H1468" t="s">
        <v>7065</v>
      </c>
      <c r="I1468" t="s">
        <v>9418</v>
      </c>
      <c r="K1468" t="s">
        <v>164</v>
      </c>
      <c r="N1468" t="str">
        <f t="shared" si="66"/>
        <v>Szanowna Pani</v>
      </c>
      <c r="O1468" s="19" t="s">
        <v>9776</v>
      </c>
      <c r="U1468" t="str">
        <f t="shared" si="65"/>
        <v>tak</v>
      </c>
    </row>
    <row r="1469" spans="1:21">
      <c r="A1469">
        <v>1513</v>
      </c>
      <c r="B1469" t="s">
        <v>6677</v>
      </c>
      <c r="C1469" t="s">
        <v>6753</v>
      </c>
      <c r="D1469" t="s">
        <v>6754</v>
      </c>
      <c r="E1469" t="s">
        <v>6755</v>
      </c>
      <c r="F1469" t="s">
        <v>6756</v>
      </c>
      <c r="G1469" t="s">
        <v>7069</v>
      </c>
      <c r="H1469" t="s">
        <v>7068</v>
      </c>
      <c r="I1469" t="s">
        <v>9419</v>
      </c>
      <c r="K1469" t="s">
        <v>164</v>
      </c>
      <c r="N1469" t="str">
        <f t="shared" si="66"/>
        <v>Szanowna Pani</v>
      </c>
      <c r="O1469" s="19" t="s">
        <v>9776</v>
      </c>
      <c r="U1469" t="str">
        <f t="shared" si="65"/>
        <v>tak</v>
      </c>
    </row>
    <row r="1470" spans="1:21">
      <c r="A1470">
        <v>1514</v>
      </c>
      <c r="B1470" t="s">
        <v>6677</v>
      </c>
      <c r="C1470" t="s">
        <v>6757</v>
      </c>
      <c r="D1470" t="s">
        <v>251</v>
      </c>
      <c r="E1470" t="s">
        <v>7073</v>
      </c>
      <c r="F1470" t="s">
        <v>7072</v>
      </c>
      <c r="G1470" t="s">
        <v>7071</v>
      </c>
      <c r="H1470" t="s">
        <v>7070</v>
      </c>
      <c r="I1470" s="15" t="s">
        <v>9729</v>
      </c>
      <c r="K1470" t="s">
        <v>164</v>
      </c>
      <c r="N1470" t="str">
        <f t="shared" si="66"/>
        <v>Szanowna Pani</v>
      </c>
      <c r="O1470" s="19" t="s">
        <v>9776</v>
      </c>
      <c r="U1470" t="str">
        <f t="shared" si="65"/>
        <v>tak</v>
      </c>
    </row>
    <row r="1471" spans="1:21">
      <c r="A1471">
        <v>1515</v>
      </c>
      <c r="B1471" t="s">
        <v>6677</v>
      </c>
      <c r="C1471" t="s">
        <v>6758</v>
      </c>
      <c r="D1471" t="s">
        <v>6759</v>
      </c>
      <c r="E1471" t="s">
        <v>6760</v>
      </c>
      <c r="F1471" t="s">
        <v>6761</v>
      </c>
      <c r="G1471" t="s">
        <v>7075</v>
      </c>
      <c r="H1471" t="s">
        <v>7074</v>
      </c>
      <c r="I1471" t="s">
        <v>9420</v>
      </c>
      <c r="K1471" t="s">
        <v>164</v>
      </c>
      <c r="N1471" t="str">
        <f t="shared" si="66"/>
        <v>Szanowna Pani</v>
      </c>
      <c r="O1471" s="19" t="s">
        <v>9776</v>
      </c>
      <c r="U1471" t="str">
        <f t="shared" si="65"/>
        <v>tak</v>
      </c>
    </row>
    <row r="1472" spans="1:21">
      <c r="A1472">
        <v>1516</v>
      </c>
      <c r="B1472" t="s">
        <v>6677</v>
      </c>
      <c r="C1472" t="s">
        <v>6762</v>
      </c>
      <c r="D1472" t="s">
        <v>7103</v>
      </c>
      <c r="E1472" t="s">
        <v>6763</v>
      </c>
      <c r="F1472" t="s">
        <v>6764</v>
      </c>
      <c r="G1472" t="s">
        <v>7077</v>
      </c>
      <c r="H1472" t="s">
        <v>7076</v>
      </c>
      <c r="I1472" t="s">
        <v>9421</v>
      </c>
      <c r="K1472" t="s">
        <v>164</v>
      </c>
      <c r="N1472" t="str">
        <f t="shared" si="66"/>
        <v>Szanowna Pani</v>
      </c>
      <c r="O1472" s="19" t="s">
        <v>9776</v>
      </c>
      <c r="U1472" t="str">
        <f t="shared" si="65"/>
        <v>tak</v>
      </c>
    </row>
    <row r="1473" spans="1:21">
      <c r="A1473">
        <v>1517</v>
      </c>
      <c r="B1473" t="s">
        <v>6677</v>
      </c>
      <c r="C1473" t="s">
        <v>6765</v>
      </c>
      <c r="D1473" t="s">
        <v>6766</v>
      </c>
      <c r="E1473" t="s">
        <v>6767</v>
      </c>
      <c r="F1473" t="s">
        <v>6768</v>
      </c>
      <c r="G1473" t="s">
        <v>7079</v>
      </c>
      <c r="H1473" t="s">
        <v>7078</v>
      </c>
      <c r="I1473" t="s">
        <v>9422</v>
      </c>
      <c r="K1473" t="s">
        <v>164</v>
      </c>
      <c r="N1473" t="str">
        <f t="shared" si="66"/>
        <v>Szanowna Pani</v>
      </c>
      <c r="O1473" s="19" t="s">
        <v>9776</v>
      </c>
      <c r="U1473" t="str">
        <f t="shared" si="65"/>
        <v>tak</v>
      </c>
    </row>
    <row r="1474" spans="1:21">
      <c r="A1474">
        <v>1518</v>
      </c>
      <c r="B1474" t="s">
        <v>6677</v>
      </c>
      <c r="C1474" t="s">
        <v>6769</v>
      </c>
      <c r="D1474" t="s">
        <v>6770</v>
      </c>
      <c r="E1474" t="s">
        <v>6771</v>
      </c>
      <c r="F1474" t="s">
        <v>6772</v>
      </c>
      <c r="G1474" t="s">
        <v>7081</v>
      </c>
      <c r="H1474" t="s">
        <v>7080</v>
      </c>
      <c r="I1474" t="s">
        <v>9423</v>
      </c>
      <c r="K1474" t="s">
        <v>164</v>
      </c>
      <c r="N1474" t="str">
        <f t="shared" si="66"/>
        <v>Szanowna Pani</v>
      </c>
      <c r="O1474" s="19" t="s">
        <v>9776</v>
      </c>
      <c r="U1474" t="str">
        <f t="shared" si="65"/>
        <v>tak</v>
      </c>
    </row>
    <row r="1475" spans="1:21">
      <c r="A1475">
        <v>1519</v>
      </c>
      <c r="B1475" t="s">
        <v>6677</v>
      </c>
      <c r="C1475" t="s">
        <v>6773</v>
      </c>
      <c r="D1475" t="s">
        <v>6774</v>
      </c>
      <c r="E1475" t="s">
        <v>6775</v>
      </c>
      <c r="F1475" t="s">
        <v>6776</v>
      </c>
      <c r="G1475" t="s">
        <v>7083</v>
      </c>
      <c r="H1475" t="s">
        <v>7082</v>
      </c>
      <c r="I1475" t="s">
        <v>9424</v>
      </c>
      <c r="K1475" t="s">
        <v>164</v>
      </c>
      <c r="N1475" t="str">
        <f t="shared" si="66"/>
        <v>Szanowna Pani</v>
      </c>
      <c r="O1475" s="19" t="s">
        <v>9776</v>
      </c>
      <c r="U1475" t="str">
        <f t="shared" ref="U1475:U1539" si="67">+O1475 &amp;P1475&amp;Q1475</f>
        <v>tak</v>
      </c>
    </row>
    <row r="1476" spans="1:21">
      <c r="A1476">
        <v>1520</v>
      </c>
      <c r="B1476" t="s">
        <v>6677</v>
      </c>
      <c r="C1476" t="s">
        <v>6777</v>
      </c>
      <c r="D1476" t="s">
        <v>246</v>
      </c>
      <c r="E1476" t="s">
        <v>6778</v>
      </c>
      <c r="F1476" t="s">
        <v>6502</v>
      </c>
      <c r="G1476" t="s">
        <v>7085</v>
      </c>
      <c r="H1476" t="s">
        <v>7084</v>
      </c>
      <c r="I1476" t="s">
        <v>9425</v>
      </c>
      <c r="K1476" t="s">
        <v>164</v>
      </c>
      <c r="N1476" t="str">
        <f t="shared" si="66"/>
        <v>Szanowna Pani</v>
      </c>
      <c r="O1476" s="19" t="s">
        <v>9776</v>
      </c>
      <c r="U1476" t="str">
        <f t="shared" si="67"/>
        <v>tak</v>
      </c>
    </row>
    <row r="1477" spans="1:21">
      <c r="A1477">
        <v>1521</v>
      </c>
      <c r="B1477" t="s">
        <v>6677</v>
      </c>
      <c r="C1477" t="s">
        <v>6779</v>
      </c>
      <c r="D1477" t="s">
        <v>6780</v>
      </c>
      <c r="E1477" t="s">
        <v>6492</v>
      </c>
      <c r="F1477" t="s">
        <v>6781</v>
      </c>
      <c r="G1477" t="s">
        <v>7087</v>
      </c>
      <c r="H1477" t="s">
        <v>7086</v>
      </c>
      <c r="I1477" t="s">
        <v>9426</v>
      </c>
      <c r="K1477" t="s">
        <v>164</v>
      </c>
      <c r="N1477" t="str">
        <f t="shared" si="66"/>
        <v>Szanowna Pani</v>
      </c>
      <c r="O1477" s="19" t="s">
        <v>9776</v>
      </c>
      <c r="U1477" t="str">
        <f t="shared" si="67"/>
        <v>tak</v>
      </c>
    </row>
    <row r="1478" spans="1:21">
      <c r="A1478">
        <v>1522</v>
      </c>
      <c r="B1478" t="s">
        <v>6677</v>
      </c>
      <c r="C1478" t="s">
        <v>6779</v>
      </c>
      <c r="D1478" t="s">
        <v>6780</v>
      </c>
      <c r="E1478" t="s">
        <v>6492</v>
      </c>
      <c r="F1478" t="s">
        <v>6781</v>
      </c>
      <c r="G1478" t="s">
        <v>7087</v>
      </c>
      <c r="H1478" t="s">
        <v>7088</v>
      </c>
      <c r="I1478" t="s">
        <v>9427</v>
      </c>
      <c r="K1478" t="s">
        <v>164</v>
      </c>
      <c r="N1478" t="str">
        <f t="shared" si="66"/>
        <v>Szanowna Pani</v>
      </c>
      <c r="O1478" s="19" t="s">
        <v>9776</v>
      </c>
      <c r="U1478" t="str">
        <f t="shared" si="67"/>
        <v>tak</v>
      </c>
    </row>
    <row r="1479" spans="1:21">
      <c r="A1479">
        <v>1523</v>
      </c>
      <c r="B1479" t="s">
        <v>6677</v>
      </c>
      <c r="C1479" t="s">
        <v>6779</v>
      </c>
      <c r="D1479" t="s">
        <v>5761</v>
      </c>
      <c r="E1479" t="s">
        <v>6782</v>
      </c>
      <c r="F1479" t="s">
        <v>6781</v>
      </c>
      <c r="G1479" t="s">
        <v>7090</v>
      </c>
      <c r="H1479" t="s">
        <v>7089</v>
      </c>
      <c r="I1479" t="s">
        <v>9428</v>
      </c>
      <c r="K1479" t="s">
        <v>165</v>
      </c>
      <c r="N1479" t="str">
        <f t="shared" si="66"/>
        <v>Szanowna Pani</v>
      </c>
      <c r="P1479" s="19" t="s">
        <v>9776</v>
      </c>
      <c r="U1479" t="str">
        <f t="shared" si="67"/>
        <v>tak</v>
      </c>
    </row>
    <row r="1480" spans="1:21">
      <c r="A1480">
        <v>1524</v>
      </c>
      <c r="B1480" t="s">
        <v>7134</v>
      </c>
      <c r="C1480" t="s">
        <v>9784</v>
      </c>
      <c r="D1480" t="s">
        <v>1045</v>
      </c>
      <c r="E1480" t="s">
        <v>9785</v>
      </c>
      <c r="F1480" t="s">
        <v>9786</v>
      </c>
      <c r="G1480" t="s">
        <v>9787</v>
      </c>
      <c r="H1480" t="s">
        <v>9788</v>
      </c>
      <c r="I1480" s="15" t="s">
        <v>9789</v>
      </c>
      <c r="K1480" t="s">
        <v>164</v>
      </c>
      <c r="N1480" t="str">
        <f t="shared" si="66"/>
        <v>Szanowna Pani</v>
      </c>
      <c r="O1480" s="19" t="s">
        <v>9776</v>
      </c>
      <c r="P1480" s="19"/>
    </row>
    <row r="1481" spans="1:21">
      <c r="A1481">
        <v>1525</v>
      </c>
      <c r="B1481" t="s">
        <v>7134</v>
      </c>
      <c r="C1481" t="s">
        <v>9784</v>
      </c>
      <c r="D1481" t="s">
        <v>251</v>
      </c>
      <c r="E1481" t="s">
        <v>7164</v>
      </c>
      <c r="F1481" t="s">
        <v>7163</v>
      </c>
      <c r="G1481" t="s">
        <v>9787</v>
      </c>
      <c r="H1481" t="s">
        <v>7162</v>
      </c>
      <c r="I1481" t="s">
        <v>9429</v>
      </c>
      <c r="K1481" t="s">
        <v>224</v>
      </c>
      <c r="N1481" t="str">
        <f t="shared" si="66"/>
        <v>Szanowna Pani</v>
      </c>
      <c r="Q1481" s="19" t="s">
        <v>9776</v>
      </c>
      <c r="U1481" t="str">
        <f t="shared" si="67"/>
        <v>tak</v>
      </c>
    </row>
    <row r="1482" spans="1:21">
      <c r="A1482">
        <v>1526</v>
      </c>
      <c r="B1482" t="s">
        <v>7134</v>
      </c>
      <c r="C1482" t="s">
        <v>9784</v>
      </c>
      <c r="D1482" t="s">
        <v>9690</v>
      </c>
      <c r="E1482" t="s">
        <v>9691</v>
      </c>
      <c r="F1482" t="s">
        <v>9692</v>
      </c>
      <c r="G1482" t="s">
        <v>7166</v>
      </c>
      <c r="H1482" t="s">
        <v>5973</v>
      </c>
      <c r="I1482" t="s">
        <v>9430</v>
      </c>
      <c r="K1482" t="s">
        <v>7165</v>
      </c>
      <c r="N1482" t="str">
        <f t="shared" si="66"/>
        <v>Szanowna Pani</v>
      </c>
      <c r="O1482" s="19" t="s">
        <v>9776</v>
      </c>
      <c r="U1482" t="str">
        <f t="shared" si="67"/>
        <v>tak</v>
      </c>
    </row>
    <row r="1483" spans="1:21">
      <c r="A1483">
        <v>1527</v>
      </c>
      <c r="B1483" t="s">
        <v>7134</v>
      </c>
      <c r="C1483" t="s">
        <v>9784</v>
      </c>
      <c r="D1483" t="s">
        <v>7171</v>
      </c>
      <c r="E1483" t="s">
        <v>7170</v>
      </c>
      <c r="F1483" t="s">
        <v>7169</v>
      </c>
      <c r="G1483" t="s">
        <v>7168</v>
      </c>
      <c r="H1483" t="s">
        <v>7167</v>
      </c>
      <c r="I1483" t="s">
        <v>9431</v>
      </c>
      <c r="K1483" t="s">
        <v>164</v>
      </c>
      <c r="N1483" t="str">
        <f t="shared" si="66"/>
        <v>Szanowna Pani</v>
      </c>
      <c r="O1483" s="19" t="s">
        <v>9776</v>
      </c>
      <c r="U1483" t="str">
        <f t="shared" si="67"/>
        <v>tak</v>
      </c>
    </row>
    <row r="1484" spans="1:21">
      <c r="A1484">
        <v>1528</v>
      </c>
      <c r="B1484" t="s">
        <v>7134</v>
      </c>
      <c r="C1484" t="s">
        <v>9784</v>
      </c>
      <c r="D1484" t="s">
        <v>251</v>
      </c>
      <c r="E1484" t="s">
        <v>7170</v>
      </c>
      <c r="F1484" t="s">
        <v>7169</v>
      </c>
      <c r="G1484" t="s">
        <v>7168</v>
      </c>
      <c r="H1484" t="s">
        <v>7172</v>
      </c>
      <c r="I1484" t="s">
        <v>9432</v>
      </c>
      <c r="K1484" t="s">
        <v>165</v>
      </c>
      <c r="N1484" t="str">
        <f t="shared" si="66"/>
        <v>Szanowna Pani</v>
      </c>
      <c r="P1484" s="19" t="s">
        <v>9776</v>
      </c>
      <c r="U1484" t="str">
        <f t="shared" si="67"/>
        <v>tak</v>
      </c>
    </row>
    <row r="1485" spans="1:21">
      <c r="A1485">
        <v>1529</v>
      </c>
      <c r="B1485" t="s">
        <v>7134</v>
      </c>
      <c r="C1485" t="s">
        <v>9784</v>
      </c>
      <c r="D1485" t="s">
        <v>3443</v>
      </c>
      <c r="E1485" t="s">
        <v>7177</v>
      </c>
      <c r="F1485" t="s">
        <v>7176</v>
      </c>
      <c r="G1485" t="s">
        <v>7175</v>
      </c>
      <c r="H1485" t="s">
        <v>7174</v>
      </c>
      <c r="I1485" t="s">
        <v>9433</v>
      </c>
      <c r="K1485" t="s">
        <v>7173</v>
      </c>
      <c r="N1485" t="str">
        <f t="shared" si="66"/>
        <v>Szanowna Pani</v>
      </c>
      <c r="O1485" s="19" t="s">
        <v>9776</v>
      </c>
      <c r="U1485" t="str">
        <f t="shared" si="67"/>
        <v>tak</v>
      </c>
    </row>
    <row r="1486" spans="1:21">
      <c r="A1486">
        <v>1530</v>
      </c>
      <c r="B1486" t="s">
        <v>7134</v>
      </c>
      <c r="C1486" t="s">
        <v>9784</v>
      </c>
      <c r="D1486" t="s">
        <v>251</v>
      </c>
      <c r="E1486" t="s">
        <v>7170</v>
      </c>
      <c r="F1486" t="s">
        <v>7169</v>
      </c>
      <c r="G1486" t="s">
        <v>7168</v>
      </c>
      <c r="H1486" t="s">
        <v>7179</v>
      </c>
      <c r="I1486" t="s">
        <v>9434</v>
      </c>
      <c r="K1486" t="s">
        <v>7178</v>
      </c>
      <c r="N1486" t="str">
        <f t="shared" si="66"/>
        <v>Szanowna Pani</v>
      </c>
      <c r="O1486" s="19" t="s">
        <v>9776</v>
      </c>
      <c r="S1486" t="s">
        <v>9712</v>
      </c>
      <c r="U1486" t="str">
        <f t="shared" si="67"/>
        <v>tak</v>
      </c>
    </row>
    <row r="1487" spans="1:21">
      <c r="A1487">
        <v>1531</v>
      </c>
      <c r="B1487" t="s">
        <v>7134</v>
      </c>
      <c r="C1487" t="s">
        <v>9784</v>
      </c>
      <c r="D1487" t="s">
        <v>251</v>
      </c>
      <c r="E1487" t="s">
        <v>7170</v>
      </c>
      <c r="F1487" t="s">
        <v>7169</v>
      </c>
      <c r="G1487" t="s">
        <v>7181</v>
      </c>
      <c r="H1487" t="s">
        <v>827</v>
      </c>
      <c r="I1487" t="s">
        <v>9435</v>
      </c>
      <c r="K1487" t="s">
        <v>7180</v>
      </c>
      <c r="N1487" t="str">
        <f t="shared" si="66"/>
        <v>Szanowna Pani</v>
      </c>
      <c r="O1487" s="19" t="s">
        <v>9776</v>
      </c>
      <c r="U1487" t="str">
        <f t="shared" si="67"/>
        <v>tak</v>
      </c>
    </row>
    <row r="1488" spans="1:21">
      <c r="A1488">
        <v>1532</v>
      </c>
      <c r="B1488" t="s">
        <v>7134</v>
      </c>
      <c r="C1488" t="s">
        <v>7135</v>
      </c>
      <c r="D1488" t="s">
        <v>7186</v>
      </c>
      <c r="E1488" t="s">
        <v>7185</v>
      </c>
      <c r="F1488" t="s">
        <v>7184</v>
      </c>
      <c r="G1488" t="s">
        <v>7182</v>
      </c>
      <c r="H1488" t="s">
        <v>7183</v>
      </c>
      <c r="I1488" t="s">
        <v>9436</v>
      </c>
      <c r="K1488" t="s">
        <v>165</v>
      </c>
      <c r="N1488" t="str">
        <f t="shared" si="66"/>
        <v>Szanowny Pan</v>
      </c>
      <c r="P1488" s="19" t="s">
        <v>9776</v>
      </c>
      <c r="U1488" t="str">
        <f t="shared" si="67"/>
        <v>tak</v>
      </c>
    </row>
    <row r="1489" spans="1:21">
      <c r="A1489">
        <v>1533</v>
      </c>
      <c r="B1489" t="s">
        <v>7134</v>
      </c>
      <c r="C1489" t="s">
        <v>7135</v>
      </c>
      <c r="D1489" t="s">
        <v>7190</v>
      </c>
      <c r="E1489" t="s">
        <v>3298</v>
      </c>
      <c r="F1489" t="s">
        <v>7189</v>
      </c>
      <c r="G1489" t="s">
        <v>7187</v>
      </c>
      <c r="H1489" t="s">
        <v>7188</v>
      </c>
      <c r="I1489" t="s">
        <v>9437</v>
      </c>
      <c r="K1489" t="s">
        <v>164</v>
      </c>
      <c r="N1489" t="str">
        <f t="shared" si="66"/>
        <v>Szanowna Pani</v>
      </c>
      <c r="O1489" s="19" t="s">
        <v>9776</v>
      </c>
      <c r="U1489" t="str">
        <f t="shared" si="67"/>
        <v>tak</v>
      </c>
    </row>
    <row r="1490" spans="1:21">
      <c r="A1490">
        <v>1534</v>
      </c>
      <c r="B1490" t="s">
        <v>7134</v>
      </c>
      <c r="C1490" t="s">
        <v>7135</v>
      </c>
      <c r="D1490" t="s">
        <v>7193</v>
      </c>
      <c r="E1490" t="s">
        <v>7192</v>
      </c>
      <c r="F1490" t="s">
        <v>7189</v>
      </c>
      <c r="G1490" t="s">
        <v>7187</v>
      </c>
      <c r="H1490" t="s">
        <v>7191</v>
      </c>
      <c r="I1490" t="s">
        <v>9438</v>
      </c>
      <c r="K1490" t="s">
        <v>224</v>
      </c>
      <c r="N1490" t="str">
        <f t="shared" si="66"/>
        <v>Szanowna Pani</v>
      </c>
      <c r="Q1490" s="19" t="s">
        <v>9776</v>
      </c>
      <c r="U1490" t="str">
        <f t="shared" si="67"/>
        <v>tak</v>
      </c>
    </row>
    <row r="1491" spans="1:21">
      <c r="A1491">
        <v>1535</v>
      </c>
      <c r="B1491" t="s">
        <v>7134</v>
      </c>
      <c r="C1491" t="s">
        <v>7135</v>
      </c>
      <c r="D1491" t="s">
        <v>7199</v>
      </c>
      <c r="E1491" t="s">
        <v>7198</v>
      </c>
      <c r="F1491" t="s">
        <v>7197</v>
      </c>
      <c r="G1491" t="s">
        <v>7196</v>
      </c>
      <c r="H1491" t="s">
        <v>7195</v>
      </c>
      <c r="I1491" t="s">
        <v>9439</v>
      </c>
      <c r="K1491" t="s">
        <v>7194</v>
      </c>
      <c r="N1491" t="str">
        <f t="shared" si="66"/>
        <v>Szanowna Pani</v>
      </c>
      <c r="O1491" s="19" t="s">
        <v>9776</v>
      </c>
      <c r="U1491" t="str">
        <f t="shared" si="67"/>
        <v>tak</v>
      </c>
    </row>
    <row r="1492" spans="1:21">
      <c r="A1492">
        <v>1536</v>
      </c>
      <c r="B1492" t="s">
        <v>7134</v>
      </c>
      <c r="C1492" t="s">
        <v>7135</v>
      </c>
      <c r="D1492" t="s">
        <v>3007</v>
      </c>
      <c r="E1492" t="s">
        <v>7198</v>
      </c>
      <c r="F1492" t="s">
        <v>7197</v>
      </c>
      <c r="G1492" t="s">
        <v>7196</v>
      </c>
      <c r="H1492" t="s">
        <v>7195</v>
      </c>
      <c r="I1492" t="s">
        <v>9439</v>
      </c>
      <c r="K1492" t="s">
        <v>7200</v>
      </c>
      <c r="N1492" t="str">
        <f t="shared" si="66"/>
        <v>Szanowna Pani</v>
      </c>
      <c r="O1492" s="19" t="s">
        <v>9776</v>
      </c>
      <c r="U1492" t="str">
        <f t="shared" si="67"/>
        <v>tak</v>
      </c>
    </row>
    <row r="1493" spans="1:21">
      <c r="A1493">
        <v>1537</v>
      </c>
      <c r="B1493" t="s">
        <v>7134</v>
      </c>
      <c r="C1493" t="s">
        <v>7135</v>
      </c>
      <c r="D1493" t="s">
        <v>7205</v>
      </c>
      <c r="E1493" t="s">
        <v>1013</v>
      </c>
      <c r="F1493" t="s">
        <v>7204</v>
      </c>
      <c r="G1493" t="s">
        <v>7203</v>
      </c>
      <c r="H1493" t="s">
        <v>7202</v>
      </c>
      <c r="I1493" t="s">
        <v>9440</v>
      </c>
      <c r="K1493" t="s">
        <v>7201</v>
      </c>
      <c r="N1493" t="str">
        <f t="shared" si="66"/>
        <v>Szanowna Pani</v>
      </c>
      <c r="O1493" s="19" t="s">
        <v>9776</v>
      </c>
      <c r="U1493" t="str">
        <f t="shared" si="67"/>
        <v>tak</v>
      </c>
    </row>
    <row r="1494" spans="1:21">
      <c r="A1494">
        <v>1538</v>
      </c>
      <c r="B1494" t="s">
        <v>7134</v>
      </c>
      <c r="C1494" t="s">
        <v>7135</v>
      </c>
      <c r="D1494" t="s">
        <v>7210</v>
      </c>
      <c r="E1494" t="s">
        <v>7209</v>
      </c>
      <c r="F1494" t="s">
        <v>7208</v>
      </c>
      <c r="G1494" t="s">
        <v>7207</v>
      </c>
      <c r="H1494" t="s">
        <v>7206</v>
      </c>
      <c r="I1494" t="s">
        <v>9441</v>
      </c>
      <c r="K1494" t="s">
        <v>164</v>
      </c>
      <c r="N1494" t="str">
        <f t="shared" si="66"/>
        <v>Szanowna Pani</v>
      </c>
      <c r="O1494" s="19" t="s">
        <v>9776</v>
      </c>
      <c r="U1494" t="str">
        <f t="shared" si="67"/>
        <v>tak</v>
      </c>
    </row>
    <row r="1495" spans="1:21">
      <c r="A1495">
        <v>1539</v>
      </c>
      <c r="B1495" t="s">
        <v>7134</v>
      </c>
      <c r="C1495" t="s">
        <v>7135</v>
      </c>
      <c r="D1495" t="s">
        <v>7215</v>
      </c>
      <c r="E1495" t="s">
        <v>7214</v>
      </c>
      <c r="F1495" t="s">
        <v>7213</v>
      </c>
      <c r="G1495" t="s">
        <v>7212</v>
      </c>
      <c r="H1495" t="s">
        <v>7211</v>
      </c>
      <c r="I1495" t="s">
        <v>9442</v>
      </c>
      <c r="K1495" t="s">
        <v>164</v>
      </c>
      <c r="N1495" t="str">
        <f t="shared" si="66"/>
        <v>Szanowna Pani</v>
      </c>
      <c r="O1495" s="19" t="s">
        <v>9776</v>
      </c>
      <c r="U1495" t="str">
        <f t="shared" si="67"/>
        <v>tak</v>
      </c>
    </row>
    <row r="1496" spans="1:21">
      <c r="A1496">
        <v>1540</v>
      </c>
      <c r="B1496" t="s">
        <v>7134</v>
      </c>
      <c r="C1496" t="s">
        <v>7135</v>
      </c>
      <c r="D1496" t="s">
        <v>7221</v>
      </c>
      <c r="E1496" t="s">
        <v>7220</v>
      </c>
      <c r="F1496" t="s">
        <v>7219</v>
      </c>
      <c r="G1496" t="s">
        <v>7218</v>
      </c>
      <c r="H1496" t="s">
        <v>7217</v>
      </c>
      <c r="I1496" t="s">
        <v>9443</v>
      </c>
      <c r="K1496" t="s">
        <v>7216</v>
      </c>
      <c r="N1496" t="str">
        <f t="shared" si="66"/>
        <v>Szanowna Pani</v>
      </c>
      <c r="O1496" s="19" t="s">
        <v>9776</v>
      </c>
      <c r="U1496" t="str">
        <f t="shared" si="67"/>
        <v>tak</v>
      </c>
    </row>
    <row r="1497" spans="1:21">
      <c r="A1497">
        <v>1541</v>
      </c>
      <c r="B1497" t="s">
        <v>7134</v>
      </c>
      <c r="C1497" t="s">
        <v>7135</v>
      </c>
      <c r="D1497" t="s">
        <v>251</v>
      </c>
      <c r="E1497" t="s">
        <v>7220</v>
      </c>
      <c r="F1497" t="s">
        <v>7219</v>
      </c>
      <c r="G1497" t="s">
        <v>7218</v>
      </c>
      <c r="H1497" t="s">
        <v>7217</v>
      </c>
      <c r="I1497" t="s">
        <v>9443</v>
      </c>
      <c r="K1497" t="s">
        <v>7222</v>
      </c>
      <c r="N1497" t="str">
        <f t="shared" ref="N1497:N1560" si="68">IF(ISERROR(FIND(",",H1497)),IF(MID(H1497,FIND(" ",H1497)-1,1)="a","Szanowna Pani","Szanowny Pan"), "Szanowne Panie")</f>
        <v>Szanowna Pani</v>
      </c>
      <c r="Q1497" s="19" t="s">
        <v>9776</v>
      </c>
      <c r="U1497" t="str">
        <f t="shared" si="67"/>
        <v>tak</v>
      </c>
    </row>
    <row r="1498" spans="1:21">
      <c r="A1498">
        <v>1542</v>
      </c>
      <c r="B1498" t="s">
        <v>7134</v>
      </c>
      <c r="C1498" t="s">
        <v>7135</v>
      </c>
      <c r="D1498" t="s">
        <v>166</v>
      </c>
      <c r="E1498" t="s">
        <v>7227</v>
      </c>
      <c r="F1498" t="s">
        <v>7226</v>
      </c>
      <c r="G1498" t="s">
        <v>7225</v>
      </c>
      <c r="H1498" t="s">
        <v>7224</v>
      </c>
      <c r="I1498" t="s">
        <v>9444</v>
      </c>
      <c r="K1498" t="s">
        <v>7223</v>
      </c>
      <c r="N1498" t="str">
        <f t="shared" si="68"/>
        <v>Szanowne Panie</v>
      </c>
      <c r="Q1498" s="19" t="s">
        <v>9776</v>
      </c>
      <c r="U1498" t="str">
        <f t="shared" si="67"/>
        <v>tak</v>
      </c>
    </row>
    <row r="1499" spans="1:21">
      <c r="A1499">
        <v>1543</v>
      </c>
      <c r="B1499" t="s">
        <v>7134</v>
      </c>
      <c r="C1499" t="s">
        <v>7135</v>
      </c>
      <c r="D1499" t="s">
        <v>166</v>
      </c>
      <c r="E1499" t="s">
        <v>7227</v>
      </c>
      <c r="F1499" t="s">
        <v>7226</v>
      </c>
      <c r="G1499" t="s">
        <v>7225</v>
      </c>
      <c r="H1499" t="s">
        <v>7228</v>
      </c>
      <c r="I1499" t="s">
        <v>9445</v>
      </c>
      <c r="K1499" t="s">
        <v>7733</v>
      </c>
      <c r="N1499" t="str">
        <f t="shared" si="68"/>
        <v>Szanowna Pani</v>
      </c>
      <c r="O1499" s="19" t="s">
        <v>9776</v>
      </c>
      <c r="U1499" t="str">
        <f t="shared" si="67"/>
        <v>tak</v>
      </c>
    </row>
    <row r="1500" spans="1:21">
      <c r="A1500">
        <v>1544</v>
      </c>
      <c r="B1500" t="s">
        <v>7134</v>
      </c>
      <c r="C1500" t="s">
        <v>7136</v>
      </c>
      <c r="D1500" t="s">
        <v>7232</v>
      </c>
      <c r="E1500" t="s">
        <v>3254</v>
      </c>
      <c r="F1500" t="s">
        <v>7231</v>
      </c>
      <c r="G1500" t="s">
        <v>7230</v>
      </c>
      <c r="H1500" t="s">
        <v>7229</v>
      </c>
      <c r="I1500" t="s">
        <v>9446</v>
      </c>
      <c r="K1500" t="s">
        <v>164</v>
      </c>
      <c r="N1500" t="str">
        <f t="shared" si="68"/>
        <v>Szanowna Pani</v>
      </c>
      <c r="O1500" s="19" t="s">
        <v>9776</v>
      </c>
      <c r="S1500" t="s">
        <v>9712</v>
      </c>
      <c r="U1500" t="str">
        <f t="shared" si="67"/>
        <v>tak</v>
      </c>
    </row>
    <row r="1501" spans="1:21">
      <c r="A1501">
        <v>1545</v>
      </c>
      <c r="B1501" t="s">
        <v>7134</v>
      </c>
      <c r="C1501" t="s">
        <v>5764</v>
      </c>
      <c r="D1501" t="s">
        <v>166</v>
      </c>
      <c r="E1501" t="s">
        <v>7137</v>
      </c>
      <c r="F1501" t="s">
        <v>7138</v>
      </c>
      <c r="G1501" t="s">
        <v>7234</v>
      </c>
      <c r="H1501" t="s">
        <v>7233</v>
      </c>
      <c r="I1501" s="15" t="s">
        <v>9731</v>
      </c>
      <c r="K1501" t="s">
        <v>164</v>
      </c>
      <c r="N1501" t="str">
        <f t="shared" si="68"/>
        <v>Szanowna Pani</v>
      </c>
      <c r="O1501" s="19" t="s">
        <v>9776</v>
      </c>
      <c r="U1501" t="str">
        <f t="shared" si="67"/>
        <v>tak</v>
      </c>
    </row>
    <row r="1502" spans="1:21">
      <c r="A1502">
        <v>1546</v>
      </c>
      <c r="B1502" t="s">
        <v>7134</v>
      </c>
      <c r="C1502" t="s">
        <v>5764</v>
      </c>
      <c r="D1502" t="s">
        <v>166</v>
      </c>
      <c r="E1502" t="s">
        <v>7137</v>
      </c>
      <c r="F1502" t="s">
        <v>7138</v>
      </c>
      <c r="G1502" t="s">
        <v>7235</v>
      </c>
      <c r="H1502" t="s">
        <v>7233</v>
      </c>
      <c r="I1502" s="15" t="s">
        <v>9731</v>
      </c>
      <c r="K1502" t="s">
        <v>165</v>
      </c>
      <c r="N1502" t="str">
        <f t="shared" si="68"/>
        <v>Szanowna Pani</v>
      </c>
      <c r="P1502" s="19" t="s">
        <v>9776</v>
      </c>
      <c r="U1502" t="str">
        <f t="shared" si="67"/>
        <v>tak</v>
      </c>
    </row>
    <row r="1503" spans="1:21">
      <c r="A1503">
        <v>1547</v>
      </c>
      <c r="B1503" t="s">
        <v>7134</v>
      </c>
      <c r="C1503" t="s">
        <v>5764</v>
      </c>
      <c r="D1503" t="s">
        <v>7239</v>
      </c>
      <c r="E1503" t="s">
        <v>274</v>
      </c>
      <c r="F1503" t="s">
        <v>7238</v>
      </c>
      <c r="G1503" t="s">
        <v>7237</v>
      </c>
      <c r="H1503" t="s">
        <v>7236</v>
      </c>
      <c r="I1503" t="s">
        <v>9447</v>
      </c>
      <c r="K1503" t="s">
        <v>164</v>
      </c>
      <c r="N1503" t="str">
        <f t="shared" si="68"/>
        <v>Szanowna Pani</v>
      </c>
      <c r="O1503" s="19" t="s">
        <v>9776</v>
      </c>
      <c r="U1503" t="str">
        <f t="shared" si="67"/>
        <v>tak</v>
      </c>
    </row>
    <row r="1504" spans="1:21">
      <c r="A1504">
        <v>1548</v>
      </c>
      <c r="B1504" t="s">
        <v>7134</v>
      </c>
      <c r="C1504" t="s">
        <v>5764</v>
      </c>
      <c r="D1504" t="s">
        <v>7244</v>
      </c>
      <c r="E1504" t="s">
        <v>7243</v>
      </c>
      <c r="F1504" t="s">
        <v>7242</v>
      </c>
      <c r="G1504" t="s">
        <v>7241</v>
      </c>
      <c r="H1504" t="s">
        <v>7240</v>
      </c>
      <c r="I1504" t="s">
        <v>9448</v>
      </c>
      <c r="K1504" t="s">
        <v>164</v>
      </c>
      <c r="N1504" t="str">
        <f t="shared" si="68"/>
        <v>Szanowna Pani</v>
      </c>
      <c r="O1504" s="19" t="s">
        <v>9776</v>
      </c>
      <c r="U1504" t="str">
        <f t="shared" si="67"/>
        <v>tak</v>
      </c>
    </row>
    <row r="1505" spans="1:21">
      <c r="A1505">
        <v>1549</v>
      </c>
      <c r="B1505" t="s">
        <v>7134</v>
      </c>
      <c r="C1505" t="s">
        <v>5764</v>
      </c>
      <c r="D1505" t="s">
        <v>7249</v>
      </c>
      <c r="E1505" t="s">
        <v>7248</v>
      </c>
      <c r="F1505" t="s">
        <v>7247</v>
      </c>
      <c r="G1505" t="s">
        <v>7246</v>
      </c>
      <c r="H1505" t="s">
        <v>7245</v>
      </c>
      <c r="I1505" t="s">
        <v>9449</v>
      </c>
      <c r="K1505" t="s">
        <v>164</v>
      </c>
      <c r="N1505" t="str">
        <f t="shared" si="68"/>
        <v>Szanowna Pani</v>
      </c>
      <c r="O1505" s="19" t="s">
        <v>9776</v>
      </c>
      <c r="U1505" t="str">
        <f t="shared" si="67"/>
        <v>tak</v>
      </c>
    </row>
    <row r="1506" spans="1:21">
      <c r="A1506">
        <v>1550</v>
      </c>
      <c r="B1506" t="s">
        <v>7134</v>
      </c>
      <c r="C1506" t="s">
        <v>5764</v>
      </c>
      <c r="D1506" t="s">
        <v>7253</v>
      </c>
      <c r="E1506" t="s">
        <v>7252</v>
      </c>
      <c r="G1506" t="s">
        <v>7251</v>
      </c>
      <c r="H1506" t="s">
        <v>7250</v>
      </c>
      <c r="I1506" t="s">
        <v>9450</v>
      </c>
      <c r="K1506" t="s">
        <v>164</v>
      </c>
      <c r="N1506" t="str">
        <f t="shared" si="68"/>
        <v>Szanowna Pani</v>
      </c>
      <c r="O1506" s="19" t="s">
        <v>9776</v>
      </c>
      <c r="U1506" t="str">
        <f t="shared" si="67"/>
        <v>tak</v>
      </c>
    </row>
    <row r="1507" spans="1:21">
      <c r="A1507">
        <v>1551</v>
      </c>
      <c r="B1507" t="s">
        <v>7134</v>
      </c>
      <c r="C1507" t="s">
        <v>5764</v>
      </c>
      <c r="D1507" t="s">
        <v>7258</v>
      </c>
      <c r="E1507" t="s">
        <v>7257</v>
      </c>
      <c r="F1507" t="s">
        <v>7256</v>
      </c>
      <c r="G1507" t="s">
        <v>7255</v>
      </c>
      <c r="H1507" t="s">
        <v>7254</v>
      </c>
      <c r="I1507" s="15" t="s">
        <v>9732</v>
      </c>
      <c r="K1507" t="s">
        <v>164</v>
      </c>
      <c r="N1507" t="str">
        <f t="shared" si="68"/>
        <v>Szanowna Pani</v>
      </c>
      <c r="O1507" s="19" t="s">
        <v>9776</v>
      </c>
      <c r="U1507" t="str">
        <f t="shared" si="67"/>
        <v>tak</v>
      </c>
    </row>
    <row r="1508" spans="1:21">
      <c r="A1508">
        <v>1552</v>
      </c>
      <c r="B1508" t="s">
        <v>7134</v>
      </c>
      <c r="C1508" t="s">
        <v>5764</v>
      </c>
      <c r="D1508" t="s">
        <v>7264</v>
      </c>
      <c r="E1508" t="s">
        <v>7263</v>
      </c>
      <c r="F1508" t="s">
        <v>7262</v>
      </c>
      <c r="G1508" t="s">
        <v>7261</v>
      </c>
      <c r="H1508" t="s">
        <v>7260</v>
      </c>
      <c r="I1508" t="s">
        <v>9451</v>
      </c>
      <c r="K1508" t="s">
        <v>7259</v>
      </c>
      <c r="N1508" t="str">
        <f t="shared" si="68"/>
        <v>Szanowna Pani</v>
      </c>
      <c r="O1508" s="19" t="s">
        <v>9776</v>
      </c>
      <c r="U1508" t="str">
        <f t="shared" si="67"/>
        <v>tak</v>
      </c>
    </row>
    <row r="1509" spans="1:21">
      <c r="A1509">
        <v>1553</v>
      </c>
      <c r="B1509" t="s">
        <v>7134</v>
      </c>
      <c r="C1509" t="s">
        <v>5764</v>
      </c>
      <c r="D1509" t="s">
        <v>7270</v>
      </c>
      <c r="E1509" t="s">
        <v>7269</v>
      </c>
      <c r="F1509" t="s">
        <v>7268</v>
      </c>
      <c r="G1509" t="s">
        <v>7267</v>
      </c>
      <c r="H1509" t="s">
        <v>7266</v>
      </c>
      <c r="I1509" t="s">
        <v>9452</v>
      </c>
      <c r="K1509" t="s">
        <v>7265</v>
      </c>
      <c r="N1509" t="str">
        <f t="shared" si="68"/>
        <v>Szanowna Pani</v>
      </c>
      <c r="O1509" s="19" t="s">
        <v>9776</v>
      </c>
      <c r="U1509" t="str">
        <f t="shared" si="67"/>
        <v>tak</v>
      </c>
    </row>
    <row r="1510" spans="1:21">
      <c r="A1510">
        <v>1554</v>
      </c>
      <c r="B1510" t="s">
        <v>7134</v>
      </c>
      <c r="C1510" t="s">
        <v>5764</v>
      </c>
      <c r="D1510" t="s">
        <v>3443</v>
      </c>
      <c r="E1510" t="s">
        <v>7273</v>
      </c>
      <c r="F1510" t="s">
        <v>7268</v>
      </c>
      <c r="G1510" t="s">
        <v>7272</v>
      </c>
      <c r="H1510" t="s">
        <v>7271</v>
      </c>
      <c r="I1510" t="s">
        <v>9453</v>
      </c>
      <c r="K1510" t="s">
        <v>164</v>
      </c>
      <c r="N1510" t="str">
        <f t="shared" si="68"/>
        <v>Szanowna Pani</v>
      </c>
      <c r="O1510" s="19" t="s">
        <v>9776</v>
      </c>
      <c r="U1510" t="str">
        <f t="shared" si="67"/>
        <v>tak</v>
      </c>
    </row>
    <row r="1511" spans="1:21">
      <c r="A1511">
        <v>1555</v>
      </c>
      <c r="B1511" t="s">
        <v>7134</v>
      </c>
      <c r="C1511" t="s">
        <v>5764</v>
      </c>
      <c r="D1511" t="s">
        <v>7278</v>
      </c>
      <c r="E1511" t="s">
        <v>7277</v>
      </c>
      <c r="F1511" t="s">
        <v>7276</v>
      </c>
      <c r="G1511" t="s">
        <v>7275</v>
      </c>
      <c r="H1511" t="s">
        <v>7274</v>
      </c>
      <c r="I1511" t="s">
        <v>9454</v>
      </c>
      <c r="K1511" t="s">
        <v>164</v>
      </c>
      <c r="N1511" t="str">
        <f t="shared" si="68"/>
        <v>Szanowna Pani</v>
      </c>
      <c r="O1511" s="19" t="s">
        <v>9776</v>
      </c>
      <c r="U1511" t="str">
        <f t="shared" si="67"/>
        <v>tak</v>
      </c>
    </row>
    <row r="1512" spans="1:21">
      <c r="A1512">
        <v>1556</v>
      </c>
      <c r="B1512" t="s">
        <v>7134</v>
      </c>
      <c r="C1512" t="s">
        <v>5764</v>
      </c>
      <c r="D1512" t="s">
        <v>7284</v>
      </c>
      <c r="E1512" t="s">
        <v>7283</v>
      </c>
      <c r="F1512" t="s">
        <v>7282</v>
      </c>
      <c r="G1512" t="s">
        <v>7281</v>
      </c>
      <c r="H1512" t="s">
        <v>7280</v>
      </c>
      <c r="I1512" t="s">
        <v>9455</v>
      </c>
      <c r="K1512" t="s">
        <v>7279</v>
      </c>
      <c r="N1512" t="str">
        <f t="shared" si="68"/>
        <v>Szanowny Pan</v>
      </c>
      <c r="O1512" s="19" t="s">
        <v>9776</v>
      </c>
      <c r="U1512" t="str">
        <f t="shared" si="67"/>
        <v>tak</v>
      </c>
    </row>
    <row r="1513" spans="1:21">
      <c r="A1513">
        <v>1557</v>
      </c>
      <c r="B1513" t="s">
        <v>7134</v>
      </c>
      <c r="C1513" t="s">
        <v>5764</v>
      </c>
      <c r="D1513" t="s">
        <v>7288</v>
      </c>
      <c r="E1513" t="s">
        <v>7283</v>
      </c>
      <c r="F1513" t="s">
        <v>7282</v>
      </c>
      <c r="G1513" t="s">
        <v>7287</v>
      </c>
      <c r="H1513" t="s">
        <v>7286</v>
      </c>
      <c r="I1513" t="s">
        <v>9456</v>
      </c>
      <c r="K1513" t="s">
        <v>7285</v>
      </c>
      <c r="N1513" t="str">
        <f t="shared" si="68"/>
        <v>Szanowna Pani</v>
      </c>
      <c r="O1513" s="19" t="s">
        <v>9776</v>
      </c>
      <c r="U1513" t="str">
        <f t="shared" si="67"/>
        <v>tak</v>
      </c>
    </row>
    <row r="1514" spans="1:21">
      <c r="A1514">
        <v>1558</v>
      </c>
      <c r="B1514" t="s">
        <v>7134</v>
      </c>
      <c r="C1514" t="s">
        <v>5764</v>
      </c>
      <c r="D1514" t="s">
        <v>7288</v>
      </c>
      <c r="E1514" t="s">
        <v>7283</v>
      </c>
      <c r="F1514" t="s">
        <v>7282</v>
      </c>
      <c r="G1514" t="s">
        <v>7281</v>
      </c>
      <c r="H1514" t="s">
        <v>7290</v>
      </c>
      <c r="I1514" t="s">
        <v>9457</v>
      </c>
      <c r="K1514" t="s">
        <v>7289</v>
      </c>
      <c r="N1514" t="str">
        <f t="shared" si="68"/>
        <v>Szanowna Pani</v>
      </c>
      <c r="O1514" s="19" t="s">
        <v>9776</v>
      </c>
      <c r="U1514" t="str">
        <f t="shared" si="67"/>
        <v>tak</v>
      </c>
    </row>
    <row r="1515" spans="1:21">
      <c r="A1515">
        <v>1559</v>
      </c>
      <c r="B1515" t="s">
        <v>7134</v>
      </c>
      <c r="C1515" t="s">
        <v>5764</v>
      </c>
      <c r="D1515" t="s">
        <v>7288</v>
      </c>
      <c r="E1515" t="s">
        <v>7283</v>
      </c>
      <c r="F1515" t="s">
        <v>7282</v>
      </c>
      <c r="G1515" t="s">
        <v>7293</v>
      </c>
      <c r="H1515" t="s">
        <v>7292</v>
      </c>
      <c r="I1515" t="s">
        <v>9458</v>
      </c>
      <c r="K1515" t="s">
        <v>7291</v>
      </c>
      <c r="N1515" t="str">
        <f t="shared" si="68"/>
        <v>Szanowna Pani</v>
      </c>
      <c r="P1515" s="19" t="s">
        <v>9776</v>
      </c>
      <c r="U1515" t="str">
        <f t="shared" si="67"/>
        <v>tak</v>
      </c>
    </row>
    <row r="1516" spans="1:21">
      <c r="A1516">
        <v>1560</v>
      </c>
      <c r="B1516" t="s">
        <v>7134</v>
      </c>
      <c r="C1516" t="s">
        <v>5764</v>
      </c>
      <c r="D1516" t="s">
        <v>7298</v>
      </c>
      <c r="F1516" t="s">
        <v>7297</v>
      </c>
      <c r="G1516" t="s">
        <v>7296</v>
      </c>
      <c r="H1516" t="s">
        <v>7295</v>
      </c>
      <c r="I1516" t="s">
        <v>9459</v>
      </c>
      <c r="K1516" t="s">
        <v>7294</v>
      </c>
      <c r="N1516" t="str">
        <f t="shared" si="68"/>
        <v>Szanowna Pani</v>
      </c>
      <c r="O1516" s="19" t="s">
        <v>9776</v>
      </c>
      <c r="U1516" t="str">
        <f t="shared" si="67"/>
        <v>tak</v>
      </c>
    </row>
    <row r="1517" spans="1:21">
      <c r="A1517">
        <v>1561</v>
      </c>
      <c r="B1517" t="s">
        <v>7134</v>
      </c>
      <c r="C1517" t="s">
        <v>5764</v>
      </c>
      <c r="D1517" t="s">
        <v>7304</v>
      </c>
      <c r="E1517" t="s">
        <v>7303</v>
      </c>
      <c r="F1517" t="s">
        <v>7302</v>
      </c>
      <c r="G1517" t="s">
        <v>7301</v>
      </c>
      <c r="H1517" t="s">
        <v>7300</v>
      </c>
      <c r="I1517" t="s">
        <v>9460</v>
      </c>
      <c r="K1517" t="s">
        <v>7299</v>
      </c>
      <c r="N1517" t="str">
        <f t="shared" si="68"/>
        <v>Szanowna Pani</v>
      </c>
      <c r="O1517" s="19" t="s">
        <v>9776</v>
      </c>
      <c r="U1517" t="str">
        <f t="shared" si="67"/>
        <v>tak</v>
      </c>
    </row>
    <row r="1518" spans="1:21">
      <c r="A1518">
        <v>1562</v>
      </c>
      <c r="B1518" t="s">
        <v>7134</v>
      </c>
      <c r="C1518" t="s">
        <v>5764</v>
      </c>
      <c r="D1518" t="s">
        <v>7310</v>
      </c>
      <c r="E1518" t="s">
        <v>7309</v>
      </c>
      <c r="F1518" t="s">
        <v>7308</v>
      </c>
      <c r="G1518" t="s">
        <v>7307</v>
      </c>
      <c r="H1518" t="s">
        <v>7306</v>
      </c>
      <c r="I1518" t="s">
        <v>9461</v>
      </c>
      <c r="K1518" t="s">
        <v>7305</v>
      </c>
      <c r="N1518" t="str">
        <f t="shared" si="68"/>
        <v>Szanowna Pani</v>
      </c>
      <c r="O1518" s="19" t="s">
        <v>9776</v>
      </c>
      <c r="U1518" t="str">
        <f t="shared" si="67"/>
        <v>tak</v>
      </c>
    </row>
    <row r="1519" spans="1:21">
      <c r="A1519">
        <v>1563</v>
      </c>
      <c r="B1519" t="s">
        <v>7134</v>
      </c>
      <c r="C1519" t="s">
        <v>5764</v>
      </c>
      <c r="D1519" t="s">
        <v>7316</v>
      </c>
      <c r="E1519" t="s">
        <v>7315</v>
      </c>
      <c r="F1519" t="s">
        <v>7314</v>
      </c>
      <c r="G1519" t="s">
        <v>7313</v>
      </c>
      <c r="H1519" t="s">
        <v>7312</v>
      </c>
      <c r="I1519" t="s">
        <v>9462</v>
      </c>
      <c r="K1519" t="s">
        <v>7311</v>
      </c>
      <c r="N1519" t="str">
        <f t="shared" si="68"/>
        <v>Szanowna Pani</v>
      </c>
      <c r="O1519" s="19" t="s">
        <v>9776</v>
      </c>
      <c r="U1519" t="str">
        <f t="shared" si="67"/>
        <v>tak</v>
      </c>
    </row>
    <row r="1520" spans="1:21">
      <c r="A1520">
        <v>1564</v>
      </c>
      <c r="B1520" t="s">
        <v>7134</v>
      </c>
      <c r="C1520" t="s">
        <v>5764</v>
      </c>
      <c r="D1520" t="s">
        <v>7321</v>
      </c>
      <c r="E1520" t="s">
        <v>7320</v>
      </c>
      <c r="F1520" t="s">
        <v>7282</v>
      </c>
      <c r="G1520" t="s">
        <v>7319</v>
      </c>
      <c r="H1520" t="s">
        <v>7318</v>
      </c>
      <c r="I1520" t="s">
        <v>9463</v>
      </c>
      <c r="K1520" t="s">
        <v>7317</v>
      </c>
      <c r="N1520" t="str">
        <f t="shared" si="68"/>
        <v>Szanowna Pani</v>
      </c>
      <c r="P1520" s="19" t="s">
        <v>9776</v>
      </c>
      <c r="U1520" t="str">
        <f t="shared" si="67"/>
        <v>tak</v>
      </c>
    </row>
    <row r="1521" spans="1:21">
      <c r="A1521">
        <v>1565</v>
      </c>
      <c r="B1521" t="s">
        <v>7134</v>
      </c>
      <c r="C1521" t="s">
        <v>7154</v>
      </c>
      <c r="D1521" t="s">
        <v>166</v>
      </c>
      <c r="E1521" t="s">
        <v>7325</v>
      </c>
      <c r="F1521" t="s">
        <v>7324</v>
      </c>
      <c r="G1521" t="s">
        <v>7323</v>
      </c>
      <c r="H1521" t="s">
        <v>7322</v>
      </c>
      <c r="I1521" t="s">
        <v>9464</v>
      </c>
      <c r="K1521" t="s">
        <v>224</v>
      </c>
      <c r="N1521" t="str">
        <f t="shared" si="68"/>
        <v>Szanowna Pani</v>
      </c>
      <c r="Q1521" s="19" t="s">
        <v>9776</v>
      </c>
      <c r="U1521" t="str">
        <f t="shared" si="67"/>
        <v>tak</v>
      </c>
    </row>
    <row r="1522" spans="1:21">
      <c r="A1522">
        <v>1566</v>
      </c>
      <c r="B1522" t="s">
        <v>7134</v>
      </c>
      <c r="C1522" t="s">
        <v>7139</v>
      </c>
      <c r="D1522" t="s">
        <v>7330</v>
      </c>
      <c r="E1522" t="s">
        <v>7329</v>
      </c>
      <c r="F1522" t="s">
        <v>7328</v>
      </c>
      <c r="G1522" t="s">
        <v>7327</v>
      </c>
      <c r="H1522" t="s">
        <v>7326</v>
      </c>
      <c r="I1522" t="s">
        <v>9465</v>
      </c>
      <c r="K1522" t="s">
        <v>165</v>
      </c>
      <c r="N1522" t="str">
        <f t="shared" si="68"/>
        <v>Szanowna Pani</v>
      </c>
      <c r="P1522" s="19" t="s">
        <v>9776</v>
      </c>
      <c r="U1522" t="str">
        <f t="shared" si="67"/>
        <v>tak</v>
      </c>
    </row>
    <row r="1523" spans="1:21">
      <c r="A1523">
        <v>1567</v>
      </c>
      <c r="B1523" t="s">
        <v>7134</v>
      </c>
      <c r="C1523" t="s">
        <v>7139</v>
      </c>
      <c r="D1523" t="s">
        <v>7334</v>
      </c>
      <c r="E1523" t="s">
        <v>1443</v>
      </c>
      <c r="F1523" t="s">
        <v>7333</v>
      </c>
      <c r="G1523" t="s">
        <v>7332</v>
      </c>
      <c r="H1523" t="s">
        <v>7331</v>
      </c>
      <c r="I1523" t="s">
        <v>9466</v>
      </c>
      <c r="K1523" t="s">
        <v>164</v>
      </c>
      <c r="N1523" t="str">
        <f t="shared" si="68"/>
        <v>Szanowna Pani</v>
      </c>
      <c r="O1523" s="19" t="s">
        <v>9776</v>
      </c>
      <c r="U1523" t="str">
        <f t="shared" si="67"/>
        <v>tak</v>
      </c>
    </row>
    <row r="1524" spans="1:21">
      <c r="A1524">
        <v>1568</v>
      </c>
      <c r="B1524" t="s">
        <v>7134</v>
      </c>
      <c r="C1524" t="s">
        <v>7139</v>
      </c>
      <c r="D1524" t="s">
        <v>7340</v>
      </c>
      <c r="E1524" t="s">
        <v>7339</v>
      </c>
      <c r="F1524" t="s">
        <v>7338</v>
      </c>
      <c r="G1524" t="s">
        <v>7337</v>
      </c>
      <c r="H1524" t="s">
        <v>7336</v>
      </c>
      <c r="I1524" s="15" t="s">
        <v>9730</v>
      </c>
      <c r="K1524" t="s">
        <v>7335</v>
      </c>
      <c r="N1524" t="str">
        <f t="shared" si="68"/>
        <v>Szanowna Pani</v>
      </c>
      <c r="O1524" s="19" t="s">
        <v>9776</v>
      </c>
      <c r="U1524" t="str">
        <f t="shared" si="67"/>
        <v>tak</v>
      </c>
    </row>
    <row r="1525" spans="1:21">
      <c r="A1525">
        <v>1569</v>
      </c>
      <c r="B1525" t="s">
        <v>7134</v>
      </c>
      <c r="C1525" t="s">
        <v>7139</v>
      </c>
      <c r="D1525" t="s">
        <v>7345</v>
      </c>
      <c r="E1525" t="s">
        <v>7344</v>
      </c>
      <c r="F1525" t="s">
        <v>7343</v>
      </c>
      <c r="G1525" t="s">
        <v>7342</v>
      </c>
      <c r="H1525" t="s">
        <v>7341</v>
      </c>
      <c r="I1525" t="s">
        <v>9467</v>
      </c>
      <c r="K1525" t="s">
        <v>164</v>
      </c>
      <c r="N1525" t="str">
        <f t="shared" si="68"/>
        <v>Szanowna Pani</v>
      </c>
      <c r="O1525" s="19" t="s">
        <v>9776</v>
      </c>
      <c r="U1525" t="str">
        <f t="shared" si="67"/>
        <v>tak</v>
      </c>
    </row>
    <row r="1526" spans="1:21">
      <c r="A1526">
        <v>1570</v>
      </c>
      <c r="B1526" t="s">
        <v>7134</v>
      </c>
      <c r="C1526" t="s">
        <v>7140</v>
      </c>
      <c r="D1526" t="s">
        <v>251</v>
      </c>
      <c r="E1526" t="s">
        <v>7141</v>
      </c>
      <c r="F1526" t="s">
        <v>7142</v>
      </c>
      <c r="G1526" t="s">
        <v>7347</v>
      </c>
      <c r="H1526" t="s">
        <v>7346</v>
      </c>
      <c r="I1526" t="s">
        <v>9468</v>
      </c>
      <c r="K1526" t="s">
        <v>7143</v>
      </c>
      <c r="L1526" t="s">
        <v>165</v>
      </c>
      <c r="M1526" t="s">
        <v>224</v>
      </c>
      <c r="N1526" t="str">
        <f t="shared" si="68"/>
        <v>Szanowna Pani</v>
      </c>
      <c r="P1526" s="19" t="s">
        <v>9776</v>
      </c>
      <c r="Q1526" s="19" t="s">
        <v>9776</v>
      </c>
      <c r="U1526" t="str">
        <f t="shared" si="67"/>
        <v>taktak</v>
      </c>
    </row>
    <row r="1527" spans="1:21">
      <c r="A1527">
        <v>1571</v>
      </c>
      <c r="B1527" t="s">
        <v>7134</v>
      </c>
      <c r="C1527" t="s">
        <v>7140</v>
      </c>
      <c r="D1527" t="s">
        <v>7353</v>
      </c>
      <c r="E1527" t="s">
        <v>7352</v>
      </c>
      <c r="F1527" t="s">
        <v>7351</v>
      </c>
      <c r="G1527" t="s">
        <v>7350</v>
      </c>
      <c r="H1527" t="s">
        <v>7349</v>
      </c>
      <c r="I1527" t="s">
        <v>9469</v>
      </c>
      <c r="K1527" t="s">
        <v>7348</v>
      </c>
      <c r="L1527" t="s">
        <v>165</v>
      </c>
      <c r="M1527" t="s">
        <v>224</v>
      </c>
      <c r="N1527" t="str">
        <f t="shared" si="68"/>
        <v>Szanowna Pani</v>
      </c>
      <c r="P1527" s="19" t="s">
        <v>9776</v>
      </c>
      <c r="Q1527" s="19" t="s">
        <v>9776</v>
      </c>
      <c r="U1527" t="str">
        <f t="shared" si="67"/>
        <v>taktak</v>
      </c>
    </row>
    <row r="1528" spans="1:21">
      <c r="A1528">
        <v>1572</v>
      </c>
      <c r="B1528" t="s">
        <v>7134</v>
      </c>
      <c r="C1528" t="s">
        <v>7140</v>
      </c>
      <c r="D1528" t="s">
        <v>251</v>
      </c>
      <c r="E1528" t="s">
        <v>7352</v>
      </c>
      <c r="F1528" t="s">
        <v>7351</v>
      </c>
      <c r="G1528" t="s">
        <v>7350</v>
      </c>
      <c r="H1528" t="s">
        <v>7354</v>
      </c>
      <c r="I1528" t="s">
        <v>9470</v>
      </c>
      <c r="K1528" t="s">
        <v>165</v>
      </c>
      <c r="N1528" t="str">
        <f t="shared" si="68"/>
        <v>Szanowna Pani</v>
      </c>
      <c r="P1528" s="19" t="s">
        <v>9776</v>
      </c>
      <c r="U1528" t="str">
        <f t="shared" si="67"/>
        <v>tak</v>
      </c>
    </row>
    <row r="1529" spans="1:21">
      <c r="A1529">
        <v>1573</v>
      </c>
      <c r="B1529" t="s">
        <v>7134</v>
      </c>
      <c r="C1529" t="s">
        <v>7140</v>
      </c>
      <c r="D1529" t="s">
        <v>7359</v>
      </c>
      <c r="E1529" t="s">
        <v>7358</v>
      </c>
      <c r="F1529" t="s">
        <v>7357</v>
      </c>
      <c r="G1529" t="s">
        <v>7356</v>
      </c>
      <c r="H1529" t="s">
        <v>7355</v>
      </c>
      <c r="I1529" t="s">
        <v>9471</v>
      </c>
      <c r="K1529" t="s">
        <v>164</v>
      </c>
      <c r="N1529" t="str">
        <f t="shared" si="68"/>
        <v>Szanowna Pani</v>
      </c>
      <c r="O1529" s="19" t="s">
        <v>9776</v>
      </c>
      <c r="U1529" t="str">
        <f t="shared" si="67"/>
        <v>tak</v>
      </c>
    </row>
    <row r="1530" spans="1:21">
      <c r="A1530">
        <v>1574</v>
      </c>
      <c r="B1530" t="s">
        <v>7134</v>
      </c>
      <c r="C1530" t="s">
        <v>7140</v>
      </c>
      <c r="D1530" t="s">
        <v>7362</v>
      </c>
      <c r="E1530" t="s">
        <v>7358</v>
      </c>
      <c r="F1530" t="s">
        <v>7357</v>
      </c>
      <c r="G1530" t="s">
        <v>7356</v>
      </c>
      <c r="H1530" t="s">
        <v>7361</v>
      </c>
      <c r="I1530" t="s">
        <v>9471</v>
      </c>
      <c r="K1530" t="s">
        <v>7360</v>
      </c>
      <c r="N1530" t="s">
        <v>2208</v>
      </c>
      <c r="O1530" s="19" t="s">
        <v>9776</v>
      </c>
      <c r="R1530" t="s">
        <v>9777</v>
      </c>
      <c r="U1530" t="str">
        <f t="shared" si="67"/>
        <v>tak</v>
      </c>
    </row>
    <row r="1531" spans="1:21">
      <c r="A1531">
        <v>1575</v>
      </c>
      <c r="B1531" t="s">
        <v>7134</v>
      </c>
      <c r="C1531" t="s">
        <v>7140</v>
      </c>
      <c r="D1531" t="s">
        <v>7362</v>
      </c>
      <c r="E1531" t="s">
        <v>7358</v>
      </c>
      <c r="F1531" t="s">
        <v>7357</v>
      </c>
      <c r="G1531" t="s">
        <v>7356</v>
      </c>
      <c r="H1531" t="s">
        <v>7355</v>
      </c>
      <c r="I1531" t="s">
        <v>9471</v>
      </c>
      <c r="K1531" t="s">
        <v>7363</v>
      </c>
      <c r="N1531" t="str">
        <f t="shared" si="68"/>
        <v>Szanowna Pani</v>
      </c>
      <c r="O1531" s="19" t="s">
        <v>9776</v>
      </c>
      <c r="U1531" t="str">
        <f t="shared" si="67"/>
        <v>tak</v>
      </c>
    </row>
    <row r="1532" spans="1:21">
      <c r="A1532">
        <v>1576</v>
      </c>
      <c r="B1532" t="s">
        <v>7134</v>
      </c>
      <c r="C1532" t="s">
        <v>7155</v>
      </c>
      <c r="D1532" t="s">
        <v>290</v>
      </c>
      <c r="E1532" t="s">
        <v>7367</v>
      </c>
      <c r="F1532" t="s">
        <v>7366</v>
      </c>
      <c r="G1532" t="s">
        <v>7365</v>
      </c>
      <c r="H1532" t="s">
        <v>7364</v>
      </c>
      <c r="I1532" t="s">
        <v>9472</v>
      </c>
      <c r="K1532" t="s">
        <v>164</v>
      </c>
      <c r="N1532" t="str">
        <f t="shared" si="68"/>
        <v>Szanowna Pani</v>
      </c>
      <c r="O1532" s="19" t="s">
        <v>9776</v>
      </c>
      <c r="U1532" t="str">
        <f t="shared" si="67"/>
        <v>tak</v>
      </c>
    </row>
    <row r="1533" spans="1:21">
      <c r="A1533">
        <v>1577</v>
      </c>
      <c r="B1533" t="s">
        <v>7134</v>
      </c>
      <c r="C1533" t="s">
        <v>7155</v>
      </c>
      <c r="D1533" t="s">
        <v>7372</v>
      </c>
      <c r="E1533" t="s">
        <v>7371</v>
      </c>
      <c r="F1533" t="s">
        <v>7370</v>
      </c>
      <c r="G1533" t="s">
        <v>7369</v>
      </c>
      <c r="H1533" t="s">
        <v>7368</v>
      </c>
      <c r="I1533" t="s">
        <v>9473</v>
      </c>
      <c r="K1533" t="s">
        <v>224</v>
      </c>
      <c r="N1533" t="str">
        <f t="shared" si="68"/>
        <v>Szanowna Pani</v>
      </c>
      <c r="Q1533" s="19" t="s">
        <v>9776</v>
      </c>
      <c r="U1533" t="str">
        <f t="shared" si="67"/>
        <v>tak</v>
      </c>
    </row>
    <row r="1534" spans="1:21">
      <c r="A1534">
        <v>1578</v>
      </c>
      <c r="B1534" t="s">
        <v>7134</v>
      </c>
      <c r="C1534" t="s">
        <v>7155</v>
      </c>
      <c r="D1534" t="s">
        <v>7378</v>
      </c>
      <c r="E1534" t="s">
        <v>7377</v>
      </c>
      <c r="F1534" t="s">
        <v>7376</v>
      </c>
      <c r="G1534" t="s">
        <v>7375</v>
      </c>
      <c r="H1534" t="s">
        <v>7374</v>
      </c>
      <c r="I1534" s="15" t="s">
        <v>9733</v>
      </c>
      <c r="K1534" t="s">
        <v>7373</v>
      </c>
      <c r="N1534" t="str">
        <f t="shared" si="68"/>
        <v>Szanowna Pani</v>
      </c>
      <c r="O1534" s="19" t="s">
        <v>9776</v>
      </c>
      <c r="S1534" t="s">
        <v>9712</v>
      </c>
      <c r="U1534" t="str">
        <f t="shared" si="67"/>
        <v>tak</v>
      </c>
    </row>
    <row r="1535" spans="1:21">
      <c r="A1535">
        <v>1579</v>
      </c>
      <c r="B1535" t="s">
        <v>7134</v>
      </c>
      <c r="C1535" t="s">
        <v>7155</v>
      </c>
      <c r="D1535" t="s">
        <v>7383</v>
      </c>
      <c r="E1535" t="s">
        <v>7382</v>
      </c>
      <c r="F1535" t="s">
        <v>7381</v>
      </c>
      <c r="G1535" t="s">
        <v>7380</v>
      </c>
      <c r="H1535" t="s">
        <v>7379</v>
      </c>
      <c r="I1535" t="s">
        <v>9474</v>
      </c>
      <c r="K1535" t="s">
        <v>164</v>
      </c>
      <c r="N1535" t="str">
        <f t="shared" si="68"/>
        <v>Szanowna Pani</v>
      </c>
      <c r="O1535" s="19" t="s">
        <v>9776</v>
      </c>
      <c r="S1535" t="s">
        <v>9712</v>
      </c>
      <c r="U1535" t="str">
        <f t="shared" si="67"/>
        <v>tak</v>
      </c>
    </row>
    <row r="1536" spans="1:21">
      <c r="A1536">
        <v>1580</v>
      </c>
      <c r="B1536" t="s">
        <v>7134</v>
      </c>
      <c r="C1536" t="s">
        <v>7156</v>
      </c>
      <c r="D1536" t="s">
        <v>267</v>
      </c>
      <c r="E1536" t="s">
        <v>7388</v>
      </c>
      <c r="F1536" t="s">
        <v>7387</v>
      </c>
      <c r="G1536" t="s">
        <v>7386</v>
      </c>
      <c r="H1536" t="s">
        <v>7385</v>
      </c>
      <c r="I1536" t="s">
        <v>9475</v>
      </c>
      <c r="K1536" t="s">
        <v>7384</v>
      </c>
      <c r="N1536" t="str">
        <f t="shared" si="68"/>
        <v>Szanowna Pani</v>
      </c>
      <c r="O1536" s="19" t="s">
        <v>9776</v>
      </c>
      <c r="U1536" t="str">
        <f t="shared" si="67"/>
        <v>tak</v>
      </c>
    </row>
    <row r="1537" spans="1:21">
      <c r="A1537">
        <v>1581</v>
      </c>
      <c r="B1537" t="s">
        <v>7134</v>
      </c>
      <c r="C1537" t="s">
        <v>7156</v>
      </c>
      <c r="D1537" t="s">
        <v>7157</v>
      </c>
      <c r="E1537" t="s">
        <v>7388</v>
      </c>
      <c r="F1537" t="s">
        <v>7387</v>
      </c>
      <c r="G1537" t="s">
        <v>7386</v>
      </c>
      <c r="H1537" t="s">
        <v>7390</v>
      </c>
      <c r="I1537" t="s">
        <v>9476</v>
      </c>
      <c r="K1537" t="s">
        <v>7389</v>
      </c>
      <c r="N1537" t="str">
        <f t="shared" si="68"/>
        <v>Szanowna Pani</v>
      </c>
      <c r="P1537" s="19" t="s">
        <v>9776</v>
      </c>
      <c r="U1537" t="str">
        <f t="shared" si="67"/>
        <v>tak</v>
      </c>
    </row>
    <row r="1538" spans="1:21">
      <c r="A1538">
        <v>1582</v>
      </c>
      <c r="B1538" t="s">
        <v>7134</v>
      </c>
      <c r="C1538" t="s">
        <v>7156</v>
      </c>
      <c r="D1538" t="s">
        <v>7396</v>
      </c>
      <c r="E1538" t="s">
        <v>7395</v>
      </c>
      <c r="F1538" t="s">
        <v>7394</v>
      </c>
      <c r="G1538" t="s">
        <v>7393</v>
      </c>
      <c r="H1538" t="s">
        <v>7392</v>
      </c>
      <c r="I1538" t="s">
        <v>9477</v>
      </c>
      <c r="K1538" t="s">
        <v>7391</v>
      </c>
      <c r="N1538" t="str">
        <f t="shared" si="68"/>
        <v>Szanowna Pani</v>
      </c>
      <c r="P1538" s="19" t="s">
        <v>9776</v>
      </c>
      <c r="U1538" t="str">
        <f t="shared" si="67"/>
        <v>tak</v>
      </c>
    </row>
    <row r="1539" spans="1:21">
      <c r="A1539">
        <v>1583</v>
      </c>
      <c r="B1539" t="s">
        <v>7134</v>
      </c>
      <c r="C1539" t="s">
        <v>7144</v>
      </c>
      <c r="D1539" t="s">
        <v>7400</v>
      </c>
      <c r="E1539" t="s">
        <v>7399</v>
      </c>
      <c r="F1539" t="s">
        <v>7184</v>
      </c>
      <c r="G1539" t="s">
        <v>7398</v>
      </c>
      <c r="H1539" t="s">
        <v>7397</v>
      </c>
      <c r="I1539" t="s">
        <v>9478</v>
      </c>
      <c r="K1539" t="s">
        <v>165</v>
      </c>
      <c r="N1539" t="str">
        <f t="shared" si="68"/>
        <v>Szanowna Pani</v>
      </c>
      <c r="P1539" s="19" t="s">
        <v>9776</v>
      </c>
      <c r="U1539" t="str">
        <f t="shared" si="67"/>
        <v>tak</v>
      </c>
    </row>
    <row r="1540" spans="1:21">
      <c r="A1540">
        <v>1584</v>
      </c>
      <c r="B1540" t="s">
        <v>7134</v>
      </c>
      <c r="C1540" t="s">
        <v>7144</v>
      </c>
      <c r="D1540" t="s">
        <v>7407</v>
      </c>
      <c r="E1540" t="s">
        <v>7406</v>
      </c>
      <c r="F1540" t="s">
        <v>7405</v>
      </c>
      <c r="G1540" t="s">
        <v>7404</v>
      </c>
      <c r="H1540" t="s">
        <v>7403</v>
      </c>
      <c r="I1540" t="s">
        <v>7402</v>
      </c>
      <c r="K1540" t="s">
        <v>7401</v>
      </c>
      <c r="N1540" t="str">
        <f t="shared" si="68"/>
        <v>Szanowna Pani</v>
      </c>
      <c r="O1540" s="19" t="s">
        <v>9776</v>
      </c>
      <c r="U1540" t="str">
        <f t="shared" ref="U1540:U1603" si="69">+O1540 &amp;P1540&amp;Q1540</f>
        <v>tak</v>
      </c>
    </row>
    <row r="1541" spans="1:21">
      <c r="A1541">
        <v>1585</v>
      </c>
      <c r="B1541" t="s">
        <v>7134</v>
      </c>
      <c r="C1541" t="s">
        <v>7144</v>
      </c>
      <c r="D1541" t="s">
        <v>7410</v>
      </c>
      <c r="E1541" t="s">
        <v>7409</v>
      </c>
      <c r="F1541" t="s">
        <v>9761</v>
      </c>
      <c r="G1541" t="s">
        <v>9762</v>
      </c>
      <c r="H1541" t="s">
        <v>7408</v>
      </c>
      <c r="I1541" t="s">
        <v>9479</v>
      </c>
      <c r="K1541" t="s">
        <v>164</v>
      </c>
      <c r="N1541" t="str">
        <f t="shared" si="68"/>
        <v>Szanowna Pani</v>
      </c>
      <c r="O1541" s="19" t="s">
        <v>9776</v>
      </c>
      <c r="S1541" t="s">
        <v>9712</v>
      </c>
      <c r="U1541" t="str">
        <f t="shared" si="69"/>
        <v>tak</v>
      </c>
    </row>
    <row r="1542" spans="1:21">
      <c r="A1542">
        <v>1586</v>
      </c>
      <c r="B1542" t="s">
        <v>7134</v>
      </c>
      <c r="C1542" t="s">
        <v>7144</v>
      </c>
      <c r="D1542" t="s">
        <v>7416</v>
      </c>
      <c r="E1542" t="s">
        <v>7415</v>
      </c>
      <c r="F1542" t="s">
        <v>7414</v>
      </c>
      <c r="G1542" t="s">
        <v>7413</v>
      </c>
      <c r="H1542" t="s">
        <v>7412</v>
      </c>
      <c r="I1542" t="s">
        <v>9480</v>
      </c>
      <c r="K1542" t="s">
        <v>7411</v>
      </c>
      <c r="N1542" t="str">
        <f t="shared" si="68"/>
        <v>Szanowna Pani</v>
      </c>
      <c r="O1542" s="19" t="s">
        <v>9776</v>
      </c>
      <c r="U1542" t="str">
        <f t="shared" si="69"/>
        <v>tak</v>
      </c>
    </row>
    <row r="1543" spans="1:21">
      <c r="A1543">
        <v>1587</v>
      </c>
      <c r="B1543" t="s">
        <v>7134</v>
      </c>
      <c r="C1543" t="s">
        <v>7144</v>
      </c>
      <c r="D1543" t="s">
        <v>7421</v>
      </c>
      <c r="E1543" t="s">
        <v>7420</v>
      </c>
      <c r="F1543" t="s">
        <v>7419</v>
      </c>
      <c r="G1543" t="s">
        <v>7418</v>
      </c>
      <c r="H1543" t="s">
        <v>7417</v>
      </c>
      <c r="I1543" t="s">
        <v>9481</v>
      </c>
      <c r="K1543" t="s">
        <v>165</v>
      </c>
      <c r="N1543" t="str">
        <f t="shared" si="68"/>
        <v>Szanowna Pani</v>
      </c>
      <c r="P1543" s="19" t="s">
        <v>9776</v>
      </c>
      <c r="U1543" t="str">
        <f t="shared" si="69"/>
        <v>tak</v>
      </c>
    </row>
    <row r="1544" spans="1:21">
      <c r="A1544">
        <v>1588</v>
      </c>
      <c r="B1544" t="s">
        <v>7134</v>
      </c>
      <c r="C1544" t="s">
        <v>7144</v>
      </c>
      <c r="D1544" t="s">
        <v>7426</v>
      </c>
      <c r="E1544" t="s">
        <v>7425</v>
      </c>
      <c r="F1544" t="s">
        <v>7424</v>
      </c>
      <c r="G1544" t="s">
        <v>7423</v>
      </c>
      <c r="H1544" t="s">
        <v>7422</v>
      </c>
      <c r="I1544" t="s">
        <v>9482</v>
      </c>
      <c r="K1544" t="s">
        <v>164</v>
      </c>
      <c r="N1544" t="str">
        <f t="shared" si="68"/>
        <v>Szanowna Pani</v>
      </c>
      <c r="O1544" s="19" t="s">
        <v>9776</v>
      </c>
      <c r="U1544" t="str">
        <f t="shared" si="69"/>
        <v>tak</v>
      </c>
    </row>
    <row r="1545" spans="1:21">
      <c r="A1545">
        <v>1589</v>
      </c>
      <c r="B1545" t="s">
        <v>7134</v>
      </c>
      <c r="C1545" t="s">
        <v>7144</v>
      </c>
      <c r="D1545" t="s">
        <v>7431</v>
      </c>
      <c r="E1545" t="s">
        <v>7430</v>
      </c>
      <c r="F1545" t="s">
        <v>7429</v>
      </c>
      <c r="G1545" t="s">
        <v>7428</v>
      </c>
      <c r="H1545" t="s">
        <v>7427</v>
      </c>
      <c r="I1545" t="s">
        <v>9483</v>
      </c>
      <c r="K1545" t="s">
        <v>164</v>
      </c>
      <c r="N1545" t="str">
        <f t="shared" si="68"/>
        <v>Szanowna Pani</v>
      </c>
      <c r="O1545" s="19" t="s">
        <v>9776</v>
      </c>
      <c r="U1545" t="str">
        <f t="shared" si="69"/>
        <v>tak</v>
      </c>
    </row>
    <row r="1546" spans="1:21">
      <c r="A1546">
        <v>1590</v>
      </c>
      <c r="B1546" t="s">
        <v>7134</v>
      </c>
      <c r="C1546" t="s">
        <v>7144</v>
      </c>
      <c r="D1546" t="s">
        <v>7435</v>
      </c>
      <c r="E1546" t="s">
        <v>3318</v>
      </c>
      <c r="F1546" t="s">
        <v>7434</v>
      </c>
      <c r="G1546" t="s">
        <v>7433</v>
      </c>
      <c r="H1546" t="s">
        <v>7432</v>
      </c>
      <c r="I1546" t="s">
        <v>9484</v>
      </c>
      <c r="K1546" t="s">
        <v>164</v>
      </c>
      <c r="N1546" t="str">
        <f t="shared" si="68"/>
        <v>Szanowna Pani</v>
      </c>
      <c r="O1546" s="19" t="s">
        <v>9776</v>
      </c>
      <c r="U1546" t="str">
        <f t="shared" si="69"/>
        <v>tak</v>
      </c>
    </row>
    <row r="1547" spans="1:21">
      <c r="A1547">
        <v>1591</v>
      </c>
      <c r="B1547" t="s">
        <v>7134</v>
      </c>
      <c r="C1547" t="s">
        <v>7158</v>
      </c>
      <c r="D1547" t="s">
        <v>7440</v>
      </c>
      <c r="E1547" t="s">
        <v>7439</v>
      </c>
      <c r="F1547" t="s">
        <v>7438</v>
      </c>
      <c r="G1547" s="18" t="s">
        <v>9763</v>
      </c>
      <c r="H1547" t="s">
        <v>7437</v>
      </c>
      <c r="I1547" s="15" t="s">
        <v>9760</v>
      </c>
      <c r="K1547" t="s">
        <v>7436</v>
      </c>
      <c r="N1547" t="str">
        <f t="shared" si="68"/>
        <v>Szanowna Pani</v>
      </c>
      <c r="O1547" s="19" t="s">
        <v>9776</v>
      </c>
      <c r="U1547" t="str">
        <f t="shared" si="69"/>
        <v>tak</v>
      </c>
    </row>
    <row r="1548" spans="1:21">
      <c r="A1548">
        <v>1592</v>
      </c>
      <c r="B1548" t="s">
        <v>7134</v>
      </c>
      <c r="C1548" t="s">
        <v>7158</v>
      </c>
      <c r="D1548" t="s">
        <v>7442</v>
      </c>
      <c r="E1548" t="s">
        <v>7439</v>
      </c>
      <c r="F1548" t="s">
        <v>7438</v>
      </c>
      <c r="G1548" s="18" t="s">
        <v>9764</v>
      </c>
      <c r="H1548" t="s">
        <v>7441</v>
      </c>
      <c r="I1548" s="15" t="s">
        <v>9759</v>
      </c>
      <c r="K1548" t="s">
        <v>164</v>
      </c>
      <c r="N1548" t="str">
        <f t="shared" si="68"/>
        <v>Szanowna Pani</v>
      </c>
      <c r="O1548" s="19" t="s">
        <v>9776</v>
      </c>
      <c r="U1548" t="str">
        <f t="shared" si="69"/>
        <v>tak</v>
      </c>
    </row>
    <row r="1549" spans="1:21">
      <c r="A1549">
        <v>1593</v>
      </c>
      <c r="B1549" t="s">
        <v>7134</v>
      </c>
      <c r="C1549" t="s">
        <v>7158</v>
      </c>
      <c r="D1549" t="s">
        <v>7447</v>
      </c>
      <c r="E1549" t="s">
        <v>7446</v>
      </c>
      <c r="F1549" t="s">
        <v>7438</v>
      </c>
      <c r="G1549" t="s">
        <v>7445</v>
      </c>
      <c r="H1549" t="s">
        <v>7444</v>
      </c>
      <c r="I1549" t="s">
        <v>9485</v>
      </c>
      <c r="K1549" t="s">
        <v>7443</v>
      </c>
      <c r="N1549" t="str">
        <f t="shared" si="68"/>
        <v>Szanowna Pani</v>
      </c>
      <c r="Q1549" s="19" t="s">
        <v>9776</v>
      </c>
      <c r="U1549" t="str">
        <f t="shared" si="69"/>
        <v>tak</v>
      </c>
    </row>
    <row r="1550" spans="1:21">
      <c r="A1550">
        <v>1594</v>
      </c>
      <c r="B1550" t="s">
        <v>7134</v>
      </c>
      <c r="C1550" t="s">
        <v>7145</v>
      </c>
      <c r="D1550" t="s">
        <v>7734</v>
      </c>
      <c r="E1550" t="s">
        <v>7735</v>
      </c>
      <c r="F1550" t="s">
        <v>7736</v>
      </c>
      <c r="G1550" t="s">
        <v>7737</v>
      </c>
      <c r="H1550" t="s">
        <v>7738</v>
      </c>
      <c r="I1550" t="s">
        <v>9486</v>
      </c>
      <c r="K1550" t="s">
        <v>164</v>
      </c>
      <c r="N1550" t="str">
        <f t="shared" si="68"/>
        <v>Szanowna Pani</v>
      </c>
      <c r="O1550" s="19" t="s">
        <v>9776</v>
      </c>
      <c r="U1550" t="str">
        <f t="shared" si="69"/>
        <v>tak</v>
      </c>
    </row>
    <row r="1551" spans="1:21">
      <c r="A1551">
        <v>1595</v>
      </c>
      <c r="B1551" t="s">
        <v>7134</v>
      </c>
      <c r="C1551" t="s">
        <v>7145</v>
      </c>
      <c r="D1551" t="s">
        <v>7452</v>
      </c>
      <c r="E1551" t="s">
        <v>3540</v>
      </c>
      <c r="F1551" t="s">
        <v>7451</v>
      </c>
      <c r="G1551" t="s">
        <v>7450</v>
      </c>
      <c r="H1551" t="s">
        <v>7449</v>
      </c>
      <c r="I1551" t="s">
        <v>9487</v>
      </c>
      <c r="K1551" t="s">
        <v>7448</v>
      </c>
      <c r="N1551" t="str">
        <f t="shared" si="68"/>
        <v>Szanowna Pani</v>
      </c>
      <c r="O1551" s="19" t="s">
        <v>9776</v>
      </c>
      <c r="U1551" t="str">
        <f t="shared" si="69"/>
        <v>tak</v>
      </c>
    </row>
    <row r="1552" spans="1:21">
      <c r="A1552">
        <v>1596</v>
      </c>
      <c r="B1552" t="s">
        <v>7134</v>
      </c>
      <c r="C1552" t="s">
        <v>7145</v>
      </c>
      <c r="D1552" t="s">
        <v>2726</v>
      </c>
      <c r="E1552" t="s">
        <v>7456</v>
      </c>
      <c r="F1552" t="s">
        <v>7451</v>
      </c>
      <c r="G1552" t="s">
        <v>7455</v>
      </c>
      <c r="H1552" t="s">
        <v>7454</v>
      </c>
      <c r="I1552" t="s">
        <v>9488</v>
      </c>
      <c r="K1552" t="s">
        <v>7453</v>
      </c>
      <c r="N1552" t="str">
        <f t="shared" si="68"/>
        <v>Szanowne Panie</v>
      </c>
      <c r="O1552" s="19" t="s">
        <v>9776</v>
      </c>
      <c r="U1552" t="str">
        <f t="shared" si="69"/>
        <v>tak</v>
      </c>
    </row>
    <row r="1553" spans="1:21">
      <c r="A1553">
        <v>1597</v>
      </c>
      <c r="B1553" t="s">
        <v>7134</v>
      </c>
      <c r="C1553" t="s">
        <v>7145</v>
      </c>
      <c r="D1553" t="s">
        <v>9693</v>
      </c>
      <c r="E1553" t="s">
        <v>9694</v>
      </c>
      <c r="F1553" t="s">
        <v>7458</v>
      </c>
      <c r="G1553" t="s">
        <v>7457</v>
      </c>
      <c r="H1553" t="s">
        <v>7202</v>
      </c>
      <c r="I1553" t="s">
        <v>9440</v>
      </c>
      <c r="K1553" t="s">
        <v>165</v>
      </c>
      <c r="N1553" t="str">
        <f t="shared" si="68"/>
        <v>Szanowna Pani</v>
      </c>
      <c r="P1553" s="19" t="s">
        <v>9776</v>
      </c>
      <c r="U1553" t="str">
        <f t="shared" si="69"/>
        <v>tak</v>
      </c>
    </row>
    <row r="1554" spans="1:21">
      <c r="A1554">
        <v>1598</v>
      </c>
      <c r="B1554" t="s">
        <v>7134</v>
      </c>
      <c r="C1554" t="s">
        <v>7146</v>
      </c>
      <c r="D1554" t="s">
        <v>7464</v>
      </c>
      <c r="E1554" t="s">
        <v>7463</v>
      </c>
      <c r="F1554" t="s">
        <v>7462</v>
      </c>
      <c r="G1554" t="s">
        <v>7461</v>
      </c>
      <c r="H1554" t="s">
        <v>7460</v>
      </c>
      <c r="I1554" t="s">
        <v>9489</v>
      </c>
      <c r="K1554" t="s">
        <v>7459</v>
      </c>
      <c r="N1554" t="str">
        <f t="shared" si="68"/>
        <v>Szanowna Pani</v>
      </c>
      <c r="P1554" s="19" t="s">
        <v>9776</v>
      </c>
      <c r="U1554" t="str">
        <f t="shared" si="69"/>
        <v>tak</v>
      </c>
    </row>
    <row r="1555" spans="1:21">
      <c r="A1555">
        <v>1599</v>
      </c>
      <c r="B1555" t="s">
        <v>7134</v>
      </c>
      <c r="C1555" t="s">
        <v>7146</v>
      </c>
      <c r="D1555" t="s">
        <v>7464</v>
      </c>
      <c r="E1555" t="s">
        <v>7463</v>
      </c>
      <c r="F1555" t="s">
        <v>7462</v>
      </c>
      <c r="G1555" t="s">
        <v>7461</v>
      </c>
      <c r="H1555" t="s">
        <v>7460</v>
      </c>
      <c r="I1555" t="s">
        <v>9489</v>
      </c>
      <c r="K1555" t="s">
        <v>7465</v>
      </c>
      <c r="N1555" t="str">
        <f t="shared" si="68"/>
        <v>Szanowna Pani</v>
      </c>
      <c r="O1555" s="19" t="s">
        <v>9776</v>
      </c>
      <c r="U1555" t="str">
        <f t="shared" si="69"/>
        <v>tak</v>
      </c>
    </row>
    <row r="1556" spans="1:21">
      <c r="A1556">
        <v>1600</v>
      </c>
      <c r="B1556" t="s">
        <v>7134</v>
      </c>
      <c r="C1556" t="s">
        <v>7146</v>
      </c>
      <c r="D1556" t="s">
        <v>9695</v>
      </c>
      <c r="E1556" t="s">
        <v>9696</v>
      </c>
      <c r="F1556" t="s">
        <v>7468</v>
      </c>
      <c r="G1556" t="s">
        <v>7467</v>
      </c>
      <c r="H1556" t="s">
        <v>7466</v>
      </c>
      <c r="I1556" t="s">
        <v>9490</v>
      </c>
      <c r="K1556" t="s">
        <v>164</v>
      </c>
      <c r="N1556" t="str">
        <f t="shared" si="68"/>
        <v>Szanowna Pani</v>
      </c>
      <c r="O1556" s="19" t="s">
        <v>9776</v>
      </c>
      <c r="U1556" t="str">
        <f t="shared" si="69"/>
        <v>tak</v>
      </c>
    </row>
    <row r="1557" spans="1:21">
      <c r="A1557">
        <v>1601</v>
      </c>
      <c r="B1557" t="s">
        <v>7134</v>
      </c>
      <c r="C1557" t="s">
        <v>7146</v>
      </c>
      <c r="D1557" t="s">
        <v>7473</v>
      </c>
      <c r="E1557" t="s">
        <v>7472</v>
      </c>
      <c r="F1557" t="s">
        <v>7471</v>
      </c>
      <c r="G1557" t="s">
        <v>7470</v>
      </c>
      <c r="H1557" t="s">
        <v>7469</v>
      </c>
      <c r="I1557" t="s">
        <v>9491</v>
      </c>
      <c r="K1557" t="s">
        <v>164</v>
      </c>
      <c r="N1557" t="str">
        <f t="shared" si="68"/>
        <v>Szanowna Pani</v>
      </c>
      <c r="O1557" s="19" t="s">
        <v>9776</v>
      </c>
      <c r="U1557" t="str">
        <f t="shared" si="69"/>
        <v>tak</v>
      </c>
    </row>
    <row r="1558" spans="1:21">
      <c r="A1558">
        <v>1602</v>
      </c>
      <c r="B1558" t="s">
        <v>7134</v>
      </c>
      <c r="C1558" t="s">
        <v>7146</v>
      </c>
      <c r="D1558" t="s">
        <v>7478</v>
      </c>
      <c r="E1558" t="s">
        <v>7477</v>
      </c>
      <c r="F1558" t="s">
        <v>7476</v>
      </c>
      <c r="G1558" t="s">
        <v>7475</v>
      </c>
      <c r="H1558" t="s">
        <v>7474</v>
      </c>
      <c r="I1558" t="s">
        <v>9492</v>
      </c>
      <c r="K1558" t="s">
        <v>164</v>
      </c>
      <c r="N1558" t="str">
        <f t="shared" si="68"/>
        <v>Szanowne Panie</v>
      </c>
      <c r="O1558" s="19" t="s">
        <v>9776</v>
      </c>
      <c r="U1558" t="str">
        <f t="shared" si="69"/>
        <v>tak</v>
      </c>
    </row>
    <row r="1559" spans="1:21">
      <c r="A1559">
        <v>1603</v>
      </c>
      <c r="B1559" t="s">
        <v>7134</v>
      </c>
      <c r="C1559" t="s">
        <v>7159</v>
      </c>
      <c r="D1559" t="s">
        <v>7483</v>
      </c>
      <c r="E1559" t="s">
        <v>7482</v>
      </c>
      <c r="F1559" t="s">
        <v>7481</v>
      </c>
      <c r="G1559" t="s">
        <v>7480</v>
      </c>
      <c r="H1559" t="s">
        <v>7479</v>
      </c>
      <c r="I1559" t="s">
        <v>9493</v>
      </c>
      <c r="K1559" t="s">
        <v>165</v>
      </c>
      <c r="N1559" t="str">
        <f t="shared" si="68"/>
        <v>Szanowna Pani</v>
      </c>
      <c r="P1559" s="19" t="s">
        <v>9776</v>
      </c>
      <c r="U1559" t="str">
        <f t="shared" si="69"/>
        <v>tak</v>
      </c>
    </row>
    <row r="1560" spans="1:21">
      <c r="A1560">
        <v>1604</v>
      </c>
      <c r="B1560" t="s">
        <v>7134</v>
      </c>
      <c r="C1560" t="s">
        <v>7147</v>
      </c>
      <c r="D1560" t="s">
        <v>7486</v>
      </c>
      <c r="E1560" t="s">
        <v>7485</v>
      </c>
      <c r="F1560" t="s">
        <v>7381</v>
      </c>
      <c r="G1560" t="s">
        <v>7380</v>
      </c>
      <c r="H1560" t="s">
        <v>7484</v>
      </c>
      <c r="I1560" t="s">
        <v>9494</v>
      </c>
      <c r="K1560" t="s">
        <v>165</v>
      </c>
      <c r="N1560" t="str">
        <f t="shared" si="68"/>
        <v>Szanowna Pani</v>
      </c>
      <c r="P1560" s="19" t="s">
        <v>9776</v>
      </c>
      <c r="U1560" t="str">
        <f t="shared" si="69"/>
        <v>tak</v>
      </c>
    </row>
    <row r="1561" spans="1:21">
      <c r="A1561">
        <v>1605</v>
      </c>
      <c r="B1561" t="s">
        <v>7134</v>
      </c>
      <c r="C1561" t="s">
        <v>7147</v>
      </c>
      <c r="D1561" t="s">
        <v>7492</v>
      </c>
      <c r="E1561" t="s">
        <v>7491</v>
      </c>
      <c r="F1561" t="s">
        <v>7490</v>
      </c>
      <c r="G1561" t="s">
        <v>7489</v>
      </c>
      <c r="H1561" t="s">
        <v>7488</v>
      </c>
      <c r="I1561" t="s">
        <v>9495</v>
      </c>
      <c r="K1561" t="s">
        <v>7487</v>
      </c>
      <c r="N1561" t="str">
        <f t="shared" ref="N1561:N1624" si="70">IF(ISERROR(FIND(",",H1561)),IF(MID(H1561,FIND(" ",H1561)-1,1)="a","Szanowna Pani","Szanowny Pan"), "Szanowne Panie")</f>
        <v>Szanowna Pani</v>
      </c>
      <c r="O1561" s="19" t="s">
        <v>9776</v>
      </c>
      <c r="U1561" t="str">
        <f t="shared" si="69"/>
        <v>tak</v>
      </c>
    </row>
    <row r="1562" spans="1:21">
      <c r="A1562">
        <v>1606</v>
      </c>
      <c r="B1562" t="s">
        <v>7134</v>
      </c>
      <c r="C1562" t="s">
        <v>7147</v>
      </c>
      <c r="D1562" t="s">
        <v>7498</v>
      </c>
      <c r="E1562" t="s">
        <v>7497</v>
      </c>
      <c r="F1562" t="s">
        <v>7496</v>
      </c>
      <c r="G1562" t="s">
        <v>7495</v>
      </c>
      <c r="H1562" t="s">
        <v>7494</v>
      </c>
      <c r="I1562" t="s">
        <v>9496</v>
      </c>
      <c r="K1562" t="s">
        <v>7493</v>
      </c>
      <c r="N1562" t="str">
        <f t="shared" si="70"/>
        <v>Szanowna Pani</v>
      </c>
      <c r="O1562" s="19" t="s">
        <v>9776</v>
      </c>
      <c r="S1562" t="s">
        <v>9712</v>
      </c>
      <c r="U1562" t="str">
        <f t="shared" si="69"/>
        <v>tak</v>
      </c>
    </row>
    <row r="1563" spans="1:21">
      <c r="A1563">
        <v>1607</v>
      </c>
      <c r="B1563" t="s">
        <v>7134</v>
      </c>
      <c r="C1563" t="s">
        <v>7148</v>
      </c>
      <c r="D1563" t="s">
        <v>7501</v>
      </c>
      <c r="E1563" t="s">
        <v>7500</v>
      </c>
      <c r="F1563" t="s">
        <v>7226</v>
      </c>
      <c r="H1563" t="s">
        <v>7499</v>
      </c>
      <c r="I1563" t="s">
        <v>9497</v>
      </c>
      <c r="K1563" t="s">
        <v>164</v>
      </c>
      <c r="N1563" t="str">
        <f t="shared" si="70"/>
        <v>Szanowna Pani</v>
      </c>
      <c r="O1563" s="19" t="s">
        <v>9776</v>
      </c>
      <c r="U1563" t="str">
        <f t="shared" si="69"/>
        <v>tak</v>
      </c>
    </row>
    <row r="1564" spans="1:21">
      <c r="A1564">
        <v>1608</v>
      </c>
      <c r="B1564" t="s">
        <v>7134</v>
      </c>
      <c r="C1564" t="s">
        <v>7149</v>
      </c>
      <c r="D1564" t="s">
        <v>7507</v>
      </c>
      <c r="E1564" t="s">
        <v>7506</v>
      </c>
      <c r="F1564" t="s">
        <v>7505</v>
      </c>
      <c r="G1564" t="s">
        <v>7504</v>
      </c>
      <c r="H1564" t="s">
        <v>7503</v>
      </c>
      <c r="I1564" t="s">
        <v>7502</v>
      </c>
      <c r="K1564" t="s">
        <v>164</v>
      </c>
      <c r="N1564" t="str">
        <f t="shared" si="70"/>
        <v>Szanowna Pani</v>
      </c>
      <c r="O1564" s="19" t="s">
        <v>9776</v>
      </c>
      <c r="U1564" t="str">
        <f t="shared" si="69"/>
        <v>tak</v>
      </c>
    </row>
    <row r="1565" spans="1:21">
      <c r="A1565">
        <v>1609</v>
      </c>
      <c r="B1565" t="s">
        <v>7134</v>
      </c>
      <c r="C1565" t="s">
        <v>7150</v>
      </c>
      <c r="D1565" t="s">
        <v>7510</v>
      </c>
      <c r="E1565" t="s">
        <v>7509</v>
      </c>
      <c r="G1565" t="s">
        <v>7428</v>
      </c>
      <c r="H1565" t="s">
        <v>7427</v>
      </c>
      <c r="I1565" s="15" t="s">
        <v>9483</v>
      </c>
      <c r="K1565" t="s">
        <v>7508</v>
      </c>
      <c r="N1565" t="str">
        <f t="shared" si="70"/>
        <v>Szanowna Pani</v>
      </c>
      <c r="O1565" s="19" t="s">
        <v>9776</v>
      </c>
      <c r="U1565" t="str">
        <f t="shared" si="69"/>
        <v>tak</v>
      </c>
    </row>
    <row r="1566" spans="1:21">
      <c r="A1566">
        <v>1610</v>
      </c>
      <c r="B1566" t="s">
        <v>7134</v>
      </c>
      <c r="C1566" t="s">
        <v>7739</v>
      </c>
      <c r="D1566" t="s">
        <v>9757</v>
      </c>
      <c r="E1566" t="s">
        <v>7740</v>
      </c>
      <c r="F1566" t="s">
        <v>7741</v>
      </c>
      <c r="G1566" t="s">
        <v>9756</v>
      </c>
      <c r="H1566" t="s">
        <v>7742</v>
      </c>
      <c r="I1566" s="11" t="s">
        <v>9758</v>
      </c>
      <c r="K1566" t="s">
        <v>1131</v>
      </c>
      <c r="N1566" t="str">
        <f t="shared" si="70"/>
        <v>Szanowna Pani</v>
      </c>
      <c r="O1566" s="19" t="s">
        <v>9776</v>
      </c>
      <c r="U1566" t="str">
        <f t="shared" si="69"/>
        <v>tak</v>
      </c>
    </row>
    <row r="1567" spans="1:21">
      <c r="A1567">
        <v>1611</v>
      </c>
      <c r="B1567" t="s">
        <v>7134</v>
      </c>
      <c r="C1567" t="s">
        <v>7150</v>
      </c>
      <c r="D1567" t="s">
        <v>7516</v>
      </c>
      <c r="E1567" t="s">
        <v>7515</v>
      </c>
      <c r="F1567" t="s">
        <v>7514</v>
      </c>
      <c r="G1567" t="s">
        <v>7513</v>
      </c>
      <c r="H1567" t="s">
        <v>7512</v>
      </c>
      <c r="I1567" t="s">
        <v>9498</v>
      </c>
      <c r="K1567" t="s">
        <v>7511</v>
      </c>
      <c r="N1567" t="str">
        <f t="shared" si="70"/>
        <v>Szanowna Pani</v>
      </c>
      <c r="O1567" s="19" t="s">
        <v>9776</v>
      </c>
      <c r="U1567" t="str">
        <f t="shared" si="69"/>
        <v>tak</v>
      </c>
    </row>
    <row r="1568" spans="1:21">
      <c r="A1568">
        <v>1612</v>
      </c>
      <c r="B1568" t="s">
        <v>7134</v>
      </c>
      <c r="C1568" t="s">
        <v>7150</v>
      </c>
      <c r="D1568" t="s">
        <v>7521</v>
      </c>
      <c r="E1568" t="s">
        <v>7520</v>
      </c>
      <c r="F1568" t="s">
        <v>7519</v>
      </c>
      <c r="G1568" t="s">
        <v>7518</v>
      </c>
      <c r="H1568" t="s">
        <v>7517</v>
      </c>
      <c r="I1568" t="s">
        <v>9499</v>
      </c>
      <c r="K1568" t="s">
        <v>1658</v>
      </c>
      <c r="N1568" t="str">
        <f t="shared" si="70"/>
        <v>Szanowna Pani</v>
      </c>
      <c r="P1568" s="19" t="s">
        <v>9776</v>
      </c>
      <c r="U1568" t="str">
        <f t="shared" si="69"/>
        <v>tak</v>
      </c>
    </row>
    <row r="1569" spans="1:21">
      <c r="A1569">
        <v>1613</v>
      </c>
      <c r="B1569" t="s">
        <v>7134</v>
      </c>
      <c r="C1569" t="s">
        <v>7151</v>
      </c>
      <c r="D1569" t="s">
        <v>7526</v>
      </c>
      <c r="E1569" t="s">
        <v>7525</v>
      </c>
      <c r="F1569" t="s">
        <v>7524</v>
      </c>
      <c r="G1569" t="s">
        <v>7523</v>
      </c>
      <c r="H1569" t="s">
        <v>7522</v>
      </c>
      <c r="I1569" t="s">
        <v>9500</v>
      </c>
      <c r="K1569" t="s">
        <v>164</v>
      </c>
      <c r="N1569" t="str">
        <f t="shared" si="70"/>
        <v>Szanowna Pani</v>
      </c>
      <c r="O1569" s="19" t="s">
        <v>9776</v>
      </c>
      <c r="U1569" t="str">
        <f t="shared" si="69"/>
        <v>tak</v>
      </c>
    </row>
    <row r="1570" spans="1:21">
      <c r="A1570">
        <v>1614</v>
      </c>
      <c r="B1570" t="s">
        <v>7134</v>
      </c>
      <c r="C1570" t="s">
        <v>7151</v>
      </c>
      <c r="D1570" t="s">
        <v>7531</v>
      </c>
      <c r="E1570" t="s">
        <v>7530</v>
      </c>
      <c r="F1570" t="s">
        <v>7529</v>
      </c>
      <c r="G1570" t="s">
        <v>7528</v>
      </c>
      <c r="H1570" t="s">
        <v>7527</v>
      </c>
      <c r="I1570" t="s">
        <v>9501</v>
      </c>
      <c r="K1570" t="s">
        <v>164</v>
      </c>
      <c r="N1570" t="str">
        <f t="shared" si="70"/>
        <v>Szanowna Pani</v>
      </c>
      <c r="O1570" s="19" t="s">
        <v>9776</v>
      </c>
      <c r="U1570" t="str">
        <f t="shared" si="69"/>
        <v>tak</v>
      </c>
    </row>
    <row r="1571" spans="1:21">
      <c r="A1571">
        <v>1615</v>
      </c>
      <c r="B1571" t="s">
        <v>7134</v>
      </c>
      <c r="C1571" t="s">
        <v>7151</v>
      </c>
      <c r="D1571" t="s">
        <v>7534</v>
      </c>
      <c r="E1571" t="s">
        <v>7533</v>
      </c>
      <c r="F1571" t="s">
        <v>7213</v>
      </c>
      <c r="G1571" t="s">
        <v>7212</v>
      </c>
      <c r="H1571" t="s">
        <v>7532</v>
      </c>
      <c r="I1571" t="s">
        <v>9502</v>
      </c>
      <c r="K1571" t="s">
        <v>164</v>
      </c>
      <c r="N1571" t="str">
        <f t="shared" si="70"/>
        <v>Szanowna Pani</v>
      </c>
      <c r="O1571" s="19" t="s">
        <v>9776</v>
      </c>
      <c r="U1571" t="str">
        <f t="shared" si="69"/>
        <v>tak</v>
      </c>
    </row>
    <row r="1572" spans="1:21">
      <c r="A1572">
        <v>1616</v>
      </c>
      <c r="B1572" t="s">
        <v>7134</v>
      </c>
      <c r="C1572" t="s">
        <v>7151</v>
      </c>
      <c r="D1572" t="s">
        <v>7540</v>
      </c>
      <c r="E1572" t="s">
        <v>7539</v>
      </c>
      <c r="F1572" t="s">
        <v>7538</v>
      </c>
      <c r="G1572" t="s">
        <v>7537</v>
      </c>
      <c r="H1572" t="s">
        <v>7536</v>
      </c>
      <c r="I1572" t="s">
        <v>9503</v>
      </c>
      <c r="K1572" t="s">
        <v>7535</v>
      </c>
      <c r="N1572" t="str">
        <f t="shared" si="70"/>
        <v>Szanowny Pan</v>
      </c>
      <c r="O1572" s="19" t="s">
        <v>9776</v>
      </c>
      <c r="U1572" t="str">
        <f t="shared" si="69"/>
        <v>tak</v>
      </c>
    </row>
    <row r="1573" spans="1:21">
      <c r="A1573">
        <v>1617</v>
      </c>
      <c r="B1573" t="s">
        <v>7134</v>
      </c>
      <c r="C1573" t="s">
        <v>7151</v>
      </c>
      <c r="D1573" t="s">
        <v>7545</v>
      </c>
      <c r="E1573" t="s">
        <v>7544</v>
      </c>
      <c r="F1573" t="s">
        <v>7543</v>
      </c>
      <c r="G1573" t="s">
        <v>7542</v>
      </c>
      <c r="H1573" t="s">
        <v>7541</v>
      </c>
      <c r="I1573" t="s">
        <v>9504</v>
      </c>
      <c r="K1573" t="s">
        <v>164</v>
      </c>
      <c r="N1573" t="str">
        <f t="shared" si="70"/>
        <v>Szanowna Pani</v>
      </c>
      <c r="O1573" s="19" t="s">
        <v>9776</v>
      </c>
      <c r="U1573" t="str">
        <f t="shared" si="69"/>
        <v>tak</v>
      </c>
    </row>
    <row r="1574" spans="1:21">
      <c r="A1574">
        <v>1618</v>
      </c>
      <c r="B1574" t="s">
        <v>7134</v>
      </c>
      <c r="C1574" t="s">
        <v>7151</v>
      </c>
      <c r="D1574" t="s">
        <v>7550</v>
      </c>
      <c r="E1574" t="s">
        <v>7549</v>
      </c>
      <c r="F1574" t="s">
        <v>7543</v>
      </c>
      <c r="G1574" t="s">
        <v>7548</v>
      </c>
      <c r="H1574" t="s">
        <v>7547</v>
      </c>
      <c r="I1574" t="s">
        <v>9505</v>
      </c>
      <c r="K1574" t="s">
        <v>7546</v>
      </c>
      <c r="N1574" t="str">
        <f t="shared" si="70"/>
        <v>Szanowna Pani</v>
      </c>
      <c r="Q1574" s="19" t="s">
        <v>9776</v>
      </c>
      <c r="R1574" t="s">
        <v>9781</v>
      </c>
      <c r="U1574" t="str">
        <f t="shared" si="69"/>
        <v>tak</v>
      </c>
    </row>
    <row r="1575" spans="1:21">
      <c r="A1575">
        <v>1619</v>
      </c>
      <c r="B1575" t="s">
        <v>7134</v>
      </c>
      <c r="C1575" t="s">
        <v>7151</v>
      </c>
      <c r="D1575" t="s">
        <v>7555</v>
      </c>
      <c r="E1575" t="s">
        <v>7554</v>
      </c>
      <c r="F1575" t="s">
        <v>7553</v>
      </c>
      <c r="G1575" t="s">
        <v>7552</v>
      </c>
      <c r="H1575" t="s">
        <v>7551</v>
      </c>
      <c r="I1575" t="s">
        <v>9506</v>
      </c>
      <c r="K1575" t="s">
        <v>164</v>
      </c>
      <c r="N1575" t="str">
        <f t="shared" si="70"/>
        <v>Szanowna Pani</v>
      </c>
      <c r="O1575" s="19" t="s">
        <v>9776</v>
      </c>
      <c r="U1575" t="str">
        <f t="shared" si="69"/>
        <v>tak</v>
      </c>
    </row>
    <row r="1576" spans="1:21">
      <c r="A1576">
        <v>1620</v>
      </c>
      <c r="B1576" t="s">
        <v>7134</v>
      </c>
      <c r="C1576" t="s">
        <v>7152</v>
      </c>
      <c r="D1576" t="s">
        <v>7559</v>
      </c>
      <c r="E1576" t="s">
        <v>7558</v>
      </c>
      <c r="F1576" t="s">
        <v>7557</v>
      </c>
      <c r="G1576" t="s">
        <v>7556</v>
      </c>
      <c r="H1576" t="s">
        <v>9755</v>
      </c>
      <c r="I1576" s="15" t="s">
        <v>9765</v>
      </c>
      <c r="K1576" t="s">
        <v>164</v>
      </c>
      <c r="N1576" t="str">
        <f t="shared" si="70"/>
        <v>Szanowna Pani</v>
      </c>
      <c r="O1576" s="19" t="s">
        <v>9776</v>
      </c>
      <c r="U1576" t="str">
        <f t="shared" si="69"/>
        <v>tak</v>
      </c>
    </row>
    <row r="1577" spans="1:21">
      <c r="A1577">
        <v>1621</v>
      </c>
      <c r="B1577" t="s">
        <v>7134</v>
      </c>
      <c r="C1577" t="s">
        <v>7152</v>
      </c>
      <c r="D1577" t="s">
        <v>7565</v>
      </c>
      <c r="E1577" t="s">
        <v>7564</v>
      </c>
      <c r="F1577" t="s">
        <v>7563</v>
      </c>
      <c r="G1577" t="s">
        <v>7562</v>
      </c>
      <c r="H1577" t="s">
        <v>7561</v>
      </c>
      <c r="I1577" t="s">
        <v>9507</v>
      </c>
      <c r="K1577" t="s">
        <v>7560</v>
      </c>
      <c r="N1577" t="str">
        <f t="shared" si="70"/>
        <v>Szanowna Pani</v>
      </c>
      <c r="O1577" s="19" t="s">
        <v>9776</v>
      </c>
      <c r="U1577" t="str">
        <f t="shared" si="69"/>
        <v>tak</v>
      </c>
    </row>
    <row r="1578" spans="1:21">
      <c r="A1578">
        <v>1622</v>
      </c>
      <c r="B1578" t="s">
        <v>7134</v>
      </c>
      <c r="C1578" t="s">
        <v>7152</v>
      </c>
      <c r="D1578" t="s">
        <v>7570</v>
      </c>
      <c r="E1578" t="s">
        <v>7569</v>
      </c>
      <c r="F1578" t="s">
        <v>7568</v>
      </c>
      <c r="G1578" t="s">
        <v>7567</v>
      </c>
      <c r="H1578" t="s">
        <v>7566</v>
      </c>
      <c r="K1578" t="s">
        <v>164</v>
      </c>
      <c r="N1578" t="str">
        <f t="shared" si="70"/>
        <v>Szanowna Pani</v>
      </c>
      <c r="O1578" s="19" t="s">
        <v>9776</v>
      </c>
      <c r="U1578" t="str">
        <f t="shared" si="69"/>
        <v>tak</v>
      </c>
    </row>
    <row r="1579" spans="1:21">
      <c r="A1579">
        <v>1623</v>
      </c>
      <c r="B1579" t="s">
        <v>7134</v>
      </c>
      <c r="C1579" t="s">
        <v>7160</v>
      </c>
      <c r="D1579" t="s">
        <v>7574</v>
      </c>
      <c r="E1579" t="s">
        <v>265</v>
      </c>
      <c r="F1579" t="s">
        <v>7573</v>
      </c>
      <c r="G1579" t="s">
        <v>7572</v>
      </c>
      <c r="H1579" t="s">
        <v>7571</v>
      </c>
      <c r="I1579" t="s">
        <v>9508</v>
      </c>
      <c r="K1579" t="s">
        <v>164</v>
      </c>
      <c r="N1579" t="str">
        <f t="shared" si="70"/>
        <v>Szanowna Pani</v>
      </c>
      <c r="O1579" s="19" t="s">
        <v>9776</v>
      </c>
      <c r="U1579" t="str">
        <f t="shared" si="69"/>
        <v>tak</v>
      </c>
    </row>
    <row r="1580" spans="1:21">
      <c r="A1580">
        <v>1624</v>
      </c>
      <c r="B1580" t="s">
        <v>7134</v>
      </c>
      <c r="C1580" t="s">
        <v>7160</v>
      </c>
      <c r="D1580" t="s">
        <v>7579</v>
      </c>
      <c r="E1580" t="s">
        <v>7578</v>
      </c>
      <c r="F1580" t="s">
        <v>7577</v>
      </c>
      <c r="G1580" t="s">
        <v>7576</v>
      </c>
      <c r="H1580" t="s">
        <v>7575</v>
      </c>
      <c r="I1580" t="s">
        <v>9509</v>
      </c>
      <c r="K1580" t="s">
        <v>224</v>
      </c>
      <c r="N1580" t="str">
        <f t="shared" si="70"/>
        <v>Szanowna Pani</v>
      </c>
      <c r="Q1580" s="19" t="s">
        <v>9776</v>
      </c>
      <c r="U1580" t="str">
        <f t="shared" si="69"/>
        <v>tak</v>
      </c>
    </row>
    <row r="1581" spans="1:21">
      <c r="A1581">
        <v>1625</v>
      </c>
      <c r="B1581" t="s">
        <v>7134</v>
      </c>
      <c r="C1581" t="s">
        <v>7160</v>
      </c>
      <c r="D1581" t="s">
        <v>7584</v>
      </c>
      <c r="E1581" t="s">
        <v>7583</v>
      </c>
      <c r="F1581" t="s">
        <v>7582</v>
      </c>
      <c r="G1581" t="s">
        <v>7581</v>
      </c>
      <c r="H1581" t="s">
        <v>7580</v>
      </c>
      <c r="I1581" t="s">
        <v>9510</v>
      </c>
      <c r="K1581" t="s">
        <v>164</v>
      </c>
      <c r="N1581" t="str">
        <f t="shared" si="70"/>
        <v>Szanowna Pani</v>
      </c>
      <c r="O1581" s="19" t="s">
        <v>9776</v>
      </c>
      <c r="U1581" t="str">
        <f t="shared" si="69"/>
        <v>tak</v>
      </c>
    </row>
    <row r="1582" spans="1:21">
      <c r="A1582">
        <v>1626</v>
      </c>
      <c r="B1582" t="s">
        <v>7134</v>
      </c>
      <c r="C1582" t="s">
        <v>7160</v>
      </c>
      <c r="D1582" t="s">
        <v>7584</v>
      </c>
      <c r="E1582" t="s">
        <v>7583</v>
      </c>
      <c r="F1582" t="s">
        <v>7582</v>
      </c>
      <c r="G1582" t="s">
        <v>7581</v>
      </c>
      <c r="H1582" t="s">
        <v>7585</v>
      </c>
      <c r="I1582" t="s">
        <v>9510</v>
      </c>
      <c r="K1582" t="s">
        <v>224</v>
      </c>
      <c r="N1582" t="str">
        <f t="shared" si="70"/>
        <v>Szanowna Pani</v>
      </c>
      <c r="Q1582" s="19" t="s">
        <v>9776</v>
      </c>
      <c r="U1582" t="str">
        <f t="shared" si="69"/>
        <v>tak</v>
      </c>
    </row>
    <row r="1583" spans="1:21">
      <c r="A1583">
        <v>1627</v>
      </c>
      <c r="B1583" t="s">
        <v>7134</v>
      </c>
      <c r="C1583" t="s">
        <v>7160</v>
      </c>
      <c r="D1583" t="s">
        <v>7591</v>
      </c>
      <c r="E1583" t="s">
        <v>7590</v>
      </c>
      <c r="F1583" t="s">
        <v>7589</v>
      </c>
      <c r="G1583" t="s">
        <v>7588</v>
      </c>
      <c r="H1583" t="s">
        <v>7587</v>
      </c>
      <c r="I1583" t="s">
        <v>9511</v>
      </c>
      <c r="K1583" t="s">
        <v>7586</v>
      </c>
      <c r="N1583" t="str">
        <f t="shared" si="70"/>
        <v>Szanowna Pani</v>
      </c>
      <c r="O1583" s="19" t="s">
        <v>9776</v>
      </c>
      <c r="S1583" t="s">
        <v>9744</v>
      </c>
      <c r="U1583" t="str">
        <f t="shared" si="69"/>
        <v>tak</v>
      </c>
    </row>
    <row r="1584" spans="1:21">
      <c r="A1584">
        <v>1628</v>
      </c>
      <c r="B1584" t="s">
        <v>7134</v>
      </c>
      <c r="C1584" t="s">
        <v>7160</v>
      </c>
      <c r="D1584" t="s">
        <v>7597</v>
      </c>
      <c r="E1584" t="s">
        <v>7596</v>
      </c>
      <c r="F1584" t="s">
        <v>7595</v>
      </c>
      <c r="G1584" t="s">
        <v>7594</v>
      </c>
      <c r="H1584" t="s">
        <v>7593</v>
      </c>
      <c r="I1584" t="s">
        <v>9512</v>
      </c>
      <c r="K1584" t="s">
        <v>7592</v>
      </c>
      <c r="N1584" t="str">
        <f t="shared" si="70"/>
        <v>Szanowna Pani</v>
      </c>
      <c r="P1584" s="19" t="s">
        <v>9776</v>
      </c>
      <c r="U1584" t="str">
        <f t="shared" si="69"/>
        <v>tak</v>
      </c>
    </row>
    <row r="1585" spans="1:21">
      <c r="A1585">
        <v>1629</v>
      </c>
      <c r="B1585" t="s">
        <v>7134</v>
      </c>
      <c r="C1585" t="s">
        <v>7160</v>
      </c>
      <c r="D1585" t="s">
        <v>9697</v>
      </c>
      <c r="E1585" t="s">
        <v>9698</v>
      </c>
      <c r="F1585" t="s">
        <v>7600</v>
      </c>
      <c r="H1585" t="s">
        <v>7599</v>
      </c>
      <c r="I1585" t="s">
        <v>9513</v>
      </c>
      <c r="K1585" t="s">
        <v>7598</v>
      </c>
      <c r="N1585" t="str">
        <f t="shared" si="70"/>
        <v>Szanowna Pani</v>
      </c>
      <c r="O1585" s="19" t="s">
        <v>9776</v>
      </c>
      <c r="U1585" t="str">
        <f t="shared" si="69"/>
        <v>tak</v>
      </c>
    </row>
    <row r="1586" spans="1:21">
      <c r="A1586">
        <v>1630</v>
      </c>
      <c r="B1586" t="s">
        <v>7134</v>
      </c>
      <c r="C1586" t="s">
        <v>7160</v>
      </c>
      <c r="D1586" t="s">
        <v>7604</v>
      </c>
      <c r="E1586" t="s">
        <v>7406</v>
      </c>
      <c r="F1586" t="s">
        <v>7603</v>
      </c>
      <c r="G1586" t="s">
        <v>7602</v>
      </c>
      <c r="H1586" t="s">
        <v>7601</v>
      </c>
      <c r="I1586" t="s">
        <v>9514</v>
      </c>
      <c r="K1586" t="s">
        <v>7201</v>
      </c>
      <c r="N1586" t="str">
        <f t="shared" si="70"/>
        <v>Szanowna Pani</v>
      </c>
      <c r="O1586" s="19" t="s">
        <v>9776</v>
      </c>
      <c r="U1586" t="str">
        <f t="shared" si="69"/>
        <v>tak</v>
      </c>
    </row>
    <row r="1587" spans="1:21">
      <c r="A1587">
        <v>1631</v>
      </c>
      <c r="B1587" t="s">
        <v>7134</v>
      </c>
      <c r="C1587" t="s">
        <v>7160</v>
      </c>
      <c r="D1587" t="s">
        <v>9699</v>
      </c>
      <c r="E1587" t="s">
        <v>9700</v>
      </c>
      <c r="F1587" t="s">
        <v>7381</v>
      </c>
      <c r="G1587" t="s">
        <v>7380</v>
      </c>
      <c r="H1587" t="s">
        <v>7605</v>
      </c>
      <c r="I1587" t="s">
        <v>9515</v>
      </c>
      <c r="K1587" t="s">
        <v>165</v>
      </c>
      <c r="N1587" t="str">
        <f t="shared" si="70"/>
        <v>Szanowna Pani</v>
      </c>
      <c r="P1587" s="19" t="s">
        <v>9776</v>
      </c>
      <c r="U1587" t="str">
        <f t="shared" si="69"/>
        <v>tak</v>
      </c>
    </row>
    <row r="1588" spans="1:21">
      <c r="A1588">
        <v>1632</v>
      </c>
      <c r="B1588" t="s">
        <v>7134</v>
      </c>
      <c r="C1588" t="s">
        <v>7160</v>
      </c>
      <c r="D1588" t="s">
        <v>7610</v>
      </c>
      <c r="E1588" t="s">
        <v>7609</v>
      </c>
      <c r="F1588" t="s">
        <v>7608</v>
      </c>
      <c r="G1588" t="s">
        <v>7607</v>
      </c>
      <c r="H1588" t="s">
        <v>7606</v>
      </c>
      <c r="I1588" t="s">
        <v>9516</v>
      </c>
      <c r="K1588" t="s">
        <v>165</v>
      </c>
      <c r="N1588" t="str">
        <f t="shared" si="70"/>
        <v>Szanowne Panie</v>
      </c>
      <c r="P1588" s="19" t="s">
        <v>9776</v>
      </c>
      <c r="U1588" t="str">
        <f t="shared" si="69"/>
        <v>tak</v>
      </c>
    </row>
    <row r="1589" spans="1:21">
      <c r="A1589">
        <v>1633</v>
      </c>
      <c r="B1589" t="s">
        <v>7134</v>
      </c>
      <c r="C1589" t="s">
        <v>7160</v>
      </c>
      <c r="D1589" t="s">
        <v>3007</v>
      </c>
      <c r="E1589" t="s">
        <v>7609</v>
      </c>
      <c r="F1589" t="s">
        <v>7608</v>
      </c>
      <c r="G1589" t="s">
        <v>7613</v>
      </c>
      <c r="H1589" t="s">
        <v>7612</v>
      </c>
      <c r="I1589" t="s">
        <v>9517</v>
      </c>
      <c r="K1589" t="s">
        <v>7611</v>
      </c>
      <c r="N1589" t="str">
        <f t="shared" si="70"/>
        <v>Szanowna Pani</v>
      </c>
      <c r="O1589" s="19" t="s">
        <v>9776</v>
      </c>
      <c r="U1589" t="str">
        <f t="shared" si="69"/>
        <v>tak</v>
      </c>
    </row>
    <row r="1590" spans="1:21">
      <c r="A1590">
        <v>1634</v>
      </c>
      <c r="B1590" t="s">
        <v>7134</v>
      </c>
      <c r="C1590" t="s">
        <v>7160</v>
      </c>
      <c r="D1590" t="s">
        <v>3007</v>
      </c>
      <c r="E1590" t="s">
        <v>7609</v>
      </c>
      <c r="F1590" t="s">
        <v>7608</v>
      </c>
      <c r="G1590" t="s">
        <v>7613</v>
      </c>
      <c r="H1590" t="s">
        <v>7612</v>
      </c>
      <c r="I1590" t="s">
        <v>9517</v>
      </c>
      <c r="K1590" t="s">
        <v>164</v>
      </c>
      <c r="N1590" t="str">
        <f t="shared" si="70"/>
        <v>Szanowna Pani</v>
      </c>
      <c r="O1590" s="19" t="s">
        <v>9776</v>
      </c>
      <c r="U1590" t="str">
        <f t="shared" si="69"/>
        <v>tak</v>
      </c>
    </row>
    <row r="1591" spans="1:21">
      <c r="A1591">
        <v>1635</v>
      </c>
      <c r="B1591" t="s">
        <v>7134</v>
      </c>
      <c r="C1591" t="s">
        <v>7160</v>
      </c>
      <c r="D1591" t="s">
        <v>3007</v>
      </c>
      <c r="E1591" t="s">
        <v>7609</v>
      </c>
      <c r="F1591" t="s">
        <v>7608</v>
      </c>
      <c r="G1591" t="s">
        <v>7613</v>
      </c>
      <c r="H1591" t="s">
        <v>7614</v>
      </c>
      <c r="I1591" t="s">
        <v>9516</v>
      </c>
      <c r="K1591" t="s">
        <v>164</v>
      </c>
      <c r="N1591" t="str">
        <f t="shared" si="70"/>
        <v>Szanowna Pani</v>
      </c>
      <c r="O1591" s="19" t="s">
        <v>9776</v>
      </c>
      <c r="U1591" t="str">
        <f t="shared" si="69"/>
        <v>tak</v>
      </c>
    </row>
    <row r="1592" spans="1:21">
      <c r="A1592">
        <v>1636</v>
      </c>
      <c r="B1592" t="s">
        <v>7134</v>
      </c>
      <c r="C1592" t="s">
        <v>7161</v>
      </c>
      <c r="D1592" t="s">
        <v>615</v>
      </c>
      <c r="E1592" t="s">
        <v>7619</v>
      </c>
      <c r="F1592" t="s">
        <v>7618</v>
      </c>
      <c r="G1592" t="s">
        <v>7617</v>
      </c>
      <c r="H1592" t="s">
        <v>7616</v>
      </c>
      <c r="I1592" t="s">
        <v>9518</v>
      </c>
      <c r="K1592" t="s">
        <v>7615</v>
      </c>
      <c r="N1592" t="str">
        <f t="shared" si="70"/>
        <v>Szanowna Pani</v>
      </c>
      <c r="O1592" s="19" t="s">
        <v>9776</v>
      </c>
      <c r="U1592" t="str">
        <f t="shared" si="69"/>
        <v>tak</v>
      </c>
    </row>
    <row r="1593" spans="1:21">
      <c r="A1593">
        <v>1637</v>
      </c>
      <c r="B1593" t="s">
        <v>7134</v>
      </c>
      <c r="C1593" t="s">
        <v>7161</v>
      </c>
      <c r="D1593" t="s">
        <v>615</v>
      </c>
      <c r="E1593" t="s">
        <v>7619</v>
      </c>
      <c r="F1593" t="s">
        <v>7618</v>
      </c>
      <c r="G1593" t="s">
        <v>7617</v>
      </c>
      <c r="H1593" t="s">
        <v>7621</v>
      </c>
      <c r="I1593" t="s">
        <v>9519</v>
      </c>
      <c r="K1593" t="s">
        <v>7620</v>
      </c>
      <c r="N1593" t="str">
        <f t="shared" si="70"/>
        <v>Szanowna Pani</v>
      </c>
      <c r="O1593" s="19" t="s">
        <v>9776</v>
      </c>
      <c r="U1593" t="str">
        <f t="shared" si="69"/>
        <v>tak</v>
      </c>
    </row>
    <row r="1594" spans="1:21">
      <c r="A1594">
        <v>1638</v>
      </c>
      <c r="B1594" t="s">
        <v>7134</v>
      </c>
      <c r="C1594" t="s">
        <v>7161</v>
      </c>
      <c r="D1594" t="s">
        <v>615</v>
      </c>
      <c r="E1594" t="s">
        <v>7619</v>
      </c>
      <c r="F1594" t="s">
        <v>7618</v>
      </c>
      <c r="G1594" t="s">
        <v>9754</v>
      </c>
      <c r="H1594" t="s">
        <v>7623</v>
      </c>
      <c r="I1594" s="15" t="s">
        <v>9771</v>
      </c>
      <c r="K1594" t="s">
        <v>7622</v>
      </c>
      <c r="N1594" t="str">
        <f t="shared" si="70"/>
        <v>Szanowna Pani</v>
      </c>
      <c r="O1594" s="19" t="s">
        <v>9776</v>
      </c>
      <c r="S1594" t="s">
        <v>9712</v>
      </c>
      <c r="U1594" t="str">
        <f t="shared" si="69"/>
        <v>tak</v>
      </c>
    </row>
    <row r="1595" spans="1:21">
      <c r="A1595">
        <v>1639</v>
      </c>
      <c r="B1595" t="s">
        <v>7134</v>
      </c>
      <c r="C1595" t="s">
        <v>7161</v>
      </c>
      <c r="D1595" t="s">
        <v>615</v>
      </c>
      <c r="E1595" t="s">
        <v>7619</v>
      </c>
      <c r="F1595" t="s">
        <v>7618</v>
      </c>
      <c r="G1595" t="s">
        <v>7617</v>
      </c>
      <c r="H1595" t="s">
        <v>7625</v>
      </c>
      <c r="I1595" t="s">
        <v>9520</v>
      </c>
      <c r="K1595" t="s">
        <v>7624</v>
      </c>
      <c r="N1595" t="str">
        <f t="shared" si="70"/>
        <v>Szanowna Pani</v>
      </c>
      <c r="O1595" s="19" t="s">
        <v>9776</v>
      </c>
      <c r="U1595" t="str">
        <f t="shared" si="69"/>
        <v>tak</v>
      </c>
    </row>
    <row r="1596" spans="1:21">
      <c r="A1596">
        <v>1640</v>
      </c>
      <c r="B1596" t="s">
        <v>7134</v>
      </c>
      <c r="C1596" t="s">
        <v>7161</v>
      </c>
      <c r="D1596" t="s">
        <v>615</v>
      </c>
      <c r="E1596" t="s">
        <v>7619</v>
      </c>
      <c r="F1596" t="s">
        <v>7618</v>
      </c>
      <c r="G1596" t="s">
        <v>7617</v>
      </c>
      <c r="H1596" t="s">
        <v>7627</v>
      </c>
      <c r="I1596" t="s">
        <v>9521</v>
      </c>
      <c r="K1596" t="s">
        <v>7626</v>
      </c>
      <c r="N1596" t="str">
        <f t="shared" si="70"/>
        <v>Szanowne Panie</v>
      </c>
      <c r="O1596" s="19" t="s">
        <v>9776</v>
      </c>
      <c r="U1596" t="str">
        <f t="shared" si="69"/>
        <v>tak</v>
      </c>
    </row>
    <row r="1597" spans="1:21">
      <c r="A1597">
        <v>1641</v>
      </c>
      <c r="B1597" t="s">
        <v>7134</v>
      </c>
      <c r="C1597" t="s">
        <v>7161</v>
      </c>
      <c r="D1597" t="s">
        <v>615</v>
      </c>
      <c r="E1597" t="s">
        <v>7619</v>
      </c>
      <c r="F1597" t="s">
        <v>7618</v>
      </c>
      <c r="G1597" t="s">
        <v>7617</v>
      </c>
      <c r="H1597" t="s">
        <v>7628</v>
      </c>
      <c r="I1597" t="s">
        <v>9522</v>
      </c>
      <c r="K1597" t="s">
        <v>164</v>
      </c>
      <c r="N1597" t="str">
        <f t="shared" si="70"/>
        <v>Szanowna Pani</v>
      </c>
      <c r="O1597" s="19" t="s">
        <v>9776</v>
      </c>
      <c r="U1597" t="str">
        <f t="shared" si="69"/>
        <v>tak</v>
      </c>
    </row>
    <row r="1598" spans="1:21">
      <c r="A1598">
        <v>1642</v>
      </c>
      <c r="B1598" t="s">
        <v>7134</v>
      </c>
      <c r="C1598" t="s">
        <v>7161</v>
      </c>
      <c r="D1598" t="s">
        <v>3443</v>
      </c>
      <c r="E1598" t="s">
        <v>7632</v>
      </c>
      <c r="F1598" t="s">
        <v>7631</v>
      </c>
      <c r="G1598" t="s">
        <v>7630</v>
      </c>
      <c r="H1598" t="s">
        <v>9746</v>
      </c>
      <c r="I1598" t="s">
        <v>9523</v>
      </c>
      <c r="K1598" t="s">
        <v>7629</v>
      </c>
      <c r="N1598" t="str">
        <f t="shared" si="70"/>
        <v>Szanowny Pan</v>
      </c>
      <c r="O1598" s="19" t="s">
        <v>9776</v>
      </c>
      <c r="U1598" t="str">
        <f t="shared" si="69"/>
        <v>tak</v>
      </c>
    </row>
    <row r="1599" spans="1:21">
      <c r="A1599">
        <v>1643</v>
      </c>
      <c r="B1599" t="s">
        <v>7134</v>
      </c>
      <c r="C1599" t="s">
        <v>7161</v>
      </c>
      <c r="D1599" t="s">
        <v>5901</v>
      </c>
      <c r="E1599" t="s">
        <v>7636</v>
      </c>
      <c r="F1599" t="s">
        <v>7635</v>
      </c>
      <c r="G1599" t="s">
        <v>7634</v>
      </c>
      <c r="H1599" t="s">
        <v>7633</v>
      </c>
      <c r="I1599" t="s">
        <v>9524</v>
      </c>
      <c r="K1599" t="s">
        <v>164</v>
      </c>
      <c r="N1599" t="str">
        <f t="shared" si="70"/>
        <v>Szanowna Pani</v>
      </c>
      <c r="O1599" s="19" t="s">
        <v>9776</v>
      </c>
      <c r="U1599" t="str">
        <f t="shared" si="69"/>
        <v>tak</v>
      </c>
    </row>
    <row r="1600" spans="1:21">
      <c r="A1600">
        <v>1644</v>
      </c>
      <c r="B1600" t="s">
        <v>7134</v>
      </c>
      <c r="C1600" t="s">
        <v>7161</v>
      </c>
      <c r="D1600" t="s">
        <v>2616</v>
      </c>
      <c r="E1600" t="s">
        <v>7640</v>
      </c>
      <c r="F1600" t="s">
        <v>7639</v>
      </c>
      <c r="G1600" t="s">
        <v>7638</v>
      </c>
      <c r="H1600" t="s">
        <v>7637</v>
      </c>
      <c r="I1600" t="s">
        <v>9525</v>
      </c>
      <c r="K1600" t="s">
        <v>164</v>
      </c>
      <c r="N1600" t="str">
        <f t="shared" si="70"/>
        <v>Szanowna Pani</v>
      </c>
      <c r="O1600" s="19" t="s">
        <v>9776</v>
      </c>
      <c r="U1600" t="str">
        <f t="shared" si="69"/>
        <v>tak</v>
      </c>
    </row>
    <row r="1601" spans="1:21">
      <c r="A1601">
        <v>1645</v>
      </c>
      <c r="B1601" t="s">
        <v>7134</v>
      </c>
      <c r="C1601" t="s">
        <v>7161</v>
      </c>
      <c r="D1601" t="s">
        <v>7645</v>
      </c>
      <c r="E1601" t="s">
        <v>7644</v>
      </c>
      <c r="F1601" t="s">
        <v>7643</v>
      </c>
      <c r="G1601" t="s">
        <v>7642</v>
      </c>
      <c r="H1601" t="s">
        <v>7641</v>
      </c>
      <c r="I1601" t="s">
        <v>9526</v>
      </c>
      <c r="K1601" t="s">
        <v>164</v>
      </c>
      <c r="N1601" t="str">
        <f t="shared" si="70"/>
        <v>Szanowna Pani</v>
      </c>
      <c r="O1601" s="19" t="s">
        <v>9776</v>
      </c>
      <c r="U1601" t="str">
        <f t="shared" si="69"/>
        <v>tak</v>
      </c>
    </row>
    <row r="1602" spans="1:21">
      <c r="A1602">
        <v>1646</v>
      </c>
      <c r="B1602" t="s">
        <v>7134</v>
      </c>
      <c r="C1602" t="s">
        <v>7161</v>
      </c>
      <c r="D1602" t="s">
        <v>2693</v>
      </c>
      <c r="E1602" t="s">
        <v>7644</v>
      </c>
      <c r="F1602" t="s">
        <v>7643</v>
      </c>
      <c r="G1602" t="s">
        <v>7642</v>
      </c>
      <c r="H1602" t="s">
        <v>7646</v>
      </c>
      <c r="I1602" t="s">
        <v>9526</v>
      </c>
      <c r="K1602" t="s">
        <v>224</v>
      </c>
      <c r="N1602" t="str">
        <f t="shared" si="70"/>
        <v>Szanowna Pani</v>
      </c>
      <c r="Q1602" s="19" t="s">
        <v>9776</v>
      </c>
      <c r="U1602" t="str">
        <f t="shared" si="69"/>
        <v>tak</v>
      </c>
    </row>
    <row r="1603" spans="1:21">
      <c r="A1603">
        <v>1647</v>
      </c>
      <c r="B1603" t="s">
        <v>7134</v>
      </c>
      <c r="C1603" t="s">
        <v>7161</v>
      </c>
      <c r="D1603" t="s">
        <v>7651</v>
      </c>
      <c r="E1603" t="s">
        <v>7650</v>
      </c>
      <c r="F1603" t="s">
        <v>7649</v>
      </c>
      <c r="G1603" t="s">
        <v>7648</v>
      </c>
      <c r="H1603" t="s">
        <v>7647</v>
      </c>
      <c r="I1603" t="s">
        <v>9527</v>
      </c>
      <c r="K1603" t="s">
        <v>7743</v>
      </c>
      <c r="N1603" t="str">
        <f t="shared" si="70"/>
        <v>Szanowna Pani</v>
      </c>
      <c r="O1603" s="19" t="s">
        <v>9776</v>
      </c>
      <c r="U1603" t="str">
        <f t="shared" si="69"/>
        <v>tak</v>
      </c>
    </row>
    <row r="1604" spans="1:21">
      <c r="A1604">
        <v>1648</v>
      </c>
      <c r="B1604" t="s">
        <v>7134</v>
      </c>
      <c r="C1604" t="s">
        <v>7161</v>
      </c>
      <c r="D1604" t="s">
        <v>2613</v>
      </c>
      <c r="E1604" t="s">
        <v>7655</v>
      </c>
      <c r="F1604" t="s">
        <v>7631</v>
      </c>
      <c r="G1604" t="s">
        <v>7654</v>
      </c>
      <c r="H1604" t="s">
        <v>7653</v>
      </c>
      <c r="I1604" t="s">
        <v>9528</v>
      </c>
      <c r="K1604" t="s">
        <v>7652</v>
      </c>
      <c r="N1604" t="str">
        <f t="shared" si="70"/>
        <v>Szanowna Pani</v>
      </c>
      <c r="O1604" s="19" t="s">
        <v>9776</v>
      </c>
      <c r="U1604" t="str">
        <f t="shared" ref="U1604:U1667" si="71">+O1604 &amp;P1604&amp;Q1604</f>
        <v>tak</v>
      </c>
    </row>
    <row r="1605" spans="1:21">
      <c r="A1605">
        <v>1649</v>
      </c>
      <c r="B1605" t="s">
        <v>7134</v>
      </c>
      <c r="C1605" t="s">
        <v>7161</v>
      </c>
      <c r="D1605" t="s">
        <v>7660</v>
      </c>
      <c r="E1605" t="s">
        <v>7659</v>
      </c>
      <c r="F1605" t="s">
        <v>7658</v>
      </c>
      <c r="H1605" t="s">
        <v>7657</v>
      </c>
      <c r="I1605" t="s">
        <v>9529</v>
      </c>
      <c r="K1605" t="s">
        <v>7656</v>
      </c>
      <c r="N1605" t="str">
        <f t="shared" si="70"/>
        <v>Szanowna Pani</v>
      </c>
      <c r="O1605" s="19" t="s">
        <v>9776</v>
      </c>
      <c r="U1605" t="str">
        <f t="shared" si="71"/>
        <v>tak</v>
      </c>
    </row>
    <row r="1606" spans="1:21">
      <c r="A1606">
        <v>1650</v>
      </c>
      <c r="B1606" t="s">
        <v>7134</v>
      </c>
      <c r="C1606" t="s">
        <v>7161</v>
      </c>
      <c r="D1606" t="s">
        <v>9701</v>
      </c>
      <c r="E1606" t="s">
        <v>9702</v>
      </c>
      <c r="F1606" t="s">
        <v>7664</v>
      </c>
      <c r="G1606" t="s">
        <v>7663</v>
      </c>
      <c r="H1606" t="s">
        <v>7662</v>
      </c>
      <c r="I1606" t="s">
        <v>9530</v>
      </c>
      <c r="K1606" t="s">
        <v>7661</v>
      </c>
      <c r="N1606" t="s">
        <v>2208</v>
      </c>
      <c r="O1606" s="19" t="s">
        <v>9776</v>
      </c>
      <c r="U1606" t="str">
        <f t="shared" si="71"/>
        <v>tak</v>
      </c>
    </row>
    <row r="1607" spans="1:21">
      <c r="A1607">
        <v>1651</v>
      </c>
      <c r="B1607" t="s">
        <v>7134</v>
      </c>
      <c r="C1607" t="s">
        <v>7161</v>
      </c>
      <c r="D1607" t="s">
        <v>7669</v>
      </c>
      <c r="E1607" t="s">
        <v>7668</v>
      </c>
      <c r="F1607" t="s">
        <v>7667</v>
      </c>
      <c r="G1607" t="s">
        <v>7666</v>
      </c>
      <c r="H1607" t="s">
        <v>7665</v>
      </c>
      <c r="I1607" t="s">
        <v>9531</v>
      </c>
      <c r="K1607" t="s">
        <v>164</v>
      </c>
      <c r="N1607" t="str">
        <f t="shared" si="70"/>
        <v>Szanowna Pani</v>
      </c>
      <c r="O1607" s="19" t="s">
        <v>9776</v>
      </c>
      <c r="U1607" t="str">
        <f t="shared" si="71"/>
        <v>tak</v>
      </c>
    </row>
    <row r="1608" spans="1:21">
      <c r="A1608">
        <v>1652</v>
      </c>
      <c r="B1608" t="s">
        <v>7134</v>
      </c>
      <c r="C1608" t="s">
        <v>7161</v>
      </c>
      <c r="D1608" t="s">
        <v>7674</v>
      </c>
      <c r="E1608" t="s">
        <v>7673</v>
      </c>
      <c r="G1608" t="s">
        <v>7672</v>
      </c>
      <c r="H1608" t="s">
        <v>7671</v>
      </c>
      <c r="I1608" t="s">
        <v>9532</v>
      </c>
      <c r="K1608" t="s">
        <v>7670</v>
      </c>
      <c r="N1608" t="str">
        <f t="shared" si="70"/>
        <v>Szanowna Pani</v>
      </c>
      <c r="O1608" s="19" t="s">
        <v>9776</v>
      </c>
      <c r="U1608" t="str">
        <f t="shared" si="71"/>
        <v>tak</v>
      </c>
    </row>
    <row r="1609" spans="1:21">
      <c r="A1609">
        <v>1653</v>
      </c>
      <c r="B1609" t="s">
        <v>7134</v>
      </c>
      <c r="C1609" t="s">
        <v>7161</v>
      </c>
      <c r="D1609" t="s">
        <v>7679</v>
      </c>
      <c r="E1609" t="s">
        <v>7678</v>
      </c>
      <c r="F1609" t="s">
        <v>7677</v>
      </c>
      <c r="G1609" t="s">
        <v>7676</v>
      </c>
      <c r="H1609" t="s">
        <v>7675</v>
      </c>
      <c r="I1609" t="s">
        <v>9533</v>
      </c>
      <c r="K1609" t="s">
        <v>164</v>
      </c>
      <c r="N1609" t="str">
        <f t="shared" si="70"/>
        <v>Szanowna Pani</v>
      </c>
      <c r="O1609" s="19" t="s">
        <v>9776</v>
      </c>
      <c r="U1609" t="str">
        <f t="shared" si="71"/>
        <v>tak</v>
      </c>
    </row>
    <row r="1610" spans="1:21">
      <c r="A1610">
        <v>1654</v>
      </c>
      <c r="B1610" t="s">
        <v>7134</v>
      </c>
      <c r="C1610" t="s">
        <v>7161</v>
      </c>
      <c r="D1610" t="s">
        <v>7685</v>
      </c>
      <c r="E1610" t="s">
        <v>7684</v>
      </c>
      <c r="F1610" t="s">
        <v>7683</v>
      </c>
      <c r="G1610" t="s">
        <v>7682</v>
      </c>
      <c r="H1610" t="s">
        <v>7681</v>
      </c>
      <c r="I1610" t="s">
        <v>9534</v>
      </c>
      <c r="K1610" t="s">
        <v>7680</v>
      </c>
      <c r="N1610" t="str">
        <f t="shared" si="70"/>
        <v>Szanowna Pani</v>
      </c>
      <c r="O1610" s="19" t="s">
        <v>9776</v>
      </c>
      <c r="U1610" t="str">
        <f t="shared" si="71"/>
        <v>tak</v>
      </c>
    </row>
    <row r="1611" spans="1:21">
      <c r="A1611">
        <v>1655</v>
      </c>
      <c r="B1611" t="s">
        <v>7134</v>
      </c>
      <c r="C1611" t="s">
        <v>7161</v>
      </c>
      <c r="D1611" t="s">
        <v>7689</v>
      </c>
      <c r="E1611" t="s">
        <v>7688</v>
      </c>
      <c r="F1611" t="s">
        <v>7631</v>
      </c>
      <c r="G1611" t="s">
        <v>7687</v>
      </c>
      <c r="H1611" t="s">
        <v>7686</v>
      </c>
      <c r="I1611" t="s">
        <v>9535</v>
      </c>
      <c r="K1611" t="s">
        <v>164</v>
      </c>
      <c r="N1611" t="str">
        <f t="shared" si="70"/>
        <v>Szanowna Pani</v>
      </c>
      <c r="O1611" s="19" t="s">
        <v>9776</v>
      </c>
      <c r="U1611" t="str">
        <f t="shared" si="71"/>
        <v>tak</v>
      </c>
    </row>
    <row r="1612" spans="1:21">
      <c r="A1612">
        <v>1656</v>
      </c>
      <c r="B1612" t="s">
        <v>7134</v>
      </c>
      <c r="C1612" t="s">
        <v>7161</v>
      </c>
      <c r="D1612" t="s">
        <v>7695</v>
      </c>
      <c r="E1612" t="s">
        <v>7694</v>
      </c>
      <c r="F1612" t="s">
        <v>7693</v>
      </c>
      <c r="G1612" t="s">
        <v>7692</v>
      </c>
      <c r="H1612" t="s">
        <v>7691</v>
      </c>
      <c r="I1612" t="s">
        <v>9536</v>
      </c>
      <c r="K1612" t="s">
        <v>7690</v>
      </c>
      <c r="N1612" t="str">
        <f t="shared" si="70"/>
        <v>Szanowna Pani</v>
      </c>
      <c r="P1612" s="19" t="s">
        <v>9776</v>
      </c>
      <c r="U1612" t="str">
        <f t="shared" si="71"/>
        <v>tak</v>
      </c>
    </row>
    <row r="1613" spans="1:21">
      <c r="A1613">
        <v>1657</v>
      </c>
      <c r="B1613" t="s">
        <v>7134</v>
      </c>
      <c r="C1613" t="s">
        <v>7161</v>
      </c>
      <c r="D1613" t="s">
        <v>7701</v>
      </c>
      <c r="E1613" t="s">
        <v>7700</v>
      </c>
      <c r="F1613" t="s">
        <v>7699</v>
      </c>
      <c r="G1613" t="s">
        <v>7698</v>
      </c>
      <c r="H1613" t="s">
        <v>7697</v>
      </c>
      <c r="I1613" t="s">
        <v>9537</v>
      </c>
      <c r="K1613" t="s">
        <v>7696</v>
      </c>
      <c r="N1613" t="str">
        <f t="shared" si="70"/>
        <v>Szanowna Pani</v>
      </c>
      <c r="P1613" s="19" t="s">
        <v>9776</v>
      </c>
      <c r="U1613" t="str">
        <f t="shared" si="71"/>
        <v>tak</v>
      </c>
    </row>
    <row r="1614" spans="1:21">
      <c r="A1614">
        <v>1658</v>
      </c>
      <c r="B1614" t="s">
        <v>7134</v>
      </c>
      <c r="C1614" t="s">
        <v>7161</v>
      </c>
      <c r="D1614" t="s">
        <v>7707</v>
      </c>
      <c r="E1614" t="s">
        <v>7706</v>
      </c>
      <c r="F1614" t="s">
        <v>7705</v>
      </c>
      <c r="G1614" t="s">
        <v>7704</v>
      </c>
      <c r="H1614" t="s">
        <v>7703</v>
      </c>
      <c r="I1614" t="s">
        <v>9538</v>
      </c>
      <c r="K1614" t="s">
        <v>7702</v>
      </c>
      <c r="N1614" t="str">
        <f t="shared" si="70"/>
        <v>Szanowne Panie</v>
      </c>
      <c r="O1614" s="19" t="s">
        <v>9776</v>
      </c>
      <c r="U1614" t="str">
        <f t="shared" si="71"/>
        <v>tak</v>
      </c>
    </row>
    <row r="1615" spans="1:21">
      <c r="A1615">
        <v>1659</v>
      </c>
      <c r="B1615" t="s">
        <v>7134</v>
      </c>
      <c r="C1615" t="s">
        <v>7161</v>
      </c>
      <c r="D1615" t="s">
        <v>7712</v>
      </c>
      <c r="E1615" t="s">
        <v>7711</v>
      </c>
      <c r="F1615" t="s">
        <v>7710</v>
      </c>
      <c r="G1615" t="s">
        <v>7709</v>
      </c>
      <c r="H1615" t="s">
        <v>7708</v>
      </c>
      <c r="I1615" t="s">
        <v>9539</v>
      </c>
      <c r="K1615" t="s">
        <v>164</v>
      </c>
      <c r="N1615" t="str">
        <f t="shared" si="70"/>
        <v>Szanowna Pani</v>
      </c>
      <c r="O1615" s="19" t="s">
        <v>9776</v>
      </c>
      <c r="U1615" t="str">
        <f t="shared" si="71"/>
        <v>tak</v>
      </c>
    </row>
    <row r="1616" spans="1:21">
      <c r="A1616">
        <v>1660</v>
      </c>
      <c r="B1616" t="s">
        <v>7134</v>
      </c>
      <c r="C1616" t="s">
        <v>7161</v>
      </c>
      <c r="D1616" t="s">
        <v>7717</v>
      </c>
      <c r="E1616" t="s">
        <v>7716</v>
      </c>
      <c r="F1616" t="s">
        <v>7715</v>
      </c>
      <c r="G1616" t="s">
        <v>7714</v>
      </c>
      <c r="H1616" t="s">
        <v>7713</v>
      </c>
      <c r="I1616" s="15" t="s">
        <v>9753</v>
      </c>
      <c r="K1616" t="s">
        <v>164</v>
      </c>
      <c r="N1616" t="str">
        <f t="shared" si="70"/>
        <v>Szanowna Pani</v>
      </c>
      <c r="O1616" s="19" t="s">
        <v>9776</v>
      </c>
      <c r="U1616" t="str">
        <f t="shared" si="71"/>
        <v>tak</v>
      </c>
    </row>
    <row r="1617" spans="1:21">
      <c r="A1617">
        <v>1661</v>
      </c>
      <c r="B1617" t="s">
        <v>7134</v>
      </c>
      <c r="C1617" t="s">
        <v>7161</v>
      </c>
      <c r="D1617" t="s">
        <v>251</v>
      </c>
      <c r="E1617" t="s">
        <v>7716</v>
      </c>
      <c r="F1617" t="s">
        <v>7715</v>
      </c>
      <c r="G1617" t="s">
        <v>7714</v>
      </c>
      <c r="H1617" t="s">
        <v>7718</v>
      </c>
      <c r="I1617" t="s">
        <v>9540</v>
      </c>
      <c r="K1617" t="s">
        <v>165</v>
      </c>
      <c r="N1617" t="str">
        <f t="shared" si="70"/>
        <v>Szanowna Pani</v>
      </c>
      <c r="P1617" s="19" t="s">
        <v>9776</v>
      </c>
      <c r="U1617" t="str">
        <f t="shared" si="71"/>
        <v>tak</v>
      </c>
    </row>
    <row r="1618" spans="1:21">
      <c r="A1618">
        <v>1662</v>
      </c>
      <c r="B1618" t="s">
        <v>7134</v>
      </c>
      <c r="C1618" t="s">
        <v>7161</v>
      </c>
      <c r="D1618" t="s">
        <v>7722</v>
      </c>
      <c r="E1618" t="s">
        <v>4539</v>
      </c>
      <c r="F1618" t="s">
        <v>7721</v>
      </c>
      <c r="G1618" t="s">
        <v>7720</v>
      </c>
      <c r="H1618" t="s">
        <v>7719</v>
      </c>
      <c r="I1618" t="s">
        <v>9541</v>
      </c>
      <c r="K1618" t="s">
        <v>164</v>
      </c>
      <c r="N1618" t="str">
        <f t="shared" si="70"/>
        <v>Szanowna Pani</v>
      </c>
      <c r="O1618" s="19" t="s">
        <v>9776</v>
      </c>
      <c r="U1618" t="str">
        <f t="shared" si="71"/>
        <v>tak</v>
      </c>
    </row>
    <row r="1619" spans="1:21">
      <c r="A1619">
        <v>1663</v>
      </c>
      <c r="B1619" t="s">
        <v>7134</v>
      </c>
      <c r="C1619" t="s">
        <v>7161</v>
      </c>
      <c r="D1619" t="s">
        <v>7727</v>
      </c>
      <c r="E1619" t="s">
        <v>7726</v>
      </c>
      <c r="F1619" t="s">
        <v>7725</v>
      </c>
      <c r="G1619" t="s">
        <v>7724</v>
      </c>
      <c r="H1619" t="s">
        <v>7723</v>
      </c>
      <c r="I1619" t="s">
        <v>9542</v>
      </c>
      <c r="K1619" t="s">
        <v>164</v>
      </c>
      <c r="N1619" t="str">
        <f t="shared" si="70"/>
        <v>Szanowna Pani</v>
      </c>
      <c r="O1619" s="19" t="s">
        <v>9776</v>
      </c>
      <c r="U1619" t="str">
        <f t="shared" si="71"/>
        <v>tak</v>
      </c>
    </row>
    <row r="1620" spans="1:21">
      <c r="A1620">
        <v>1664</v>
      </c>
      <c r="B1620" t="s">
        <v>7134</v>
      </c>
      <c r="C1620" t="s">
        <v>7153</v>
      </c>
      <c r="D1620" t="s">
        <v>7732</v>
      </c>
      <c r="E1620" t="s">
        <v>7731</v>
      </c>
      <c r="F1620" t="s">
        <v>7730</v>
      </c>
      <c r="G1620" t="s">
        <v>7729</v>
      </c>
      <c r="H1620" t="s">
        <v>7728</v>
      </c>
      <c r="I1620" t="s">
        <v>9543</v>
      </c>
      <c r="K1620" t="s">
        <v>164</v>
      </c>
      <c r="N1620" t="str">
        <f t="shared" si="70"/>
        <v>Szanowna Pani</v>
      </c>
      <c r="O1620" s="19" t="s">
        <v>9776</v>
      </c>
      <c r="U1620" t="str">
        <f t="shared" si="71"/>
        <v>tak</v>
      </c>
    </row>
    <row r="1621" spans="1:21">
      <c r="A1621">
        <v>1665</v>
      </c>
      <c r="B1621" t="s">
        <v>7744</v>
      </c>
      <c r="C1621" t="s">
        <v>7745</v>
      </c>
      <c r="D1621" t="s">
        <v>7897</v>
      </c>
      <c r="E1621" t="s">
        <v>7896</v>
      </c>
      <c r="F1621" t="s">
        <v>7895</v>
      </c>
      <c r="G1621" t="s">
        <v>7894</v>
      </c>
      <c r="H1621" t="s">
        <v>7893</v>
      </c>
      <c r="I1621" t="s">
        <v>9544</v>
      </c>
      <c r="K1621" t="s">
        <v>165</v>
      </c>
      <c r="L1621" t="s">
        <v>164</v>
      </c>
      <c r="N1621" t="str">
        <f t="shared" si="70"/>
        <v>Szanowne Panie</v>
      </c>
      <c r="P1621" s="19" t="s">
        <v>9776</v>
      </c>
      <c r="U1621" t="str">
        <f t="shared" si="71"/>
        <v>tak</v>
      </c>
    </row>
    <row r="1622" spans="1:21">
      <c r="A1622">
        <v>1666</v>
      </c>
      <c r="B1622" t="s">
        <v>7744</v>
      </c>
      <c r="C1622" t="s">
        <v>7747</v>
      </c>
      <c r="D1622" t="s">
        <v>7902</v>
      </c>
      <c r="E1622" t="s">
        <v>7901</v>
      </c>
      <c r="F1622" t="s">
        <v>7900</v>
      </c>
      <c r="G1622" t="s">
        <v>7899</v>
      </c>
      <c r="H1622" t="s">
        <v>7898</v>
      </c>
      <c r="I1622" t="s">
        <v>9545</v>
      </c>
      <c r="K1622" t="s">
        <v>165</v>
      </c>
      <c r="N1622" t="str">
        <f t="shared" si="70"/>
        <v>Szanowna Pani</v>
      </c>
      <c r="P1622" s="19" t="s">
        <v>9776</v>
      </c>
      <c r="U1622" t="str">
        <f t="shared" si="71"/>
        <v>tak</v>
      </c>
    </row>
    <row r="1623" spans="1:21">
      <c r="A1623">
        <v>1667</v>
      </c>
      <c r="B1623" t="s">
        <v>7744</v>
      </c>
      <c r="C1623" t="s">
        <v>7749</v>
      </c>
      <c r="D1623" t="s">
        <v>7907</v>
      </c>
      <c r="E1623" t="s">
        <v>7906</v>
      </c>
      <c r="F1623" t="s">
        <v>7905</v>
      </c>
      <c r="G1623" t="s">
        <v>7904</v>
      </c>
      <c r="H1623" t="s">
        <v>7903</v>
      </c>
      <c r="I1623" t="s">
        <v>9546</v>
      </c>
      <c r="K1623" t="s">
        <v>164</v>
      </c>
      <c r="N1623" t="str">
        <f t="shared" si="70"/>
        <v>Szanowna Pani</v>
      </c>
      <c r="O1623" s="19" t="s">
        <v>9776</v>
      </c>
      <c r="U1623" t="str">
        <f t="shared" si="71"/>
        <v>tak</v>
      </c>
    </row>
    <row r="1624" spans="1:21">
      <c r="A1624">
        <v>1668</v>
      </c>
      <c r="B1624" t="s">
        <v>7744</v>
      </c>
      <c r="C1624" t="s">
        <v>7751</v>
      </c>
      <c r="D1624" t="s">
        <v>7912</v>
      </c>
      <c r="E1624" t="s">
        <v>7911</v>
      </c>
      <c r="F1624" t="s">
        <v>7910</v>
      </c>
      <c r="G1624" t="s">
        <v>7909</v>
      </c>
      <c r="H1624" t="s">
        <v>7908</v>
      </c>
      <c r="I1624" t="s">
        <v>9547</v>
      </c>
      <c r="K1624" t="s">
        <v>164</v>
      </c>
      <c r="N1624" t="str">
        <f t="shared" si="70"/>
        <v>Szanowna Pani</v>
      </c>
      <c r="O1624" s="19" t="s">
        <v>9776</v>
      </c>
      <c r="U1624" t="str">
        <f t="shared" si="71"/>
        <v>tak</v>
      </c>
    </row>
    <row r="1625" spans="1:21">
      <c r="A1625">
        <v>1669</v>
      </c>
      <c r="B1625" t="s">
        <v>7744</v>
      </c>
      <c r="C1625" t="s">
        <v>7753</v>
      </c>
      <c r="D1625" t="s">
        <v>7917</v>
      </c>
      <c r="E1625" t="s">
        <v>7916</v>
      </c>
      <c r="F1625" t="s">
        <v>7915</v>
      </c>
      <c r="G1625" t="s">
        <v>7914</v>
      </c>
      <c r="H1625" t="s">
        <v>7913</v>
      </c>
      <c r="I1625" t="s">
        <v>9548</v>
      </c>
      <c r="K1625" t="s">
        <v>165</v>
      </c>
      <c r="N1625" t="str">
        <f t="shared" ref="N1625:N1688" si="72">IF(ISERROR(FIND(",",H1625)),IF(MID(H1625,FIND(" ",H1625)-1,1)="a","Szanowna Pani","Szanowny Pan"), "Szanowne Panie")</f>
        <v>Szanowna Pani</v>
      </c>
      <c r="P1625" s="19" t="s">
        <v>9776</v>
      </c>
      <c r="U1625" t="str">
        <f t="shared" si="71"/>
        <v>tak</v>
      </c>
    </row>
    <row r="1626" spans="1:21">
      <c r="A1626">
        <v>1670</v>
      </c>
      <c r="B1626" t="s">
        <v>7744</v>
      </c>
      <c r="C1626" t="s">
        <v>7755</v>
      </c>
      <c r="D1626" t="s">
        <v>7920</v>
      </c>
      <c r="E1626" t="s">
        <v>7919</v>
      </c>
      <c r="F1626" t="s">
        <v>7900</v>
      </c>
      <c r="G1626" t="s">
        <v>7899</v>
      </c>
      <c r="H1626" t="s">
        <v>7918</v>
      </c>
      <c r="I1626" t="s">
        <v>9545</v>
      </c>
      <c r="K1626" t="s">
        <v>165</v>
      </c>
      <c r="N1626" t="str">
        <f t="shared" si="72"/>
        <v>Szanowna Pani</v>
      </c>
      <c r="P1626" s="19" t="s">
        <v>9776</v>
      </c>
      <c r="U1626" t="str">
        <f t="shared" si="71"/>
        <v>tak</v>
      </c>
    </row>
    <row r="1627" spans="1:21">
      <c r="A1627">
        <v>1671</v>
      </c>
      <c r="B1627" t="s">
        <v>7744</v>
      </c>
      <c r="C1627" t="s">
        <v>1438</v>
      </c>
      <c r="D1627" t="s">
        <v>1439</v>
      </c>
      <c r="E1627" t="s">
        <v>7924</v>
      </c>
      <c r="F1627" t="s">
        <v>7923</v>
      </c>
      <c r="G1627" t="s">
        <v>7922</v>
      </c>
      <c r="H1627" t="s">
        <v>7921</v>
      </c>
      <c r="I1627" t="s">
        <v>9549</v>
      </c>
      <c r="K1627" t="s">
        <v>164</v>
      </c>
      <c r="L1627" t="s">
        <v>165</v>
      </c>
      <c r="N1627" t="str">
        <f t="shared" si="72"/>
        <v>Szanowna Pani</v>
      </c>
      <c r="O1627" s="19" t="s">
        <v>9776</v>
      </c>
      <c r="U1627" t="str">
        <f t="shared" si="71"/>
        <v>tak</v>
      </c>
    </row>
    <row r="1628" spans="1:21">
      <c r="A1628">
        <v>1672</v>
      </c>
      <c r="B1628" t="s">
        <v>7744</v>
      </c>
      <c r="C1628" t="s">
        <v>7758</v>
      </c>
      <c r="D1628" t="s">
        <v>7929</v>
      </c>
      <c r="E1628" t="s">
        <v>7928</v>
      </c>
      <c r="F1628" t="s">
        <v>7927</v>
      </c>
      <c r="G1628" t="s">
        <v>7926</v>
      </c>
      <c r="H1628" t="s">
        <v>7925</v>
      </c>
      <c r="I1628" t="s">
        <v>9550</v>
      </c>
      <c r="K1628" t="s">
        <v>165</v>
      </c>
      <c r="L1628" t="s">
        <v>165</v>
      </c>
      <c r="M1628" t="s">
        <v>164</v>
      </c>
      <c r="N1628" t="str">
        <f t="shared" si="72"/>
        <v>Szanowna Pani</v>
      </c>
      <c r="P1628" s="19" t="s">
        <v>9776</v>
      </c>
      <c r="U1628" t="str">
        <f t="shared" si="71"/>
        <v>tak</v>
      </c>
    </row>
    <row r="1629" spans="1:21">
      <c r="A1629">
        <v>1673</v>
      </c>
      <c r="B1629" t="s">
        <v>7744</v>
      </c>
      <c r="C1629" t="s">
        <v>7760</v>
      </c>
      <c r="D1629" t="s">
        <v>7933</v>
      </c>
      <c r="E1629" t="s">
        <v>7932</v>
      </c>
      <c r="F1629" t="s">
        <v>7923</v>
      </c>
      <c r="G1629" t="s">
        <v>7931</v>
      </c>
      <c r="H1629" t="s">
        <v>7930</v>
      </c>
      <c r="I1629" t="s">
        <v>9551</v>
      </c>
      <c r="K1629" t="s">
        <v>165</v>
      </c>
      <c r="N1629" t="str">
        <f t="shared" si="72"/>
        <v>Szanowna Pani</v>
      </c>
      <c r="P1629" s="19" t="s">
        <v>9776</v>
      </c>
      <c r="U1629" t="str">
        <f t="shared" si="71"/>
        <v>tak</v>
      </c>
    </row>
    <row r="1630" spans="1:21">
      <c r="A1630">
        <v>1674</v>
      </c>
      <c r="B1630" t="s">
        <v>7744</v>
      </c>
      <c r="C1630" t="s">
        <v>7760</v>
      </c>
      <c r="D1630" t="s">
        <v>7937</v>
      </c>
      <c r="E1630" t="s">
        <v>5713</v>
      </c>
      <c r="F1630" t="s">
        <v>7936</v>
      </c>
      <c r="G1630" t="s">
        <v>7935</v>
      </c>
      <c r="H1630" t="s">
        <v>7934</v>
      </c>
      <c r="I1630" t="s">
        <v>9552</v>
      </c>
      <c r="K1630" t="s">
        <v>165</v>
      </c>
      <c r="N1630" t="str">
        <f t="shared" si="72"/>
        <v>Szanowny Pan</v>
      </c>
      <c r="P1630" s="19" t="s">
        <v>9776</v>
      </c>
      <c r="U1630" t="str">
        <f t="shared" si="71"/>
        <v>tak</v>
      </c>
    </row>
    <row r="1631" spans="1:21">
      <c r="A1631">
        <v>1675</v>
      </c>
      <c r="B1631" t="s">
        <v>7744</v>
      </c>
      <c r="C1631" t="s">
        <v>7764</v>
      </c>
      <c r="D1631" t="s">
        <v>7942</v>
      </c>
      <c r="E1631" t="s">
        <v>7941</v>
      </c>
      <c r="F1631" t="s">
        <v>7940</v>
      </c>
      <c r="G1631" t="s">
        <v>7939</v>
      </c>
      <c r="H1631" t="s">
        <v>7938</v>
      </c>
      <c r="I1631" t="s">
        <v>9553</v>
      </c>
      <c r="K1631" t="s">
        <v>165</v>
      </c>
      <c r="N1631" t="str">
        <f t="shared" si="72"/>
        <v>Szanowna Pani</v>
      </c>
      <c r="P1631" s="19" t="s">
        <v>9776</v>
      </c>
      <c r="U1631" t="str">
        <f t="shared" si="71"/>
        <v>tak</v>
      </c>
    </row>
    <row r="1632" spans="1:21">
      <c r="A1632">
        <v>1676</v>
      </c>
      <c r="B1632" t="s">
        <v>7744</v>
      </c>
      <c r="C1632" t="s">
        <v>7766</v>
      </c>
      <c r="D1632" t="s">
        <v>7947</v>
      </c>
      <c r="E1632" t="s">
        <v>7946</v>
      </c>
      <c r="F1632" t="s">
        <v>7945</v>
      </c>
      <c r="G1632" t="s">
        <v>7944</v>
      </c>
      <c r="H1632" t="s">
        <v>7943</v>
      </c>
      <c r="I1632" t="s">
        <v>9554</v>
      </c>
      <c r="K1632" t="s">
        <v>165</v>
      </c>
      <c r="N1632" t="str">
        <f t="shared" si="72"/>
        <v>Szanowna Pani</v>
      </c>
      <c r="P1632" s="19" t="s">
        <v>9776</v>
      </c>
      <c r="U1632" t="str">
        <f t="shared" si="71"/>
        <v>tak</v>
      </c>
    </row>
    <row r="1633" spans="1:21">
      <c r="A1633">
        <v>1677</v>
      </c>
      <c r="B1633" t="s">
        <v>7744</v>
      </c>
      <c r="C1633" t="s">
        <v>7768</v>
      </c>
      <c r="D1633" t="s">
        <v>251</v>
      </c>
      <c r="E1633" t="s">
        <v>7951</v>
      </c>
      <c r="F1633" t="s">
        <v>7950</v>
      </c>
      <c r="G1633" t="s">
        <v>7949</v>
      </c>
      <c r="H1633" t="s">
        <v>7948</v>
      </c>
      <c r="I1633" t="s">
        <v>9555</v>
      </c>
      <c r="K1633" t="s">
        <v>164</v>
      </c>
      <c r="N1633" t="str">
        <f t="shared" si="72"/>
        <v>Szanowna Pani</v>
      </c>
      <c r="O1633" s="19" t="s">
        <v>9776</v>
      </c>
      <c r="U1633" t="str">
        <f t="shared" si="71"/>
        <v>tak</v>
      </c>
    </row>
    <row r="1634" spans="1:21">
      <c r="A1634">
        <v>1678</v>
      </c>
      <c r="B1634" t="s">
        <v>7744</v>
      </c>
      <c r="C1634" t="s">
        <v>7770</v>
      </c>
      <c r="D1634" t="s">
        <v>7771</v>
      </c>
      <c r="E1634" t="s">
        <v>7955</v>
      </c>
      <c r="F1634" t="s">
        <v>7954</v>
      </c>
      <c r="G1634" t="s">
        <v>7953</v>
      </c>
      <c r="H1634" t="s">
        <v>7952</v>
      </c>
      <c r="I1634" t="s">
        <v>9556</v>
      </c>
      <c r="K1634" t="s">
        <v>165</v>
      </c>
      <c r="N1634" t="str">
        <f t="shared" si="72"/>
        <v>Szanowna Pani</v>
      </c>
      <c r="P1634" s="19" t="s">
        <v>9776</v>
      </c>
      <c r="U1634" t="str">
        <f t="shared" si="71"/>
        <v>tak</v>
      </c>
    </row>
    <row r="1635" spans="1:21">
      <c r="A1635">
        <v>1679</v>
      </c>
      <c r="B1635" t="s">
        <v>7744</v>
      </c>
      <c r="C1635" t="s">
        <v>7774</v>
      </c>
      <c r="D1635" t="s">
        <v>7960</v>
      </c>
      <c r="E1635" t="s">
        <v>7959</v>
      </c>
      <c r="F1635" t="s">
        <v>7958</v>
      </c>
      <c r="G1635" t="s">
        <v>7957</v>
      </c>
      <c r="H1635" t="s">
        <v>7956</v>
      </c>
      <c r="I1635" t="s">
        <v>9557</v>
      </c>
      <c r="K1635" t="s">
        <v>164</v>
      </c>
      <c r="N1635" t="str">
        <f t="shared" si="72"/>
        <v>Szanowna Pani</v>
      </c>
      <c r="O1635" s="19" t="s">
        <v>9776</v>
      </c>
      <c r="U1635" t="str">
        <f t="shared" si="71"/>
        <v>tak</v>
      </c>
    </row>
    <row r="1636" spans="1:21">
      <c r="A1636">
        <v>1680</v>
      </c>
      <c r="B1636" t="s">
        <v>7744</v>
      </c>
      <c r="C1636" t="s">
        <v>7776</v>
      </c>
      <c r="D1636" t="s">
        <v>7965</v>
      </c>
      <c r="E1636" t="s">
        <v>7964</v>
      </c>
      <c r="F1636" t="s">
        <v>7963</v>
      </c>
      <c r="G1636" t="s">
        <v>7962</v>
      </c>
      <c r="H1636" t="s">
        <v>7961</v>
      </c>
      <c r="I1636" t="s">
        <v>9558</v>
      </c>
      <c r="K1636" t="s">
        <v>165</v>
      </c>
      <c r="N1636" t="str">
        <f t="shared" si="72"/>
        <v>Szanowna Pani</v>
      </c>
      <c r="P1636" s="19" t="s">
        <v>9776</v>
      </c>
      <c r="U1636" t="str">
        <f t="shared" si="71"/>
        <v>tak</v>
      </c>
    </row>
    <row r="1637" spans="1:21">
      <c r="A1637">
        <v>1681</v>
      </c>
      <c r="B1637" t="s">
        <v>7744</v>
      </c>
      <c r="C1637" t="s">
        <v>7776</v>
      </c>
      <c r="D1637" t="s">
        <v>7970</v>
      </c>
      <c r="E1637" t="s">
        <v>7969</v>
      </c>
      <c r="F1637" t="s">
        <v>7968</v>
      </c>
      <c r="G1637" t="s">
        <v>7967</v>
      </c>
      <c r="H1637" t="s">
        <v>7966</v>
      </c>
      <c r="I1637" t="s">
        <v>9559</v>
      </c>
      <c r="K1637" t="s">
        <v>164</v>
      </c>
      <c r="N1637" t="str">
        <f t="shared" si="72"/>
        <v>Szanowna Pani</v>
      </c>
      <c r="O1637" s="19" t="s">
        <v>9776</v>
      </c>
      <c r="U1637" t="str">
        <f t="shared" si="71"/>
        <v>tak</v>
      </c>
    </row>
    <row r="1638" spans="1:21">
      <c r="A1638">
        <v>1682</v>
      </c>
      <c r="B1638" t="s">
        <v>7744</v>
      </c>
      <c r="C1638" t="s">
        <v>7779</v>
      </c>
      <c r="D1638" t="s">
        <v>7975</v>
      </c>
      <c r="E1638" t="s">
        <v>7974</v>
      </c>
      <c r="F1638" t="s">
        <v>7973</v>
      </c>
      <c r="G1638" t="s">
        <v>7972</v>
      </c>
      <c r="H1638" t="s">
        <v>7971</v>
      </c>
      <c r="I1638" t="s">
        <v>9560</v>
      </c>
      <c r="K1638" t="s">
        <v>165</v>
      </c>
      <c r="N1638" t="str">
        <f t="shared" si="72"/>
        <v>Szanowna Pani</v>
      </c>
      <c r="P1638" s="19" t="s">
        <v>9776</v>
      </c>
      <c r="U1638" t="str">
        <f t="shared" si="71"/>
        <v>tak</v>
      </c>
    </row>
    <row r="1639" spans="1:21">
      <c r="A1639">
        <v>1683</v>
      </c>
      <c r="B1639" t="s">
        <v>7744</v>
      </c>
      <c r="C1639" t="s">
        <v>7781</v>
      </c>
      <c r="D1639" t="s">
        <v>7979</v>
      </c>
      <c r="E1639" t="s">
        <v>7978</v>
      </c>
      <c r="F1639" t="s">
        <v>7973</v>
      </c>
      <c r="G1639" t="s">
        <v>7977</v>
      </c>
      <c r="H1639" t="s">
        <v>7976</v>
      </c>
      <c r="I1639" s="15" t="s">
        <v>9770</v>
      </c>
      <c r="K1639" t="s">
        <v>164</v>
      </c>
      <c r="L1639" t="s">
        <v>165</v>
      </c>
      <c r="N1639" t="str">
        <f t="shared" si="72"/>
        <v>Szanowne Panie</v>
      </c>
      <c r="O1639" s="19" t="s">
        <v>9776</v>
      </c>
      <c r="U1639" t="str">
        <f t="shared" si="71"/>
        <v>tak</v>
      </c>
    </row>
    <row r="1640" spans="1:21">
      <c r="A1640">
        <v>1684</v>
      </c>
      <c r="B1640" t="s">
        <v>7744</v>
      </c>
      <c r="C1640" t="s">
        <v>7784</v>
      </c>
      <c r="D1640" t="s">
        <v>7984</v>
      </c>
      <c r="E1640" t="s">
        <v>7983</v>
      </c>
      <c r="F1640" t="s">
        <v>7982</v>
      </c>
      <c r="G1640" t="s">
        <v>7981</v>
      </c>
      <c r="H1640" t="s">
        <v>7980</v>
      </c>
      <c r="I1640" t="s">
        <v>9561</v>
      </c>
      <c r="K1640" t="s">
        <v>164</v>
      </c>
      <c r="N1640" t="str">
        <f t="shared" si="72"/>
        <v>Szanowna Pani</v>
      </c>
      <c r="O1640" s="19" t="s">
        <v>9776</v>
      </c>
      <c r="U1640" t="str">
        <f t="shared" si="71"/>
        <v>tak</v>
      </c>
    </row>
    <row r="1641" spans="1:21">
      <c r="A1641">
        <v>1685</v>
      </c>
      <c r="B1641" t="s">
        <v>7744</v>
      </c>
      <c r="C1641" t="s">
        <v>7786</v>
      </c>
      <c r="D1641" t="s">
        <v>7989</v>
      </c>
      <c r="E1641" t="s">
        <v>7988</v>
      </c>
      <c r="F1641" t="s">
        <v>7987</v>
      </c>
      <c r="G1641" t="s">
        <v>7986</v>
      </c>
      <c r="H1641" t="s">
        <v>7985</v>
      </c>
      <c r="I1641" t="s">
        <v>9562</v>
      </c>
      <c r="K1641" t="s">
        <v>165</v>
      </c>
      <c r="N1641" t="str">
        <f t="shared" si="72"/>
        <v>Szanowna Pani</v>
      </c>
      <c r="P1641" s="19" t="s">
        <v>9776</v>
      </c>
      <c r="U1641" t="str">
        <f t="shared" si="71"/>
        <v>tak</v>
      </c>
    </row>
    <row r="1642" spans="1:21">
      <c r="A1642">
        <v>1686</v>
      </c>
      <c r="B1642" t="s">
        <v>7744</v>
      </c>
      <c r="C1642" t="s">
        <v>7786</v>
      </c>
      <c r="D1642" t="s">
        <v>7788</v>
      </c>
      <c r="E1642" t="s">
        <v>7789</v>
      </c>
      <c r="F1642" t="s">
        <v>7992</v>
      </c>
      <c r="G1642" t="s">
        <v>7991</v>
      </c>
      <c r="H1642" t="s">
        <v>7990</v>
      </c>
      <c r="I1642" t="s">
        <v>9552</v>
      </c>
      <c r="K1642" t="s">
        <v>165</v>
      </c>
      <c r="N1642" t="str">
        <f t="shared" si="72"/>
        <v>Szanowna Pani</v>
      </c>
      <c r="P1642" s="19" t="s">
        <v>9776</v>
      </c>
      <c r="U1642" t="str">
        <f t="shared" si="71"/>
        <v>tak</v>
      </c>
    </row>
    <row r="1643" spans="1:21">
      <c r="A1643">
        <v>1687</v>
      </c>
      <c r="B1643" t="s">
        <v>7744</v>
      </c>
      <c r="C1643" t="s">
        <v>7791</v>
      </c>
      <c r="D1643" t="s">
        <v>7997</v>
      </c>
      <c r="E1643" t="s">
        <v>7996</v>
      </c>
      <c r="F1643" t="s">
        <v>7995</v>
      </c>
      <c r="G1643" t="s">
        <v>7994</v>
      </c>
      <c r="H1643" t="s">
        <v>7993</v>
      </c>
      <c r="I1643" t="s">
        <v>9563</v>
      </c>
      <c r="K1643" t="s">
        <v>224</v>
      </c>
      <c r="N1643" t="str">
        <f t="shared" si="72"/>
        <v>Szanowna Pani</v>
      </c>
      <c r="Q1643" s="19" t="s">
        <v>9776</v>
      </c>
      <c r="U1643" t="str">
        <f t="shared" si="71"/>
        <v>tak</v>
      </c>
    </row>
    <row r="1644" spans="1:21">
      <c r="A1644">
        <v>1688</v>
      </c>
      <c r="B1644" t="s">
        <v>7744</v>
      </c>
      <c r="C1644" t="s">
        <v>7888</v>
      </c>
      <c r="D1644" t="s">
        <v>8002</v>
      </c>
      <c r="E1644" t="s">
        <v>8001</v>
      </c>
      <c r="F1644" t="s">
        <v>8000</v>
      </c>
      <c r="G1644" t="s">
        <v>7999</v>
      </c>
      <c r="H1644" t="s">
        <v>7998</v>
      </c>
      <c r="I1644" t="s">
        <v>9564</v>
      </c>
      <c r="K1644" t="s">
        <v>165</v>
      </c>
      <c r="N1644" t="str">
        <f t="shared" si="72"/>
        <v>Szanowna Pani</v>
      </c>
      <c r="P1644" s="19" t="s">
        <v>9776</v>
      </c>
      <c r="U1644" t="str">
        <f t="shared" si="71"/>
        <v>tak</v>
      </c>
    </row>
    <row r="1645" spans="1:21">
      <c r="A1645">
        <v>1689</v>
      </c>
      <c r="B1645" t="s">
        <v>7744</v>
      </c>
      <c r="C1645" t="s">
        <v>7794</v>
      </c>
      <c r="D1645" t="s">
        <v>8007</v>
      </c>
      <c r="E1645" t="s">
        <v>8006</v>
      </c>
      <c r="F1645" t="s">
        <v>8005</v>
      </c>
      <c r="G1645" t="s">
        <v>8004</v>
      </c>
      <c r="H1645" t="s">
        <v>8003</v>
      </c>
      <c r="I1645" t="s">
        <v>9565</v>
      </c>
      <c r="K1645" t="s">
        <v>224</v>
      </c>
      <c r="L1645" t="s">
        <v>164</v>
      </c>
      <c r="N1645" t="str">
        <f t="shared" si="72"/>
        <v>Szanowna Pani</v>
      </c>
      <c r="Q1645" s="19" t="s">
        <v>9776</v>
      </c>
      <c r="U1645" t="str">
        <f t="shared" si="71"/>
        <v>tak</v>
      </c>
    </row>
    <row r="1646" spans="1:21">
      <c r="A1646">
        <v>1690</v>
      </c>
      <c r="B1646" t="s">
        <v>7744</v>
      </c>
      <c r="C1646" t="s">
        <v>7796</v>
      </c>
      <c r="D1646" t="s">
        <v>8012</v>
      </c>
      <c r="E1646" t="s">
        <v>8011</v>
      </c>
      <c r="F1646" t="s">
        <v>8010</v>
      </c>
      <c r="G1646" t="s">
        <v>8009</v>
      </c>
      <c r="H1646" t="s">
        <v>8008</v>
      </c>
      <c r="I1646" t="s">
        <v>9566</v>
      </c>
      <c r="K1646" t="s">
        <v>165</v>
      </c>
      <c r="N1646" t="str">
        <f t="shared" si="72"/>
        <v>Szanowna Pani</v>
      </c>
      <c r="P1646" s="19" t="s">
        <v>9776</v>
      </c>
      <c r="U1646" t="str">
        <f t="shared" si="71"/>
        <v>tak</v>
      </c>
    </row>
    <row r="1647" spans="1:21">
      <c r="A1647">
        <v>1691</v>
      </c>
      <c r="B1647" t="s">
        <v>7744</v>
      </c>
      <c r="C1647" t="s">
        <v>7798</v>
      </c>
      <c r="D1647" t="s">
        <v>8016</v>
      </c>
      <c r="E1647" t="s">
        <v>8015</v>
      </c>
      <c r="F1647" t="s">
        <v>7954</v>
      </c>
      <c r="G1647" t="s">
        <v>8014</v>
      </c>
      <c r="H1647" t="s">
        <v>8013</v>
      </c>
      <c r="I1647" t="s">
        <v>9567</v>
      </c>
      <c r="K1647" t="s">
        <v>164</v>
      </c>
      <c r="N1647" t="str">
        <f t="shared" si="72"/>
        <v>Szanowna Pani</v>
      </c>
      <c r="O1647" s="19" t="s">
        <v>9776</v>
      </c>
      <c r="U1647" t="str">
        <f t="shared" si="71"/>
        <v>tak</v>
      </c>
    </row>
    <row r="1648" spans="1:21">
      <c r="A1648">
        <v>1692</v>
      </c>
      <c r="B1648" t="s">
        <v>7744</v>
      </c>
      <c r="C1648" t="s">
        <v>6520</v>
      </c>
      <c r="D1648" t="s">
        <v>8020</v>
      </c>
      <c r="E1648" t="s">
        <v>2746</v>
      </c>
      <c r="F1648" t="s">
        <v>8019</v>
      </c>
      <c r="G1648" t="s">
        <v>8018</v>
      </c>
      <c r="H1648" t="s">
        <v>8017</v>
      </c>
      <c r="I1648" s="15" t="s">
        <v>9751</v>
      </c>
      <c r="K1648" t="s">
        <v>164</v>
      </c>
      <c r="N1648" t="str">
        <f t="shared" si="72"/>
        <v>Szanowna Pani</v>
      </c>
      <c r="O1648" s="19" t="s">
        <v>9776</v>
      </c>
      <c r="U1648" t="str">
        <f t="shared" si="71"/>
        <v>tak</v>
      </c>
    </row>
    <row r="1649" spans="1:21">
      <c r="A1649">
        <v>1693</v>
      </c>
      <c r="B1649" t="s">
        <v>7744</v>
      </c>
      <c r="C1649" t="s">
        <v>7801</v>
      </c>
      <c r="D1649" t="s">
        <v>8025</v>
      </c>
      <c r="E1649" t="s">
        <v>8024</v>
      </c>
      <c r="F1649" t="s">
        <v>8023</v>
      </c>
      <c r="G1649" t="s">
        <v>8022</v>
      </c>
      <c r="H1649" t="s">
        <v>8021</v>
      </c>
      <c r="I1649" t="s">
        <v>9568</v>
      </c>
      <c r="K1649" t="s">
        <v>164</v>
      </c>
      <c r="N1649" t="str">
        <f t="shared" si="72"/>
        <v>Szanowna Pani</v>
      </c>
      <c r="O1649" s="19" t="s">
        <v>9776</v>
      </c>
      <c r="U1649" t="str">
        <f t="shared" si="71"/>
        <v>tak</v>
      </c>
    </row>
    <row r="1650" spans="1:21">
      <c r="A1650">
        <v>1694</v>
      </c>
      <c r="B1650" t="s">
        <v>7744</v>
      </c>
      <c r="C1650" t="s">
        <v>7804</v>
      </c>
      <c r="D1650" t="s">
        <v>8030</v>
      </c>
      <c r="E1650" t="s">
        <v>8029</v>
      </c>
      <c r="F1650" t="s">
        <v>8028</v>
      </c>
      <c r="G1650" t="s">
        <v>8027</v>
      </c>
      <c r="H1650" t="s">
        <v>8026</v>
      </c>
      <c r="I1650" t="s">
        <v>9569</v>
      </c>
      <c r="K1650" t="s">
        <v>164</v>
      </c>
      <c r="L1650" t="s">
        <v>165</v>
      </c>
      <c r="N1650" t="str">
        <f t="shared" si="72"/>
        <v>Szanowna Pani</v>
      </c>
      <c r="O1650" s="19" t="s">
        <v>9776</v>
      </c>
      <c r="U1650" t="str">
        <f t="shared" si="71"/>
        <v>tak</v>
      </c>
    </row>
    <row r="1651" spans="1:21">
      <c r="A1651">
        <v>1695</v>
      </c>
      <c r="B1651" t="s">
        <v>7744</v>
      </c>
      <c r="C1651" t="s">
        <v>7807</v>
      </c>
      <c r="D1651" t="s">
        <v>8035</v>
      </c>
      <c r="E1651" t="s">
        <v>8034</v>
      </c>
      <c r="F1651" t="s">
        <v>8033</v>
      </c>
      <c r="G1651" t="s">
        <v>8032</v>
      </c>
      <c r="H1651" t="s">
        <v>8031</v>
      </c>
      <c r="I1651" t="s">
        <v>9570</v>
      </c>
      <c r="K1651" t="s">
        <v>164</v>
      </c>
      <c r="L1651" t="s">
        <v>165</v>
      </c>
      <c r="N1651" t="str">
        <f t="shared" si="72"/>
        <v>Szanowne Panie</v>
      </c>
      <c r="O1651" s="19" t="s">
        <v>9776</v>
      </c>
      <c r="U1651" t="str">
        <f t="shared" si="71"/>
        <v>tak</v>
      </c>
    </row>
    <row r="1652" spans="1:21">
      <c r="A1652">
        <v>1696</v>
      </c>
      <c r="B1652" t="s">
        <v>7744</v>
      </c>
      <c r="C1652" t="s">
        <v>7809</v>
      </c>
      <c r="D1652" t="s">
        <v>8039</v>
      </c>
      <c r="E1652" t="s">
        <v>8038</v>
      </c>
      <c r="F1652" t="s">
        <v>8037</v>
      </c>
      <c r="G1652" t="s">
        <v>7894</v>
      </c>
      <c r="H1652" t="s">
        <v>8036</v>
      </c>
      <c r="I1652" t="s">
        <v>9571</v>
      </c>
      <c r="K1652" t="s">
        <v>165</v>
      </c>
      <c r="N1652" t="str">
        <f t="shared" si="72"/>
        <v>Szanowna Pani</v>
      </c>
      <c r="P1652" s="19" t="s">
        <v>9776</v>
      </c>
      <c r="U1652" t="str">
        <f t="shared" si="71"/>
        <v>tak</v>
      </c>
    </row>
    <row r="1653" spans="1:21">
      <c r="A1653">
        <v>1697</v>
      </c>
      <c r="B1653" t="s">
        <v>7744</v>
      </c>
      <c r="C1653" t="s">
        <v>7811</v>
      </c>
      <c r="D1653" t="s">
        <v>8044</v>
      </c>
      <c r="E1653" t="s">
        <v>8043</v>
      </c>
      <c r="F1653" t="s">
        <v>8042</v>
      </c>
      <c r="G1653" t="s">
        <v>8041</v>
      </c>
      <c r="H1653" t="s">
        <v>8040</v>
      </c>
      <c r="I1653" t="s">
        <v>9572</v>
      </c>
      <c r="K1653" t="s">
        <v>164</v>
      </c>
      <c r="N1653" t="str">
        <f t="shared" si="72"/>
        <v>Szanowna Pani</v>
      </c>
      <c r="O1653" s="19" t="s">
        <v>9776</v>
      </c>
      <c r="U1653" t="str">
        <f t="shared" si="71"/>
        <v>tak</v>
      </c>
    </row>
    <row r="1654" spans="1:21">
      <c r="A1654">
        <v>1698</v>
      </c>
      <c r="B1654" t="s">
        <v>7744</v>
      </c>
      <c r="C1654" t="s">
        <v>7813</v>
      </c>
      <c r="D1654" t="s">
        <v>8048</v>
      </c>
      <c r="E1654" t="s">
        <v>8047</v>
      </c>
      <c r="F1654" t="s">
        <v>7954</v>
      </c>
      <c r="G1654" t="s">
        <v>8046</v>
      </c>
      <c r="H1654" t="s">
        <v>8045</v>
      </c>
      <c r="I1654" t="s">
        <v>9573</v>
      </c>
      <c r="K1654" t="s">
        <v>165</v>
      </c>
      <c r="L1654" t="s">
        <v>164</v>
      </c>
      <c r="N1654" t="str">
        <f t="shared" si="72"/>
        <v>Szanowna Pani</v>
      </c>
      <c r="P1654" s="19" t="s">
        <v>9776</v>
      </c>
      <c r="U1654" t="str">
        <f t="shared" si="71"/>
        <v>tak</v>
      </c>
    </row>
    <row r="1655" spans="1:21">
      <c r="A1655">
        <v>1699</v>
      </c>
      <c r="B1655" t="s">
        <v>7744</v>
      </c>
      <c r="C1655" t="s">
        <v>7813</v>
      </c>
      <c r="D1655" t="s">
        <v>8053</v>
      </c>
      <c r="E1655" t="s">
        <v>8052</v>
      </c>
      <c r="F1655" t="s">
        <v>8051</v>
      </c>
      <c r="G1655" t="s">
        <v>8050</v>
      </c>
      <c r="H1655" t="s">
        <v>8049</v>
      </c>
      <c r="I1655" s="15" t="s">
        <v>9750</v>
      </c>
      <c r="K1655" t="s">
        <v>165</v>
      </c>
      <c r="L1655" t="s">
        <v>164</v>
      </c>
      <c r="N1655" t="str">
        <f t="shared" si="72"/>
        <v>Szanowna Pani</v>
      </c>
      <c r="P1655" s="19" t="s">
        <v>9776</v>
      </c>
      <c r="U1655" t="str">
        <f t="shared" si="71"/>
        <v>tak</v>
      </c>
    </row>
    <row r="1656" spans="1:21">
      <c r="A1656">
        <v>1700</v>
      </c>
      <c r="B1656" t="s">
        <v>7744</v>
      </c>
      <c r="C1656" t="s">
        <v>7817</v>
      </c>
      <c r="D1656" t="s">
        <v>8058</v>
      </c>
      <c r="E1656" t="s">
        <v>8057</v>
      </c>
      <c r="F1656" t="s">
        <v>8056</v>
      </c>
      <c r="G1656" t="s">
        <v>8055</v>
      </c>
      <c r="H1656" t="s">
        <v>8054</v>
      </c>
      <c r="I1656" t="s">
        <v>9574</v>
      </c>
      <c r="K1656" t="s">
        <v>164</v>
      </c>
      <c r="N1656" t="str">
        <f t="shared" si="72"/>
        <v>Szanowna Pani</v>
      </c>
      <c r="O1656" s="19" t="s">
        <v>9776</v>
      </c>
      <c r="U1656" t="str">
        <f t="shared" si="71"/>
        <v>tak</v>
      </c>
    </row>
    <row r="1657" spans="1:21">
      <c r="A1657">
        <v>1701</v>
      </c>
      <c r="B1657" t="s">
        <v>7744</v>
      </c>
      <c r="C1657" t="s">
        <v>7817</v>
      </c>
      <c r="D1657" t="s">
        <v>8063</v>
      </c>
      <c r="E1657" t="s">
        <v>8062</v>
      </c>
      <c r="F1657" t="s">
        <v>8061</v>
      </c>
      <c r="G1657" t="s">
        <v>8060</v>
      </c>
      <c r="H1657" t="s">
        <v>8059</v>
      </c>
      <c r="I1657" t="s">
        <v>9552</v>
      </c>
      <c r="K1657" t="s">
        <v>165</v>
      </c>
      <c r="N1657" t="str">
        <f t="shared" si="72"/>
        <v>Szanowna Pani</v>
      </c>
      <c r="P1657" s="19" t="s">
        <v>9776</v>
      </c>
      <c r="U1657" t="str">
        <f t="shared" si="71"/>
        <v>tak</v>
      </c>
    </row>
    <row r="1658" spans="1:21">
      <c r="A1658">
        <v>1702</v>
      </c>
      <c r="B1658" t="s">
        <v>7744</v>
      </c>
      <c r="C1658" t="s">
        <v>7817</v>
      </c>
      <c r="D1658" t="s">
        <v>8068</v>
      </c>
      <c r="E1658" t="s">
        <v>8067</v>
      </c>
      <c r="F1658" t="s">
        <v>8066</v>
      </c>
      <c r="G1658" t="s">
        <v>8065</v>
      </c>
      <c r="H1658" t="s">
        <v>8064</v>
      </c>
      <c r="I1658" t="s">
        <v>9566</v>
      </c>
      <c r="K1658" t="s">
        <v>165</v>
      </c>
      <c r="N1658" t="str">
        <f t="shared" si="72"/>
        <v>Szanowna Pani</v>
      </c>
      <c r="P1658" s="19" t="s">
        <v>9776</v>
      </c>
      <c r="U1658" t="str">
        <f t="shared" si="71"/>
        <v>tak</v>
      </c>
    </row>
    <row r="1659" spans="1:21">
      <c r="A1659">
        <v>1703</v>
      </c>
      <c r="B1659" t="s">
        <v>7744</v>
      </c>
      <c r="C1659" t="s">
        <v>7822</v>
      </c>
      <c r="D1659" t="s">
        <v>8073</v>
      </c>
      <c r="E1659" t="s">
        <v>8072</v>
      </c>
      <c r="F1659" t="s">
        <v>8071</v>
      </c>
      <c r="G1659" t="s">
        <v>8070</v>
      </c>
      <c r="H1659" t="s">
        <v>8069</v>
      </c>
      <c r="I1659" t="s">
        <v>9575</v>
      </c>
      <c r="K1659" t="s">
        <v>165</v>
      </c>
      <c r="N1659" t="str">
        <f t="shared" si="72"/>
        <v>Szanowna Pani</v>
      </c>
      <c r="P1659" s="19" t="s">
        <v>9776</v>
      </c>
      <c r="U1659" t="str">
        <f t="shared" si="71"/>
        <v>tak</v>
      </c>
    </row>
    <row r="1660" spans="1:21">
      <c r="A1660">
        <v>1704</v>
      </c>
      <c r="B1660" t="s">
        <v>7744</v>
      </c>
      <c r="C1660" t="s">
        <v>7824</v>
      </c>
      <c r="D1660" t="s">
        <v>8078</v>
      </c>
      <c r="E1660" t="s">
        <v>8077</v>
      </c>
      <c r="F1660" t="s">
        <v>8076</v>
      </c>
      <c r="G1660" t="s">
        <v>8075</v>
      </c>
      <c r="H1660" t="s">
        <v>8074</v>
      </c>
      <c r="I1660" t="s">
        <v>9575</v>
      </c>
      <c r="K1660" t="s">
        <v>165</v>
      </c>
      <c r="N1660" t="str">
        <f t="shared" si="72"/>
        <v>Szanowna Pani</v>
      </c>
      <c r="P1660" s="19" t="s">
        <v>9776</v>
      </c>
      <c r="U1660" t="str">
        <f t="shared" si="71"/>
        <v>tak</v>
      </c>
    </row>
    <row r="1661" spans="1:21">
      <c r="A1661">
        <v>1705</v>
      </c>
      <c r="B1661" t="s">
        <v>7744</v>
      </c>
      <c r="C1661" t="s">
        <v>7826</v>
      </c>
      <c r="D1661" t="s">
        <v>8083</v>
      </c>
      <c r="E1661" t="s">
        <v>8082</v>
      </c>
      <c r="F1661" t="s">
        <v>8081</v>
      </c>
      <c r="G1661" t="s">
        <v>8080</v>
      </c>
      <c r="H1661" t="s">
        <v>8079</v>
      </c>
      <c r="I1661" t="s">
        <v>9576</v>
      </c>
      <c r="K1661" t="s">
        <v>165</v>
      </c>
      <c r="N1661" t="str">
        <f t="shared" si="72"/>
        <v>Szanowna Pani</v>
      </c>
      <c r="P1661" s="19" t="s">
        <v>9776</v>
      </c>
      <c r="U1661" t="str">
        <f t="shared" si="71"/>
        <v>tak</v>
      </c>
    </row>
    <row r="1662" spans="1:21">
      <c r="A1662">
        <v>1706</v>
      </c>
      <c r="B1662" t="s">
        <v>7744</v>
      </c>
      <c r="C1662" t="s">
        <v>7829</v>
      </c>
      <c r="D1662" t="s">
        <v>8088</v>
      </c>
      <c r="E1662" t="s">
        <v>8087</v>
      </c>
      <c r="F1662" t="s">
        <v>8086</v>
      </c>
      <c r="G1662" t="s">
        <v>8085</v>
      </c>
      <c r="H1662" t="s">
        <v>8084</v>
      </c>
      <c r="I1662" t="s">
        <v>9577</v>
      </c>
      <c r="K1662" t="s">
        <v>164</v>
      </c>
      <c r="N1662" t="str">
        <f t="shared" si="72"/>
        <v>Szanowna Pani</v>
      </c>
      <c r="O1662" s="19" t="s">
        <v>9776</v>
      </c>
      <c r="U1662" t="str">
        <f t="shared" si="71"/>
        <v>tak</v>
      </c>
    </row>
    <row r="1663" spans="1:21">
      <c r="A1663">
        <v>1707</v>
      </c>
      <c r="B1663" t="s">
        <v>7744</v>
      </c>
      <c r="C1663" t="s">
        <v>7831</v>
      </c>
      <c r="D1663" t="s">
        <v>9703</v>
      </c>
      <c r="E1663" t="s">
        <v>9704</v>
      </c>
      <c r="F1663" t="s">
        <v>8091</v>
      </c>
      <c r="G1663" t="s">
        <v>8090</v>
      </c>
      <c r="H1663" t="s">
        <v>8089</v>
      </c>
      <c r="I1663" t="s">
        <v>9578</v>
      </c>
      <c r="K1663" t="s">
        <v>164</v>
      </c>
      <c r="N1663" t="str">
        <f t="shared" si="72"/>
        <v>Szanowna Pani</v>
      </c>
      <c r="O1663" s="19" t="s">
        <v>9776</v>
      </c>
      <c r="U1663" t="str">
        <f t="shared" si="71"/>
        <v>tak</v>
      </c>
    </row>
    <row r="1664" spans="1:21">
      <c r="A1664">
        <v>1708</v>
      </c>
      <c r="B1664" t="s">
        <v>7744</v>
      </c>
      <c r="C1664" t="s">
        <v>7835</v>
      </c>
      <c r="D1664" t="s">
        <v>8095</v>
      </c>
      <c r="E1664" t="s">
        <v>7406</v>
      </c>
      <c r="F1664" t="s">
        <v>8094</v>
      </c>
      <c r="G1664" t="s">
        <v>8093</v>
      </c>
      <c r="H1664" t="s">
        <v>8092</v>
      </c>
      <c r="I1664" t="s">
        <v>9579</v>
      </c>
      <c r="K1664" t="s">
        <v>165</v>
      </c>
      <c r="N1664" t="str">
        <f t="shared" si="72"/>
        <v>Szanowna Pani</v>
      </c>
      <c r="P1664" s="19" t="s">
        <v>9776</v>
      </c>
      <c r="U1664" t="str">
        <f t="shared" si="71"/>
        <v>tak</v>
      </c>
    </row>
    <row r="1665" spans="1:21">
      <c r="A1665">
        <v>1709</v>
      </c>
      <c r="B1665" t="s">
        <v>7744</v>
      </c>
      <c r="C1665" t="s">
        <v>7837</v>
      </c>
      <c r="D1665" t="s">
        <v>8100</v>
      </c>
      <c r="E1665" t="s">
        <v>8099</v>
      </c>
      <c r="F1665" t="s">
        <v>8098</v>
      </c>
      <c r="G1665" t="s">
        <v>8097</v>
      </c>
      <c r="H1665" t="s">
        <v>8096</v>
      </c>
      <c r="I1665" t="s">
        <v>9580</v>
      </c>
      <c r="K1665" t="s">
        <v>224</v>
      </c>
      <c r="L1665" t="s">
        <v>164</v>
      </c>
      <c r="N1665" t="str">
        <f t="shared" si="72"/>
        <v>Szanowna Pani</v>
      </c>
      <c r="Q1665" s="19" t="s">
        <v>9776</v>
      </c>
      <c r="U1665" t="str">
        <f t="shared" si="71"/>
        <v>tak</v>
      </c>
    </row>
    <row r="1666" spans="1:21">
      <c r="A1666">
        <v>1710</v>
      </c>
      <c r="B1666" t="s">
        <v>7744</v>
      </c>
      <c r="C1666" t="s">
        <v>7837</v>
      </c>
      <c r="D1666" t="s">
        <v>8104</v>
      </c>
      <c r="E1666" t="s">
        <v>8103</v>
      </c>
      <c r="F1666" t="s">
        <v>8102</v>
      </c>
      <c r="H1666" t="s">
        <v>8101</v>
      </c>
      <c r="I1666" t="s">
        <v>9575</v>
      </c>
      <c r="K1666" t="s">
        <v>165</v>
      </c>
      <c r="N1666" t="str">
        <f t="shared" si="72"/>
        <v>Szanowna Pani</v>
      </c>
      <c r="P1666" s="19" t="s">
        <v>9776</v>
      </c>
      <c r="U1666" t="str">
        <f t="shared" si="71"/>
        <v>tak</v>
      </c>
    </row>
    <row r="1667" spans="1:21">
      <c r="A1667">
        <v>1711</v>
      </c>
      <c r="B1667" t="s">
        <v>7744</v>
      </c>
      <c r="C1667" t="s">
        <v>7840</v>
      </c>
      <c r="D1667" t="s">
        <v>8109</v>
      </c>
      <c r="E1667" t="s">
        <v>8108</v>
      </c>
      <c r="F1667" t="s">
        <v>8107</v>
      </c>
      <c r="G1667" t="s">
        <v>8106</v>
      </c>
      <c r="H1667" t="s">
        <v>8105</v>
      </c>
      <c r="I1667" t="s">
        <v>9581</v>
      </c>
      <c r="K1667" t="s">
        <v>164</v>
      </c>
      <c r="L1667" t="s">
        <v>165</v>
      </c>
      <c r="N1667" t="str">
        <f t="shared" si="72"/>
        <v>Szanowne Panie</v>
      </c>
      <c r="O1667" s="19" t="s">
        <v>9776</v>
      </c>
      <c r="U1667" t="str">
        <f t="shared" si="71"/>
        <v>tak</v>
      </c>
    </row>
    <row r="1668" spans="1:21">
      <c r="A1668">
        <v>1712</v>
      </c>
      <c r="B1668" t="s">
        <v>7744</v>
      </c>
      <c r="C1668" t="s">
        <v>7842</v>
      </c>
      <c r="D1668" t="s">
        <v>8114</v>
      </c>
      <c r="E1668" t="s">
        <v>8113</v>
      </c>
      <c r="F1668" t="s">
        <v>8112</v>
      </c>
      <c r="G1668" t="s">
        <v>8111</v>
      </c>
      <c r="H1668" t="s">
        <v>8110</v>
      </c>
      <c r="I1668" s="15" t="s">
        <v>9749</v>
      </c>
      <c r="K1668" t="s">
        <v>165</v>
      </c>
      <c r="L1668" t="s">
        <v>164</v>
      </c>
      <c r="N1668" t="str">
        <f t="shared" si="72"/>
        <v>Szanowne Panie</v>
      </c>
      <c r="P1668" s="19" t="s">
        <v>9776</v>
      </c>
      <c r="U1668" t="str">
        <f t="shared" ref="U1668:U1694" si="73">+O1668 &amp;P1668&amp;Q1668</f>
        <v>tak</v>
      </c>
    </row>
    <row r="1669" spans="1:21">
      <c r="A1669">
        <v>1713</v>
      </c>
      <c r="B1669" t="s">
        <v>7744</v>
      </c>
      <c r="C1669" t="s">
        <v>7845</v>
      </c>
      <c r="D1669" t="s">
        <v>8118</v>
      </c>
      <c r="E1669" t="s">
        <v>1010</v>
      </c>
      <c r="F1669" t="s">
        <v>8117</v>
      </c>
      <c r="G1669" t="s">
        <v>8116</v>
      </c>
      <c r="H1669" t="s">
        <v>8115</v>
      </c>
      <c r="I1669" t="s">
        <v>9582</v>
      </c>
      <c r="K1669" t="s">
        <v>165</v>
      </c>
      <c r="L1669" t="s">
        <v>164</v>
      </c>
      <c r="M1669" t="s">
        <v>164</v>
      </c>
      <c r="N1669" t="str">
        <f t="shared" si="72"/>
        <v>Szanowna Pani</v>
      </c>
      <c r="P1669" s="19" t="s">
        <v>9776</v>
      </c>
      <c r="U1669" t="str">
        <f t="shared" si="73"/>
        <v>tak</v>
      </c>
    </row>
    <row r="1670" spans="1:21">
      <c r="A1670">
        <v>1714</v>
      </c>
      <c r="B1670" t="s">
        <v>7744</v>
      </c>
      <c r="C1670" t="s">
        <v>7847</v>
      </c>
      <c r="D1670" t="s">
        <v>8123</v>
      </c>
      <c r="E1670" t="s">
        <v>8122</v>
      </c>
      <c r="F1670" t="s">
        <v>8121</v>
      </c>
      <c r="G1670" t="s">
        <v>8120</v>
      </c>
      <c r="H1670" t="s">
        <v>8119</v>
      </c>
      <c r="I1670" t="s">
        <v>9583</v>
      </c>
      <c r="K1670" t="s">
        <v>164</v>
      </c>
      <c r="N1670" t="str">
        <f t="shared" si="72"/>
        <v>Szanowna Pani</v>
      </c>
      <c r="O1670" s="19" t="s">
        <v>9776</v>
      </c>
      <c r="U1670" t="str">
        <f t="shared" si="73"/>
        <v>tak</v>
      </c>
    </row>
    <row r="1671" spans="1:21">
      <c r="A1671">
        <v>1715</v>
      </c>
      <c r="B1671" t="s">
        <v>7744</v>
      </c>
      <c r="C1671" t="s">
        <v>7850</v>
      </c>
      <c r="D1671" t="s">
        <v>8128</v>
      </c>
      <c r="E1671" t="s">
        <v>8127</v>
      </c>
      <c r="F1671" t="s">
        <v>8126</v>
      </c>
      <c r="G1671" t="s">
        <v>8125</v>
      </c>
      <c r="H1671" t="s">
        <v>8124</v>
      </c>
      <c r="I1671" t="s">
        <v>9584</v>
      </c>
      <c r="K1671" t="s">
        <v>164</v>
      </c>
      <c r="N1671" t="str">
        <f t="shared" si="72"/>
        <v>Szanowna Pani</v>
      </c>
      <c r="O1671" s="19" t="s">
        <v>9776</v>
      </c>
      <c r="U1671" t="str">
        <f t="shared" si="73"/>
        <v>tak</v>
      </c>
    </row>
    <row r="1672" spans="1:21">
      <c r="A1672">
        <v>1716</v>
      </c>
      <c r="B1672" t="s">
        <v>7744</v>
      </c>
      <c r="C1672" t="s">
        <v>7852</v>
      </c>
      <c r="D1672" t="s">
        <v>8133</v>
      </c>
      <c r="E1672" t="s">
        <v>8132</v>
      </c>
      <c r="F1672" t="s">
        <v>8131</v>
      </c>
      <c r="G1672" t="s">
        <v>8130</v>
      </c>
      <c r="H1672" t="s">
        <v>8129</v>
      </c>
      <c r="I1672" t="s">
        <v>9585</v>
      </c>
      <c r="K1672" t="s">
        <v>165</v>
      </c>
      <c r="N1672" t="str">
        <f t="shared" si="72"/>
        <v>Szanowna Pani</v>
      </c>
      <c r="P1672" s="19" t="s">
        <v>9776</v>
      </c>
      <c r="U1672" t="str">
        <f t="shared" si="73"/>
        <v>tak</v>
      </c>
    </row>
    <row r="1673" spans="1:21">
      <c r="A1673">
        <v>1717</v>
      </c>
      <c r="B1673" t="s">
        <v>7744</v>
      </c>
      <c r="C1673" t="s">
        <v>7854</v>
      </c>
      <c r="D1673" t="s">
        <v>8195</v>
      </c>
      <c r="E1673" t="s">
        <v>8194</v>
      </c>
      <c r="F1673" t="s">
        <v>8193</v>
      </c>
      <c r="G1673" t="s">
        <v>8192</v>
      </c>
      <c r="H1673" t="s">
        <v>8191</v>
      </c>
      <c r="I1673" t="s">
        <v>9586</v>
      </c>
      <c r="K1673" t="s">
        <v>165</v>
      </c>
      <c r="L1673" t="s">
        <v>164</v>
      </c>
      <c r="N1673" t="str">
        <f t="shared" si="72"/>
        <v>Szanowna Pani</v>
      </c>
      <c r="P1673" s="19" t="s">
        <v>9776</v>
      </c>
      <c r="U1673" t="str">
        <f t="shared" si="73"/>
        <v>tak</v>
      </c>
    </row>
    <row r="1674" spans="1:21">
      <c r="A1674">
        <v>1718</v>
      </c>
      <c r="B1674" t="s">
        <v>7744</v>
      </c>
      <c r="C1674" t="s">
        <v>7855</v>
      </c>
      <c r="D1674" t="s">
        <v>8137</v>
      </c>
      <c r="E1674" t="s">
        <v>8136</v>
      </c>
      <c r="F1674" t="s">
        <v>8112</v>
      </c>
      <c r="G1674" t="s">
        <v>8135</v>
      </c>
      <c r="H1674" t="s">
        <v>8134</v>
      </c>
      <c r="I1674" t="s">
        <v>9587</v>
      </c>
      <c r="K1674" t="s">
        <v>165</v>
      </c>
      <c r="N1674" t="str">
        <f t="shared" si="72"/>
        <v>Szanowna Pani</v>
      </c>
      <c r="P1674" s="19" t="s">
        <v>9776</v>
      </c>
      <c r="U1674" t="str">
        <f t="shared" si="73"/>
        <v>tak</v>
      </c>
    </row>
    <row r="1675" spans="1:21">
      <c r="A1675">
        <v>1719</v>
      </c>
      <c r="B1675" t="s">
        <v>7744</v>
      </c>
      <c r="C1675" t="s">
        <v>7857</v>
      </c>
      <c r="D1675" t="s">
        <v>8142</v>
      </c>
      <c r="E1675" t="s">
        <v>8141</v>
      </c>
      <c r="F1675" t="s">
        <v>8140</v>
      </c>
      <c r="G1675" t="s">
        <v>8139</v>
      </c>
      <c r="H1675" t="s">
        <v>8138</v>
      </c>
      <c r="I1675" t="s">
        <v>9588</v>
      </c>
      <c r="K1675" t="s">
        <v>164</v>
      </c>
      <c r="L1675" t="s">
        <v>165</v>
      </c>
      <c r="N1675" t="str">
        <f t="shared" si="72"/>
        <v>Szanowne Panie</v>
      </c>
      <c r="O1675" s="19" t="s">
        <v>9776</v>
      </c>
      <c r="U1675" t="str">
        <f t="shared" si="73"/>
        <v>tak</v>
      </c>
    </row>
    <row r="1676" spans="1:21">
      <c r="A1676">
        <v>1720</v>
      </c>
      <c r="B1676" t="s">
        <v>7744</v>
      </c>
      <c r="C1676" t="s">
        <v>7859</v>
      </c>
      <c r="D1676" t="s">
        <v>8146</v>
      </c>
      <c r="E1676" t="s">
        <v>8145</v>
      </c>
      <c r="F1676" t="s">
        <v>8144</v>
      </c>
      <c r="G1676" t="s">
        <v>8143</v>
      </c>
      <c r="H1676" t="s">
        <v>9748</v>
      </c>
      <c r="I1676" s="15" t="s">
        <v>9747</v>
      </c>
      <c r="K1676" t="s">
        <v>164</v>
      </c>
      <c r="N1676" t="str">
        <f t="shared" si="72"/>
        <v>Szanowna Pani</v>
      </c>
      <c r="O1676" s="19" t="s">
        <v>9776</v>
      </c>
      <c r="U1676" t="str">
        <f t="shared" si="73"/>
        <v>tak</v>
      </c>
    </row>
    <row r="1677" spans="1:21">
      <c r="A1677">
        <v>1721</v>
      </c>
      <c r="B1677" t="s">
        <v>7744</v>
      </c>
      <c r="C1677" t="s">
        <v>7861</v>
      </c>
      <c r="D1677" t="s">
        <v>8150</v>
      </c>
      <c r="E1677" t="s">
        <v>2359</v>
      </c>
      <c r="F1677" t="s">
        <v>8149</v>
      </c>
      <c r="G1677" t="s">
        <v>8148</v>
      </c>
      <c r="H1677" t="s">
        <v>8147</v>
      </c>
      <c r="I1677" t="s">
        <v>9589</v>
      </c>
      <c r="K1677" t="s">
        <v>165</v>
      </c>
      <c r="N1677" t="str">
        <f t="shared" si="72"/>
        <v>Szanowna Pani</v>
      </c>
      <c r="P1677" s="19" t="s">
        <v>9776</v>
      </c>
      <c r="U1677" t="str">
        <f t="shared" si="73"/>
        <v>tak</v>
      </c>
    </row>
    <row r="1678" spans="1:21">
      <c r="A1678">
        <v>1722</v>
      </c>
      <c r="B1678" t="s">
        <v>7744</v>
      </c>
      <c r="C1678" t="s">
        <v>7864</v>
      </c>
      <c r="D1678" t="s">
        <v>8155</v>
      </c>
      <c r="E1678" t="s">
        <v>8154</v>
      </c>
      <c r="F1678" t="s">
        <v>8153</v>
      </c>
      <c r="G1678" t="s">
        <v>8152</v>
      </c>
      <c r="H1678" t="s">
        <v>8151</v>
      </c>
      <c r="I1678" t="s">
        <v>9575</v>
      </c>
      <c r="K1678" t="s">
        <v>165</v>
      </c>
      <c r="N1678" t="str">
        <f t="shared" si="72"/>
        <v>Szanowna Pani</v>
      </c>
      <c r="P1678" s="19" t="s">
        <v>9776</v>
      </c>
      <c r="U1678" t="str">
        <f t="shared" si="73"/>
        <v>tak</v>
      </c>
    </row>
    <row r="1679" spans="1:21">
      <c r="A1679">
        <v>1723</v>
      </c>
      <c r="B1679" t="s">
        <v>7744</v>
      </c>
      <c r="C1679" t="s">
        <v>7744</v>
      </c>
      <c r="D1679" t="s">
        <v>8198</v>
      </c>
      <c r="E1679" t="s">
        <v>8159</v>
      </c>
      <c r="F1679" t="s">
        <v>8158</v>
      </c>
      <c r="G1679" t="s">
        <v>8197</v>
      </c>
      <c r="H1679" t="s">
        <v>8196</v>
      </c>
      <c r="I1679" t="s">
        <v>9590</v>
      </c>
      <c r="K1679" t="s">
        <v>164</v>
      </c>
      <c r="N1679" t="str">
        <f t="shared" si="72"/>
        <v>Szanowna Pani</v>
      </c>
      <c r="O1679" s="19" t="s">
        <v>9776</v>
      </c>
      <c r="U1679" t="str">
        <f t="shared" si="73"/>
        <v>tak</v>
      </c>
    </row>
    <row r="1680" spans="1:21">
      <c r="A1680">
        <v>1724</v>
      </c>
      <c r="B1680" t="s">
        <v>7744</v>
      </c>
      <c r="C1680" t="s">
        <v>7744</v>
      </c>
      <c r="D1680" t="s">
        <v>8160</v>
      </c>
      <c r="E1680" t="s">
        <v>8159</v>
      </c>
      <c r="F1680" t="s">
        <v>8158</v>
      </c>
      <c r="G1680" t="s">
        <v>8157</v>
      </c>
      <c r="H1680" t="s">
        <v>8156</v>
      </c>
      <c r="I1680" t="s">
        <v>9591</v>
      </c>
      <c r="K1680" t="s">
        <v>164</v>
      </c>
      <c r="N1680" t="str">
        <f t="shared" si="72"/>
        <v>Szanowna Pani</v>
      </c>
      <c r="O1680" s="19" t="s">
        <v>9776</v>
      </c>
      <c r="U1680" t="str">
        <f t="shared" si="73"/>
        <v>tak</v>
      </c>
    </row>
    <row r="1681" spans="1:21">
      <c r="A1681">
        <v>1725</v>
      </c>
      <c r="B1681" t="s">
        <v>7744</v>
      </c>
      <c r="C1681" t="s">
        <v>7744</v>
      </c>
      <c r="D1681" t="s">
        <v>8228</v>
      </c>
      <c r="E1681" t="s">
        <v>8159</v>
      </c>
      <c r="F1681" t="s">
        <v>8158</v>
      </c>
      <c r="G1681" t="s">
        <v>8227</v>
      </c>
      <c r="H1681" t="s">
        <v>8226</v>
      </c>
      <c r="I1681" t="s">
        <v>9592</v>
      </c>
      <c r="K1681" t="s">
        <v>165</v>
      </c>
      <c r="L1681" t="s">
        <v>224</v>
      </c>
      <c r="N1681" t="str">
        <f t="shared" si="72"/>
        <v>Szanowne Panie</v>
      </c>
      <c r="P1681" s="19" t="s">
        <v>9776</v>
      </c>
      <c r="U1681" t="str">
        <f t="shared" si="73"/>
        <v>tak</v>
      </c>
    </row>
    <row r="1682" spans="1:21">
      <c r="A1682">
        <v>1726</v>
      </c>
      <c r="B1682" t="s">
        <v>7744</v>
      </c>
      <c r="C1682" t="s">
        <v>7744</v>
      </c>
      <c r="D1682" t="s">
        <v>8165</v>
      </c>
      <c r="E1682" t="s">
        <v>8164</v>
      </c>
      <c r="F1682" t="s">
        <v>8163</v>
      </c>
      <c r="G1682" t="s">
        <v>8162</v>
      </c>
      <c r="H1682" t="s">
        <v>8161</v>
      </c>
      <c r="I1682" t="s">
        <v>9593</v>
      </c>
      <c r="K1682" t="s">
        <v>164</v>
      </c>
      <c r="N1682" t="str">
        <f t="shared" si="72"/>
        <v>Szanowna Pani</v>
      </c>
      <c r="O1682" s="19" t="s">
        <v>9776</v>
      </c>
      <c r="U1682" t="str">
        <f t="shared" si="73"/>
        <v>tak</v>
      </c>
    </row>
    <row r="1683" spans="1:21">
      <c r="A1683">
        <v>1727</v>
      </c>
      <c r="B1683" t="s">
        <v>7744</v>
      </c>
      <c r="C1683" t="s">
        <v>7744</v>
      </c>
      <c r="D1683" t="s">
        <v>9705</v>
      </c>
      <c r="E1683" t="s">
        <v>9706</v>
      </c>
      <c r="F1683" t="s">
        <v>8168</v>
      </c>
      <c r="G1683" t="s">
        <v>8167</v>
      </c>
      <c r="H1683" t="s">
        <v>8166</v>
      </c>
      <c r="I1683" t="s">
        <v>9594</v>
      </c>
      <c r="K1683" t="s">
        <v>224</v>
      </c>
      <c r="N1683" t="str">
        <f t="shared" si="72"/>
        <v>Szanowny Pan</v>
      </c>
      <c r="Q1683" s="19" t="s">
        <v>9776</v>
      </c>
      <c r="U1683" t="str">
        <f t="shared" si="73"/>
        <v>tak</v>
      </c>
    </row>
    <row r="1684" spans="1:21">
      <c r="A1684">
        <v>1728</v>
      </c>
      <c r="B1684" t="s">
        <v>7744</v>
      </c>
      <c r="C1684" t="s">
        <v>7744</v>
      </c>
      <c r="D1684" t="s">
        <v>8173</v>
      </c>
      <c r="E1684" t="s">
        <v>8172</v>
      </c>
      <c r="F1684" t="s">
        <v>8171</v>
      </c>
      <c r="G1684" t="s">
        <v>8170</v>
      </c>
      <c r="H1684" t="s">
        <v>8169</v>
      </c>
      <c r="I1684" t="s">
        <v>9595</v>
      </c>
      <c r="K1684" t="s">
        <v>164</v>
      </c>
      <c r="N1684" t="str">
        <f t="shared" si="72"/>
        <v>Szanowna Pani</v>
      </c>
      <c r="O1684" s="19" t="s">
        <v>9776</v>
      </c>
      <c r="U1684" t="str">
        <f t="shared" si="73"/>
        <v>tak</v>
      </c>
    </row>
    <row r="1685" spans="1:21">
      <c r="A1685">
        <v>1729</v>
      </c>
      <c r="B1685" t="s">
        <v>7744</v>
      </c>
      <c r="C1685" t="s">
        <v>7744</v>
      </c>
      <c r="D1685" t="s">
        <v>8178</v>
      </c>
      <c r="E1685" t="s">
        <v>8177</v>
      </c>
      <c r="F1685" t="s">
        <v>8176</v>
      </c>
      <c r="G1685" t="s">
        <v>8175</v>
      </c>
      <c r="H1685" t="s">
        <v>8174</v>
      </c>
      <c r="I1685" t="s">
        <v>9596</v>
      </c>
      <c r="K1685" t="s">
        <v>165</v>
      </c>
      <c r="N1685" t="str">
        <f t="shared" si="72"/>
        <v>Szanowna Pani</v>
      </c>
      <c r="P1685" s="19" t="s">
        <v>9776</v>
      </c>
      <c r="U1685" t="str">
        <f t="shared" si="73"/>
        <v>tak</v>
      </c>
    </row>
    <row r="1686" spans="1:21">
      <c r="A1686">
        <v>1730</v>
      </c>
      <c r="B1686" t="s">
        <v>7744</v>
      </c>
      <c r="C1686" t="s">
        <v>7744</v>
      </c>
      <c r="D1686" t="s">
        <v>8183</v>
      </c>
      <c r="E1686" t="s">
        <v>8182</v>
      </c>
      <c r="F1686" t="s">
        <v>8181</v>
      </c>
      <c r="G1686" t="s">
        <v>8180</v>
      </c>
      <c r="H1686" t="s">
        <v>8179</v>
      </c>
      <c r="I1686" t="s">
        <v>9597</v>
      </c>
      <c r="K1686" t="s">
        <v>165</v>
      </c>
      <c r="N1686" t="str">
        <f t="shared" si="72"/>
        <v>Szanowna Pani</v>
      </c>
      <c r="P1686" s="19" t="s">
        <v>9776</v>
      </c>
      <c r="U1686" t="str">
        <f t="shared" si="73"/>
        <v>tak</v>
      </c>
    </row>
    <row r="1687" spans="1:21">
      <c r="A1687">
        <v>1731</v>
      </c>
      <c r="B1687" t="s">
        <v>7744</v>
      </c>
      <c r="C1687" t="s">
        <v>7744</v>
      </c>
      <c r="D1687" t="s">
        <v>8186</v>
      </c>
      <c r="E1687" t="s">
        <v>8172</v>
      </c>
      <c r="F1687" t="s">
        <v>8171</v>
      </c>
      <c r="G1687" t="s">
        <v>8185</v>
      </c>
      <c r="H1687" t="s">
        <v>8184</v>
      </c>
      <c r="I1687" t="s">
        <v>9598</v>
      </c>
      <c r="K1687" t="s">
        <v>165</v>
      </c>
      <c r="N1687" t="str">
        <f t="shared" si="72"/>
        <v>Szanowna Pani</v>
      </c>
      <c r="P1687" s="19" t="s">
        <v>9776</v>
      </c>
      <c r="U1687" t="str">
        <f t="shared" si="73"/>
        <v>tak</v>
      </c>
    </row>
    <row r="1688" spans="1:21">
      <c r="A1688">
        <v>1732</v>
      </c>
      <c r="B1688" t="s">
        <v>7744</v>
      </c>
      <c r="C1688" t="s">
        <v>7744</v>
      </c>
      <c r="D1688" t="s">
        <v>8189</v>
      </c>
      <c r="E1688" t="s">
        <v>8164</v>
      </c>
      <c r="F1688" t="s">
        <v>8163</v>
      </c>
      <c r="G1688" t="s">
        <v>8188</v>
      </c>
      <c r="H1688" t="s">
        <v>8187</v>
      </c>
      <c r="I1688" t="s">
        <v>9599</v>
      </c>
      <c r="K1688" t="s">
        <v>224</v>
      </c>
      <c r="N1688" t="str">
        <f t="shared" si="72"/>
        <v>Szanowna Pani</v>
      </c>
      <c r="Q1688" s="19" t="s">
        <v>9776</v>
      </c>
      <c r="U1688" t="str">
        <f t="shared" si="73"/>
        <v>tak</v>
      </c>
    </row>
    <row r="1689" spans="1:21">
      <c r="A1689">
        <v>1733</v>
      </c>
      <c r="B1689" t="s">
        <v>7744</v>
      </c>
      <c r="C1689" t="s">
        <v>7744</v>
      </c>
      <c r="D1689" t="s">
        <v>8203</v>
      </c>
      <c r="E1689" t="s">
        <v>8202</v>
      </c>
      <c r="F1689" t="s">
        <v>8201</v>
      </c>
      <c r="G1689" t="s">
        <v>8200</v>
      </c>
      <c r="H1689" t="s">
        <v>8199</v>
      </c>
      <c r="I1689" t="s">
        <v>9600</v>
      </c>
      <c r="K1689" t="s">
        <v>165</v>
      </c>
      <c r="N1689" t="str">
        <f t="shared" ref="N1689:N1693" si="74">IF(ISERROR(FIND(",",H1689)),IF(MID(H1689,FIND(" ",H1689)-1,1)="a","Szanowna Pani","Szanowny Pan"), "Szanowne Panie")</f>
        <v>Szanowna Pani</v>
      </c>
      <c r="P1689" s="19" t="s">
        <v>9776</v>
      </c>
      <c r="U1689" t="str">
        <f t="shared" si="73"/>
        <v>tak</v>
      </c>
    </row>
    <row r="1690" spans="1:21">
      <c r="A1690">
        <v>1734</v>
      </c>
      <c r="B1690" t="s">
        <v>7744</v>
      </c>
      <c r="C1690" t="s">
        <v>7744</v>
      </c>
      <c r="D1690" t="s">
        <v>8208</v>
      </c>
      <c r="E1690" t="s">
        <v>8207</v>
      </c>
      <c r="F1690" t="s">
        <v>8206</v>
      </c>
      <c r="G1690" t="s">
        <v>8205</v>
      </c>
      <c r="H1690" t="s">
        <v>8204</v>
      </c>
      <c r="I1690" t="s">
        <v>9601</v>
      </c>
      <c r="K1690" t="s">
        <v>165</v>
      </c>
      <c r="L1690" t="s">
        <v>164</v>
      </c>
      <c r="N1690" t="str">
        <f t="shared" si="74"/>
        <v>Szanowne Panie</v>
      </c>
      <c r="P1690" s="19" t="s">
        <v>9776</v>
      </c>
      <c r="U1690" t="str">
        <f t="shared" si="73"/>
        <v>tak</v>
      </c>
    </row>
    <row r="1691" spans="1:21">
      <c r="A1691">
        <v>1735</v>
      </c>
      <c r="B1691" t="s">
        <v>7744</v>
      </c>
      <c r="C1691" t="s">
        <v>7744</v>
      </c>
      <c r="D1691" t="s">
        <v>8211</v>
      </c>
      <c r="E1691" t="s">
        <v>8159</v>
      </c>
      <c r="F1691" t="s">
        <v>8158</v>
      </c>
      <c r="G1691" t="s">
        <v>8210</v>
      </c>
      <c r="H1691" t="s">
        <v>8209</v>
      </c>
      <c r="I1691" t="s">
        <v>9602</v>
      </c>
      <c r="K1691" t="s">
        <v>164</v>
      </c>
      <c r="L1691" t="s">
        <v>165</v>
      </c>
      <c r="N1691" t="str">
        <f t="shared" si="74"/>
        <v>Szanowne Panie</v>
      </c>
      <c r="O1691" s="19" t="s">
        <v>9776</v>
      </c>
      <c r="U1691" t="str">
        <f t="shared" si="73"/>
        <v>tak</v>
      </c>
    </row>
    <row r="1692" spans="1:21">
      <c r="A1692">
        <v>1736</v>
      </c>
      <c r="B1692" t="s">
        <v>7744</v>
      </c>
      <c r="C1692" t="s">
        <v>7880</v>
      </c>
      <c r="D1692" t="s">
        <v>8216</v>
      </c>
      <c r="E1692" t="s">
        <v>8215</v>
      </c>
      <c r="F1692" t="s">
        <v>8214</v>
      </c>
      <c r="G1692" t="s">
        <v>8213</v>
      </c>
      <c r="H1692" t="s">
        <v>8212</v>
      </c>
      <c r="I1692" t="s">
        <v>9603</v>
      </c>
      <c r="K1692" t="s">
        <v>164</v>
      </c>
      <c r="N1692" t="str">
        <f t="shared" si="74"/>
        <v>Szanowna Pani</v>
      </c>
      <c r="O1692" s="19" t="s">
        <v>9776</v>
      </c>
      <c r="U1692" t="str">
        <f t="shared" si="73"/>
        <v>tak</v>
      </c>
    </row>
    <row r="1693" spans="1:21">
      <c r="A1693">
        <v>1737</v>
      </c>
      <c r="B1693" t="s">
        <v>7744</v>
      </c>
      <c r="C1693" t="s">
        <v>7882</v>
      </c>
      <c r="D1693" t="s">
        <v>8220</v>
      </c>
      <c r="E1693" t="s">
        <v>8219</v>
      </c>
      <c r="F1693" t="s">
        <v>7915</v>
      </c>
      <c r="G1693" t="s">
        <v>8218</v>
      </c>
      <c r="H1693" t="s">
        <v>8217</v>
      </c>
      <c r="I1693" t="s">
        <v>9604</v>
      </c>
      <c r="K1693" t="s">
        <v>165</v>
      </c>
      <c r="L1693" t="s">
        <v>224</v>
      </c>
      <c r="M1693" t="s">
        <v>164</v>
      </c>
      <c r="N1693" t="str">
        <f t="shared" si="74"/>
        <v>Szanowne Panie</v>
      </c>
      <c r="P1693" s="19" t="s">
        <v>9776</v>
      </c>
      <c r="U1693" t="str">
        <f t="shared" si="73"/>
        <v>tak</v>
      </c>
    </row>
    <row r="1694" spans="1:21">
      <c r="A1694">
        <v>1738</v>
      </c>
      <c r="B1694" t="s">
        <v>7744</v>
      </c>
      <c r="C1694" t="s">
        <v>7885</v>
      </c>
      <c r="D1694" t="s">
        <v>8224</v>
      </c>
      <c r="E1694" t="s">
        <v>8223</v>
      </c>
      <c r="F1694" t="s">
        <v>7954</v>
      </c>
      <c r="G1694" t="s">
        <v>8222</v>
      </c>
      <c r="H1694" t="s">
        <v>8221</v>
      </c>
      <c r="I1694" t="s">
        <v>9605</v>
      </c>
      <c r="K1694" t="s">
        <v>164</v>
      </c>
      <c r="L1694" t="s">
        <v>165</v>
      </c>
      <c r="N1694" t="s">
        <v>2208</v>
      </c>
      <c r="O1694" s="19" t="s">
        <v>9776</v>
      </c>
      <c r="U1694" t="str">
        <f t="shared" si="73"/>
        <v>tak</v>
      </c>
    </row>
  </sheetData>
  <autoFilter ref="A1:T1694" xr:uid="{DE3BEFD2-890B-4BD9-A0B4-AC5D455BC2BC}"/>
  <phoneticPr fontId="5" type="noConversion"/>
  <hyperlinks>
    <hyperlink ref="I821" r:id="rId1" xr:uid="{6807D0C1-E40A-427A-9AC2-F91E55E3EB39}"/>
    <hyperlink ref="I491" r:id="rId2" xr:uid="{8F53D5C6-18C1-48AC-9055-7AC8235024E4}"/>
    <hyperlink ref="I448" r:id="rId3" xr:uid="{F62A69CB-3033-413D-9BA6-626F2E143DE0}"/>
    <hyperlink ref="I220" r:id="rId4" xr:uid="{EADCABFE-76F8-4F78-A44F-04BB70247FA5}"/>
    <hyperlink ref="I94" r:id="rId5" xr:uid="{0429801D-6CF6-4860-85F3-1FC9E66164AF}"/>
    <hyperlink ref="I100" r:id="rId6" xr:uid="{4F6E31EB-99C4-4929-8089-3E1C490C4D09}"/>
    <hyperlink ref="I98" r:id="rId7" xr:uid="{E2C68305-73FB-47CE-8C04-7DCF3B750667}"/>
    <hyperlink ref="I113" r:id="rId8" xr:uid="{634E1F73-9DA1-4F54-829A-74B5B2F2E87C}"/>
    <hyperlink ref="I118" r:id="rId9" xr:uid="{F7918857-2BAE-4D3E-ABC8-E08880DFB9D6}"/>
    <hyperlink ref="I245" r:id="rId10" xr:uid="{DA9ACCC5-0F71-4937-B100-CD0215AD578D}"/>
    <hyperlink ref="I88" r:id="rId11" xr:uid="{F2C37142-D086-4966-B6C2-E83DE11ED8DB}"/>
    <hyperlink ref="S416" r:id="rId12" xr:uid="{70EFDB40-084E-4B7E-A1D8-456DBEE44C1F}"/>
    <hyperlink ref="I416" r:id="rId13" xr:uid="{887BC5C8-4116-4322-ACBB-4645302C2D1E}"/>
    <hyperlink ref="I145" r:id="rId14" xr:uid="{FDDDABC6-212A-4B0A-A428-49C743A3013B}"/>
    <hyperlink ref="I653" r:id="rId15" xr:uid="{D7E342CF-29A0-41AD-A6EA-53F487E238C0}"/>
    <hyperlink ref="I974" r:id="rId16" xr:uid="{723E73A1-B2DB-4178-9DC2-BC41141A6012}"/>
    <hyperlink ref="I148" r:id="rId17" display="filia_16@wbpg.org.pl " xr:uid="{F0937857-55B1-4778-8E92-868AFF7D68CA}"/>
    <hyperlink ref="I1056" r:id="rId18" xr:uid="{E0CF13F1-A8BE-4AD4-9F87-BA9475180B6D}"/>
    <hyperlink ref="I189" r:id="rId19" xr:uid="{D5EC55B3-946A-44ED-AC66-2D91F4F438D1}"/>
    <hyperlink ref="I234" r:id="rId20" xr:uid="{97BCB50B-92AA-4FB3-BB21-293D754DE320}"/>
    <hyperlink ref="I1108" r:id="rId21" xr:uid="{26668D0E-E304-4305-96F1-B89E3540382B}"/>
    <hyperlink ref="I1109" r:id="rId22" xr:uid="{DB414E2A-0DE0-4A9A-8A9F-0DF394F8E532}"/>
    <hyperlink ref="I1298" r:id="rId23" xr:uid="{419410EC-9D00-4A97-BBF4-24E48324C769}"/>
    <hyperlink ref="I1308" r:id="rId24" xr:uid="{3139C9DD-2D62-4F24-ABDB-050D315FC042}"/>
    <hyperlink ref="I1168" r:id="rId25" xr:uid="{5E30A78E-EB05-4A11-966D-D1296C8C3B57}"/>
    <hyperlink ref="I1131" r:id="rId26" xr:uid="{FF652529-AD12-4C5F-8CE6-98C69F3CF9EB}"/>
    <hyperlink ref="I1095" r:id="rId27" xr:uid="{A3ED9C2F-C2AB-4FC1-B71A-09A6E2ADC838}"/>
    <hyperlink ref="I1395" r:id="rId28" xr:uid="{2D620070-F83E-4BC9-B575-0D4B504997C0}"/>
    <hyperlink ref="I1409" r:id="rId29" xr:uid="{FD323B6E-B8DE-4478-9771-D4534625EBB9}"/>
    <hyperlink ref="I1470" r:id="rId30" xr:uid="{F407B7E0-4129-42C5-84BD-4EB9C8B8A7AF}"/>
    <hyperlink ref="I1524" r:id="rId31" xr:uid="{A82372EB-6500-47DD-84BF-5D7CB3D6D761}"/>
    <hyperlink ref="I1501" r:id="rId32" xr:uid="{438B11B6-D64A-4585-B122-6B2E0A4821AB}"/>
    <hyperlink ref="I1502" r:id="rId33" xr:uid="{5B269A2F-E8A3-4DC7-BABB-45B4147CC064}"/>
    <hyperlink ref="I1507" r:id="rId34" xr:uid="{B98F7F8A-0E57-498E-BE91-A829B8A62322}"/>
    <hyperlink ref="I1534" r:id="rId35" xr:uid="{2539EC82-F9AA-4375-8760-EBD83E6FDB92}"/>
    <hyperlink ref="I150" r:id="rId36" xr:uid="{4EBCE66F-8AAF-4246-951B-17AA6B6C8024}"/>
    <hyperlink ref="I154" r:id="rId37" xr:uid="{392946CC-F026-4698-BC13-0E13BA9E0203}"/>
    <hyperlink ref="I155" r:id="rId38" xr:uid="{4A74E083-BC66-4A4E-8A16-4EB4D3B42141}"/>
    <hyperlink ref="I156" r:id="rId39" xr:uid="{522C0339-4481-4A05-81D6-522E04B25566}"/>
    <hyperlink ref="I342" r:id="rId40" xr:uid="{CFB65C68-169D-4AC5-9B49-49492FDD199C}"/>
    <hyperlink ref="I399" r:id="rId41" xr:uid="{F78BFE69-3128-45CC-B3B2-F10731DF7E8D}"/>
    <hyperlink ref="I722" r:id="rId42" xr:uid="{B41DB8F8-D5D0-46A2-803E-692D4AB56F28}"/>
    <hyperlink ref="I763" r:id="rId43" xr:uid="{3750E328-023D-4EB4-A4E6-28DF6757D359}"/>
    <hyperlink ref="I799" r:id="rId44" xr:uid="{26DFBD5A-71AC-4E02-957C-114E007BC727}"/>
    <hyperlink ref="I949" r:id="rId45" xr:uid="{75ED6F46-B87E-4F60-AAFF-0057D945221D}"/>
    <hyperlink ref="I1676" r:id="rId46" xr:uid="{4BF4731E-36FB-4867-9D86-826FCB3B8737}"/>
    <hyperlink ref="I1668" r:id="rId47" xr:uid="{D792A5C8-B476-4F84-AF8E-125AD13B4397}"/>
    <hyperlink ref="I1655" r:id="rId48" xr:uid="{C8A15A53-489B-49E6-932B-146CF4143234}"/>
    <hyperlink ref="I1648" r:id="rId49" xr:uid="{6C78423C-6C94-49EF-93BB-6622203D6DD6}"/>
    <hyperlink ref="I1616" r:id="rId50" xr:uid="{C2B23377-2FC3-42F3-9634-D5FF86AFD9E8}"/>
    <hyperlink ref="I1576" r:id="rId51" xr:uid="{496A9241-7963-496F-AE27-FBA43675834B}"/>
    <hyperlink ref="I1566" r:id="rId52" xr:uid="{ABB9C067-4BE3-464B-B307-5A32149A8996}"/>
    <hyperlink ref="I1565" r:id="rId53" xr:uid="{363ABD01-844A-4AE7-88B6-14875C330314}"/>
    <hyperlink ref="I1548" r:id="rId54" xr:uid="{A8925849-231C-469D-A397-12C6E9B2ECF2}"/>
    <hyperlink ref="I1547" r:id="rId55" xr:uid="{B21E2F6F-9603-4872-B370-F9342C004CF5}"/>
    <hyperlink ref="I328" r:id="rId56" xr:uid="{BD7D0F32-A3F5-41F7-A1D1-F7BC8B727142}"/>
    <hyperlink ref="I748" r:id="rId57" xr:uid="{17DBD962-6339-4802-A43B-9E70B22782A7}"/>
    <hyperlink ref="I1639" r:id="rId58" xr:uid="{EED18F1A-3B99-4DD0-8D27-E69BD2B8144A}"/>
    <hyperlink ref="I1594" r:id="rId59" xr:uid="{906E3703-C1FD-429E-9102-C110C103309A}"/>
    <hyperlink ref="I1374" r:id="rId60" xr:uid="{7C43FB54-876E-4D22-A9E5-3E738D0D90D2}"/>
    <hyperlink ref="I1480" r:id="rId61" xr:uid="{B8144980-C118-426A-BBCC-4EA602EAD3FB}"/>
  </hyperlinks>
  <pageMargins left="0.7" right="0.7" top="0.75" bottom="0.75" header="0.3" footer="0.3"/>
  <pageSetup paperSize="9" orientation="portrait" r:id="rId6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67C08-E3E6-4BDD-8C18-4A3E97CDB274}">
  <sheetPr codeName="Arkusz4"/>
  <dimension ref="A1:K1025"/>
  <sheetViews>
    <sheetView zoomScale="98" zoomScaleNormal="98" workbookViewId="0">
      <pane xSplit="1" ySplit="1" topLeftCell="B123" activePane="bottomRight" state="frozen"/>
      <selection pane="topRight" activeCell="B1" sqref="B1"/>
      <selection pane="bottomLeft" activeCell="A2" sqref="A2"/>
      <selection pane="bottomRight" activeCell="A134" sqref="A134"/>
    </sheetView>
  </sheetViews>
  <sheetFormatPr defaultRowHeight="15"/>
  <cols>
    <col min="1" max="1" width="114.28515625" customWidth="1"/>
    <col min="2" max="2" width="57.7109375" bestFit="1" customWidth="1"/>
    <col min="3" max="3" width="38" customWidth="1"/>
    <col min="4" max="4" width="20.140625" customWidth="1"/>
    <col min="5" max="5" width="21" customWidth="1"/>
    <col min="6" max="6" width="16.85546875" customWidth="1"/>
    <col min="7" max="7" width="27.7109375" customWidth="1"/>
    <col min="8" max="8" width="21.7109375" customWidth="1"/>
    <col min="9" max="9" width="16.7109375" customWidth="1"/>
    <col min="11" max="11" width="9.85546875" bestFit="1" customWidth="1"/>
  </cols>
  <sheetData>
    <row r="1" spans="1:11">
      <c r="A1" t="s">
        <v>7745</v>
      </c>
      <c r="B1" t="s">
        <v>355</v>
      </c>
      <c r="C1" t="s">
        <v>820</v>
      </c>
      <c r="D1" t="s">
        <v>348</v>
      </c>
      <c r="E1" t="s">
        <v>349</v>
      </c>
      <c r="F1" t="s">
        <v>350</v>
      </c>
      <c r="G1" t="s">
        <v>1030</v>
      </c>
      <c r="H1" t="s">
        <v>351</v>
      </c>
      <c r="I1" t="s">
        <v>353</v>
      </c>
      <c r="J1" t="s">
        <v>354</v>
      </c>
      <c r="K1">
        <f>COUNTIF(C:C,"&gt;''")-1</f>
        <v>31</v>
      </c>
    </row>
    <row r="2" spans="1:11">
      <c r="A2" t="s">
        <v>7746</v>
      </c>
      <c r="B2" t="str">
        <f t="shared" ref="B2:B106" si="0">+IF(AND(C2&gt;"",ISERR(FIND("DKK",A1))),A1,B1)</f>
        <v>Babimost</v>
      </c>
      <c r="C2" t="str">
        <f>IF(ISERR(FIND($C$1,A2,1)),"",A2)</f>
        <v>Biblioteka Publiczna w Babimoście ul. Konstytucji 3 Maja 9 66-110 Babimost tel. 68 351 20 69 moderatorki: Irena Spodzieja, Marta Wieczorek e-mail: bibliotekababimost[at]wp.pl DKK dla dorosłych DKK dla dzieci</v>
      </c>
      <c r="D2" t="str">
        <f>IF(C2&gt;"",A5,"")</f>
        <v>Bieniów</v>
      </c>
      <c r="E2" t="str">
        <f>IF(C2&gt;"",A9,"")</f>
        <v>Bożnów</v>
      </c>
      <c r="F2" t="str">
        <f>IF(E2&gt;"",MID(A10,FIND("tel.",A10)+4,15),"")</f>
        <v xml:space="preserve"> 68 377 22 14 m</v>
      </c>
      <c r="G2" t="e">
        <f>IF(E2&gt;"",MID(A11,FIND(":",A11)+2,60),"")</f>
        <v>#VALUE!</v>
      </c>
      <c r="H2" t="str">
        <f>IF(E2&gt;"",MID(A12,FIND("e-mail:",A12)+8,100),"")</f>
        <v>bibliotekabrody[at]wp.pl DKK dla dzieci</v>
      </c>
      <c r="I2" t="str">
        <f>IF(E2&gt;"",IF(ISERR(FIND("DKK",A21)),"",A21),"")</f>
        <v/>
      </c>
      <c r="J2" t="str">
        <f>IF(E2&gt;"",IF(ISERR(FIND("DKK",A22)),"",A22),"")</f>
        <v>MBP w Szprotawie – Filia w Długiem Długie 79 67-312 Niegosławice tel. 68 376 24 81 moderatorka: Renata Migas e-mail: bp-dlugie[at]wp.pl DKK dla dzieci</v>
      </c>
    </row>
    <row r="3" spans="1:11">
      <c r="A3" t="s">
        <v>7747</v>
      </c>
      <c r="B3" t="str">
        <f t="shared" si="0"/>
        <v>Babimost</v>
      </c>
    </row>
    <row r="4" spans="1:11">
      <c r="A4" t="s">
        <v>7748</v>
      </c>
      <c r="B4" t="str">
        <f t="shared" si="0"/>
        <v>Babimost</v>
      </c>
    </row>
    <row r="5" spans="1:11">
      <c r="A5" t="s">
        <v>7749</v>
      </c>
      <c r="B5" t="str">
        <f t="shared" si="0"/>
        <v>Babimost</v>
      </c>
      <c r="C5" t="str">
        <f>IF(ISERR(FIND($C$1,A5,1)),"",A5)</f>
        <v/>
      </c>
      <c r="D5" t="str">
        <f>IF(C5&gt;"",A9,"")</f>
        <v/>
      </c>
      <c r="E5" t="str">
        <f>IF(C5&gt;"",A10,"")</f>
        <v/>
      </c>
      <c r="F5" t="str">
        <f>IF(E5&gt;"",MID(A11,FIND("tel.",A11)+4,15),"")</f>
        <v/>
      </c>
      <c r="G5" t="str">
        <f>IF(E5&gt;"",MID(A12,FIND(":",A12)+2,60),"")</f>
        <v/>
      </c>
      <c r="H5" t="str">
        <f>IF(E5&gt;"",MID(A21,FIND("e-mail:",A21)+8,100),"")</f>
        <v/>
      </c>
      <c r="I5" t="str">
        <f>IF(E5&gt;"",IF(ISERR(FIND("DKK",A22)),"",A22),"")</f>
        <v/>
      </c>
      <c r="J5" t="str">
        <f>IF(E5&gt;"",IF(ISERR(FIND("DKK",A23)),"",A23),"")</f>
        <v/>
      </c>
    </row>
    <row r="6" spans="1:11">
      <c r="A6" t="s">
        <v>7750</v>
      </c>
      <c r="B6" t="str">
        <f t="shared" si="0"/>
        <v>Babimost</v>
      </c>
    </row>
    <row r="7" spans="1:11">
      <c r="A7" t="s">
        <v>7751</v>
      </c>
      <c r="B7" t="str">
        <f t="shared" si="0"/>
        <v>Babimost</v>
      </c>
    </row>
    <row r="8" spans="1:11">
      <c r="A8" t="s">
        <v>7752</v>
      </c>
      <c r="B8" t="str">
        <f t="shared" si="0"/>
        <v>Babimost</v>
      </c>
    </row>
    <row r="9" spans="1:11">
      <c r="A9" t="s">
        <v>7753</v>
      </c>
      <c r="B9" t="str">
        <f t="shared" si="0"/>
        <v>Babimost</v>
      </c>
      <c r="C9" t="str">
        <f>IF(ISERR(FIND($C$1,A9,1)),"",A9)</f>
        <v/>
      </c>
      <c r="D9" t="str">
        <f>IF(C9&gt;"",A10,"")</f>
        <v/>
      </c>
      <c r="E9" t="str">
        <f>IF(C9&gt;"",A11,"")</f>
        <v/>
      </c>
      <c r="F9" t="str">
        <f>IF(E9&gt;"",MID(A12,FIND("tel.",A12)+4,15),"")</f>
        <v/>
      </c>
      <c r="G9" t="str">
        <f>IF(E9&gt;"",MID(A21,FIND(":",A21)+2,60),"")</f>
        <v/>
      </c>
      <c r="H9" t="str">
        <f>IF(E9&gt;"",MID(A22,FIND("e-mail:",A22)+8,100),"")</f>
        <v/>
      </c>
      <c r="I9" t="str">
        <f>IF(E9&gt;"",IF(ISERR(FIND("DKK",A23)),"",A23),"")</f>
        <v/>
      </c>
      <c r="J9" t="str">
        <f>IF(E9&gt;"",IF(ISERR(FIND("DKK",A24)),"",A24),"")</f>
        <v/>
      </c>
    </row>
    <row r="10" spans="1:11">
      <c r="A10" t="s">
        <v>7754</v>
      </c>
      <c r="B10" t="str">
        <f t="shared" si="0"/>
        <v>Bożnów</v>
      </c>
      <c r="C10" t="str">
        <f t="shared" ref="C10:C30" si="1">IF(ISERR(FIND($C$1,A10,1)),"",A10)</f>
        <v>Gminna Biblioteka Publiczna w Dzietrzychowicach – Filia Bożnów Bożnów 56 68-100 Żagań tel. 68 377 22 14 moderatorka: Danuta Bielawska e-mail: danbibl[at]o2.pl DKK dla dzieci</v>
      </c>
      <c r="D10" t="str">
        <f t="shared" ref="D10:D30" si="2">IF(C10&gt;"",A11,"")</f>
        <v>Brody</v>
      </c>
      <c r="E10" t="str">
        <f t="shared" ref="E10:E30" si="3">IF(C10&gt;"",A12,"")</f>
        <v>Gminna Biblioteka Publiczna w Brodach ul. Kilińskiego 9 68-343 Brody tel. 68 371 25 64 moderatorka: Kamila Borzych e-mail: bibliotekabrody[at]wp.pl DKK dla dzieci</v>
      </c>
      <c r="F10" t="e">
        <f>IF(E10&gt;"",MID(A21,FIND("tel.",A21)+4,15),"")</f>
        <v>#VALUE!</v>
      </c>
      <c r="G10" t="str">
        <f>IF(E10&gt;"",MID(A22,FIND(":",A22)+2,60),"")</f>
        <v>Renata Migas e-mail: bp-dlugie[at]wp.pl DKK dla dzieci</v>
      </c>
      <c r="H10" t="e">
        <f>IF(E10&gt;"",MID(A23,FIND("e-mail:",A23)+8,100),"")</f>
        <v>#VALUE!</v>
      </c>
      <c r="I10" t="str">
        <f>IF(E10&gt;"",IF(ISERR(FIND("DKK",A24)),"",A24),"")</f>
        <v>Gminna Biblioteka Publiczna w Dzietrzychowicach Dzietrzychowice 51 68-111 Miodnica tel. 68 377 24 64 moderatorka: Agnieszka Lasoń e-mail: gbpdzietrzychowice[at]wp.pl DKK dla dzieci</v>
      </c>
      <c r="J10" t="str">
        <f>IF(E10&gt;"",IF(ISERR(FIND("DKK",#REF!)),"",#REF!),"")</f>
        <v/>
      </c>
    </row>
    <row r="11" spans="1:11">
      <c r="A11" t="s">
        <v>7755</v>
      </c>
      <c r="B11" t="str">
        <f t="shared" si="0"/>
        <v>Bożnów</v>
      </c>
      <c r="C11" t="str">
        <f t="shared" si="1"/>
        <v/>
      </c>
      <c r="D11" t="str">
        <f t="shared" si="2"/>
        <v/>
      </c>
      <c r="E11" t="str">
        <f>IF(C11&gt;"",A21,"")</f>
        <v/>
      </c>
      <c r="F11" t="str">
        <f>IF(E11&gt;"",MID(A22,FIND("tel.",A22)+4,15),"")</f>
        <v/>
      </c>
      <c r="G11" t="str">
        <f>IF(E11&gt;"",MID(A23,FIND(":",A23)+2,60),"")</f>
        <v/>
      </c>
      <c r="H11" t="str">
        <f>IF(E11&gt;"",MID(A24,FIND("e-mail:",A24)+8,100),"")</f>
        <v/>
      </c>
      <c r="I11" t="str">
        <f>IF(E11&gt;"",IF(ISERR(FIND("DKK",#REF!)),"",#REF!),"")</f>
        <v/>
      </c>
      <c r="J11" t="str">
        <f>IF(E11&gt;"",IF(ISERR(FIND("DKK",A25)),"",A25),"")</f>
        <v/>
      </c>
    </row>
    <row r="12" spans="1:11">
      <c r="A12" t="s">
        <v>7756</v>
      </c>
      <c r="B12" t="str">
        <f t="shared" si="0"/>
        <v>Brody</v>
      </c>
      <c r="C12" t="str">
        <f t="shared" si="1"/>
        <v>Gminna Biblioteka Publiczna w Brodach ul. Kilińskiego 9 68-343 Brody tel. 68 371 25 64 moderatorka: Kamila Borzych e-mail: bibliotekabrody[at]wp.pl DKK dla dzieci</v>
      </c>
      <c r="D12" t="str">
        <f>IF(C12&gt;"",A21,"")</f>
        <v>Długie</v>
      </c>
      <c r="E12" t="str">
        <f>IF(C12&gt;"",A22,"")</f>
        <v>MBP w Szprotawie – Filia w Długiem Długie 79 67-312 Niegosławice tel. 68 376 24 81 moderatorka: Renata Migas e-mail: bp-dlugie[at]wp.pl DKK dla dzieci</v>
      </c>
      <c r="F12" t="e">
        <f>IF(E12&gt;"",MID(A23,FIND("tel.",A23)+4,15),"")</f>
        <v>#VALUE!</v>
      </c>
      <c r="G12" t="str">
        <f>IF(E12&gt;"",MID(A24,FIND(":",A24)+2,60),"")</f>
        <v xml:space="preserve">Agnieszka Lasoń e-mail: gbpdzietrzychowice[at]wp.pl DKK dla </v>
      </c>
      <c r="H12" t="e">
        <f>IF(E12&gt;"",MID(#REF!,FIND("e-mail:",#REF!)+8,100),"")</f>
        <v>#REF!</v>
      </c>
      <c r="I12" t="str">
        <f>IF(E12&gt;"",IF(ISERR(FIND("DKK",A25)),"",A25),"")</f>
        <v/>
      </c>
      <c r="J12" t="str">
        <f>IF(E12&gt;"",IF(ISERR(FIND("DKK",A27)),"",A27),"")</f>
        <v/>
      </c>
    </row>
    <row r="13" spans="1:11">
      <c r="A13" t="s">
        <v>1438</v>
      </c>
      <c r="B13" t="str">
        <f t="shared" si="0"/>
        <v>Brody</v>
      </c>
    </row>
    <row r="14" spans="1:11">
      <c r="A14" t="s">
        <v>7757</v>
      </c>
      <c r="B14" t="str">
        <f t="shared" si="0"/>
        <v>Brody</v>
      </c>
    </row>
    <row r="15" spans="1:11">
      <c r="A15" t="s">
        <v>7758</v>
      </c>
      <c r="B15" t="str">
        <f t="shared" si="0"/>
        <v>Brody</v>
      </c>
    </row>
    <row r="16" spans="1:11">
      <c r="A16" t="s">
        <v>7759</v>
      </c>
      <c r="B16" t="str">
        <f t="shared" si="0"/>
        <v>Brody</v>
      </c>
    </row>
    <row r="17" spans="1:10">
      <c r="A17" t="s">
        <v>7760</v>
      </c>
      <c r="B17" t="str">
        <f t="shared" si="0"/>
        <v>Brody</v>
      </c>
    </row>
    <row r="18" spans="1:10">
      <c r="A18" t="s">
        <v>7761</v>
      </c>
      <c r="B18" t="str">
        <f t="shared" si="0"/>
        <v>Brody</v>
      </c>
    </row>
    <row r="19" spans="1:10">
      <c r="A19" t="s">
        <v>7762</v>
      </c>
      <c r="B19" t="str">
        <f t="shared" si="0"/>
        <v>Brody</v>
      </c>
    </row>
    <row r="20" spans="1:10">
      <c r="A20" t="s">
        <v>7763</v>
      </c>
      <c r="B20" t="str">
        <f t="shared" si="0"/>
        <v>Brody</v>
      </c>
    </row>
    <row r="21" spans="1:10">
      <c r="A21" t="s">
        <v>7764</v>
      </c>
      <c r="B21" t="str">
        <f t="shared" si="0"/>
        <v>Brody</v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ref="F21:F30" si="4">IF(E21&gt;"",MID(A24,FIND("tel.",A24)+4,15),"")</f>
        <v/>
      </c>
      <c r="G21" t="str">
        <f>IF(E21&gt;"",MID(#REF!,FIND(":",#REF!)+2,60),"")</f>
        <v/>
      </c>
      <c r="H21" t="str">
        <f>IF(E21&gt;"",MID(A25,FIND("e-mail:",A25)+8,100),"")</f>
        <v/>
      </c>
      <c r="I21" t="str">
        <f>IF(E21&gt;"",IF(ISERR(FIND("DKK",A27)),"",A27),"")</f>
        <v/>
      </c>
      <c r="J21" t="str">
        <f>IF(E21&gt;"",IF(ISERR(FIND("DKK",A28)),"",A28),"")</f>
        <v/>
      </c>
    </row>
    <row r="22" spans="1:10">
      <c r="A22" t="s">
        <v>7765</v>
      </c>
      <c r="B22" t="str">
        <f t="shared" si="0"/>
        <v>Brody</v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>IF(E22&gt;"",MID(#REF!,FIND("tel.",#REF!)+4,15),"")</f>
        <v/>
      </c>
      <c r="G22" t="str">
        <f>IF(E22&gt;"",MID(A25,FIND(":",A25)+2,60),"")</f>
        <v/>
      </c>
      <c r="H22" t="str">
        <f>IF(E22&gt;"",MID(A27,FIND("e-mail:",A27)+8,100),"")</f>
        <v/>
      </c>
      <c r="I22" t="str">
        <f>IF(E22&gt;"",IF(ISERR(FIND("DKK",A28)),"",A28),"")</f>
        <v/>
      </c>
      <c r="J22" t="str">
        <f>IF(E22&gt;"",IF(ISERR(FIND("DKK",A29)),"",A29),"")</f>
        <v/>
      </c>
    </row>
    <row r="23" spans="1:10">
      <c r="A23" t="s">
        <v>7766</v>
      </c>
      <c r="B23" t="str">
        <f t="shared" si="0"/>
        <v>Brody</v>
      </c>
      <c r="C23" t="str">
        <f t="shared" si="1"/>
        <v/>
      </c>
      <c r="D23" t="str">
        <f t="shared" si="2"/>
        <v/>
      </c>
      <c r="E23" t="str">
        <f>IF(C23&gt;"",#REF!,"")</f>
        <v/>
      </c>
      <c r="F23" t="str">
        <f>IF(E23&gt;"",MID(A25,FIND("tel.",A25)+4,15),"")</f>
        <v/>
      </c>
      <c r="G23" t="str">
        <f>IF(E23&gt;"",MID(A27,FIND(":",A27)+2,60),"")</f>
        <v/>
      </c>
      <c r="H23" t="str">
        <f>IF(E23&gt;"",MID(A28,FIND("e-mail:",A28)+8,100),"")</f>
        <v/>
      </c>
      <c r="I23" t="str">
        <f>IF(E23&gt;"",IF(ISERR(FIND("DKK",A29)),"",A29),"")</f>
        <v/>
      </c>
      <c r="J23" t="str">
        <f>IF(E23&gt;"",IF(ISERR(FIND("DKK",#REF!)),"",#REF!),"")</f>
        <v/>
      </c>
    </row>
    <row r="24" spans="1:10">
      <c r="A24" t="s">
        <v>7767</v>
      </c>
      <c r="B24" t="str">
        <f t="shared" si="0"/>
        <v>Dzietrzychowice</v>
      </c>
      <c r="C24" t="str">
        <f t="shared" si="1"/>
        <v>Gminna Biblioteka Publiczna w Dzietrzychowicach Dzietrzychowice 51 68-111 Miodnica tel. 68 377 24 64 moderatorka: Agnieszka Lasoń e-mail: gbpdzietrzychowice[at]wp.pl DKK dla dzieci</v>
      </c>
      <c r="D24" t="e">
        <f>IF(C24&gt;"",#REF!,"")</f>
        <v>#REF!</v>
      </c>
      <c r="E24" t="str">
        <f>IF(C24&gt;"",A25,"")</f>
        <v>Gozdnica</v>
      </c>
      <c r="F24" t="e">
        <f>IF(E24&gt;"",MID(A27,FIND("tel.",A27)+4,15),"")</f>
        <v>#VALUE!</v>
      </c>
      <c r="G24" t="e">
        <f>IF(E24&gt;"",MID(A28,FIND(":",A28)+2,60),"")</f>
        <v>#VALUE!</v>
      </c>
      <c r="H24" t="e">
        <f>IF(E24&gt;"",MID(A29,FIND("e-mail:",A29)+8,100),"")</f>
        <v>#VALUE!</v>
      </c>
      <c r="I24" t="str">
        <f>IF(E24&gt;"",IF(ISERR(FIND("DKK",#REF!)),"",#REF!),"")</f>
        <v/>
      </c>
      <c r="J24" t="str">
        <f>IF(E24&gt;"",IF(ISERR(FIND("DKK",A44)),"",A44),"")</f>
        <v>Biblioteka Publiczna w Bojadłach z siedzibą w Klenicy ul. Kargowska 7 66-133 Klenica tel. 68 352 34 43 moderatorka: Monika Niedbalska e-mail: klenica_bibliofil[at]op.pl DKK dla dzieci</v>
      </c>
    </row>
    <row r="25" spans="1:10">
      <c r="A25" t="s">
        <v>7768</v>
      </c>
      <c r="B25" t="str">
        <f t="shared" si="0"/>
        <v>Dzietrzychowice</v>
      </c>
      <c r="C25" t="str">
        <f t="shared" si="1"/>
        <v/>
      </c>
      <c r="D25" t="str">
        <f>IF(C25&gt;"",A27,"")</f>
        <v/>
      </c>
      <c r="E25" t="str">
        <f>IF(C25&gt;"",A28,"")</f>
        <v/>
      </c>
      <c r="F25" t="str">
        <f>IF(E25&gt;"",MID(A29,FIND("tel.",A29)+4,15),"")</f>
        <v/>
      </c>
      <c r="G25" t="str">
        <f>IF(E25&gt;"",MID(#REF!,FIND(":",#REF!)+2,60),"")</f>
        <v/>
      </c>
      <c r="H25" t="str">
        <f>IF(E25&gt;"",MID(A30,FIND("e-mail:",A30)+8,100),"")</f>
        <v/>
      </c>
      <c r="I25" t="str">
        <f>IF(E25&gt;"",IF(ISERR(FIND("DKK",A31)),"",A31),"")</f>
        <v/>
      </c>
      <c r="J25" t="str">
        <f>IF(E25&gt;"",IF(ISERR(FIND("DKK",A87)),"",A87),"")</f>
        <v/>
      </c>
    </row>
    <row r="26" spans="1:10">
      <c r="A26" t="s">
        <v>7769</v>
      </c>
      <c r="B26" t="str">
        <f t="shared" si="0"/>
        <v>Dzietrzychowice</v>
      </c>
    </row>
    <row r="27" spans="1:10">
      <c r="A27" t="s">
        <v>7770</v>
      </c>
      <c r="B27" t="str">
        <f t="shared" si="0"/>
        <v>Dzietrzychowice</v>
      </c>
      <c r="C27" t="str">
        <f t="shared" si="1"/>
        <v/>
      </c>
      <c r="D27" t="str">
        <f t="shared" si="2"/>
        <v/>
      </c>
      <c r="E27" t="str">
        <f t="shared" si="3"/>
        <v/>
      </c>
      <c r="F27" t="str">
        <f>IF(E27&gt;"",MID(#REF!,FIND("tel.",#REF!)+4,15),"")</f>
        <v/>
      </c>
      <c r="G27" t="str">
        <f>IF(E27&gt;"",MID(A30,FIND(":",A30)+2,60),"")</f>
        <v/>
      </c>
      <c r="H27" t="str">
        <f>IF(E27&gt;"",MID(A31,FIND("e-mail:",A31)+8,100),"")</f>
        <v/>
      </c>
      <c r="I27" t="str">
        <f>IF(E27&gt;"",IF(ISERR(FIND("DKK",A32)),"",A32),"")</f>
        <v/>
      </c>
      <c r="J27" t="str">
        <f>IF(E27&gt;"",IF(ISERR(FIND("DKK",A105)),"",A105),"")</f>
        <v/>
      </c>
    </row>
    <row r="28" spans="1:10">
      <c r="A28" t="s">
        <v>7771</v>
      </c>
      <c r="B28" t="str">
        <f t="shared" si="0"/>
        <v>Grabik</v>
      </c>
      <c r="C28" t="str">
        <f t="shared" si="1"/>
        <v>Gminna Biblioteka Publiczna Gminy Żary z/s w Bieniowie – Filia w Grabiku</v>
      </c>
      <c r="D28" t="str">
        <f t="shared" si="2"/>
        <v>Grabik 102 68-200 Żary tel. 68 362 06 84</v>
      </c>
      <c r="E28" t="e">
        <f>IF(C28&gt;"",#REF!,"")</f>
        <v>#REF!</v>
      </c>
      <c r="F28" t="e">
        <f>IF(E28&gt;"",MID(A30,FIND("tel.",A30)+4,15),"")</f>
        <v>#REF!</v>
      </c>
      <c r="G28" t="e">
        <f>IF(E28&gt;"",MID(A31,FIND(":",A31)+2,60),"")</f>
        <v>#REF!</v>
      </c>
      <c r="H28" t="e">
        <f>IF(E28&gt;"",MID(A32,FIND("e-mail:",A32)+8,100),"")</f>
        <v>#REF!</v>
      </c>
      <c r="I28" t="e">
        <f>IF(E28&gt;"",IF(ISERR(FIND("DKK",A33)),"",A33),"")</f>
        <v>#REF!</v>
      </c>
      <c r="J28" t="e">
        <f>IF(E28&gt;"",IF(ISERR(FIND("DKK",A121)),"",A121),"")</f>
        <v>#REF!</v>
      </c>
    </row>
    <row r="29" spans="1:10">
      <c r="A29" t="s">
        <v>7772</v>
      </c>
      <c r="B29" t="str">
        <f t="shared" si="0"/>
        <v>Grabik</v>
      </c>
      <c r="C29" t="str">
        <f t="shared" si="1"/>
        <v/>
      </c>
      <c r="D29" t="str">
        <f>IF(C29&gt;"",#REF!,"")</f>
        <v/>
      </c>
      <c r="E29" t="str">
        <f>IF(C29&gt;"",A30,"")</f>
        <v/>
      </c>
      <c r="F29" t="str">
        <f>IF(E29&gt;"",MID(A31,FIND("tel.",A31)+4,15),"")</f>
        <v/>
      </c>
      <c r="G29" t="str">
        <f>IF(E29&gt;"",MID(A32,FIND(":",A32)+2,60),"")</f>
        <v/>
      </c>
      <c r="H29" t="str">
        <f>IF(E29&gt;"",MID(A33,FIND("e-mail:",A33)+8,100),"")</f>
        <v/>
      </c>
      <c r="I29" t="str">
        <f>IF(E29&gt;"",IF(ISERR(FIND("DKK",A35)),"",A35),"")</f>
        <v/>
      </c>
      <c r="J29" t="str">
        <f>IF(E29&gt;"",IF(ISERR(FIND("DKK",A168)),"",A168),"")</f>
        <v/>
      </c>
    </row>
    <row r="30" spans="1:10">
      <c r="A30" t="s">
        <v>7773</v>
      </c>
      <c r="B30" t="str">
        <f t="shared" si="0"/>
        <v>Grabik</v>
      </c>
      <c r="C30" t="str">
        <f t="shared" si="1"/>
        <v/>
      </c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>IF(E30&gt;"",MID(A35,FIND(":",A35)+2,60),"")</f>
        <v/>
      </c>
      <c r="H30" t="str">
        <f t="shared" ref="H30" si="5">IF(E30&gt;"",MID(A36,FIND("e-mail:",A36)+8,100),"")</f>
        <v/>
      </c>
      <c r="I30" t="str">
        <f>IF(E30&gt;"",IF(ISERR(FIND("DKK",A37)),"",A37),"")</f>
        <v/>
      </c>
    </row>
    <row r="31" spans="1:10">
      <c r="A31" t="s">
        <v>7774</v>
      </c>
      <c r="B31" t="str">
        <f t="shared" si="0"/>
        <v>Grabik</v>
      </c>
      <c r="C31" t="str">
        <f t="shared" ref="C31:C147" si="6">IF(ISERR(FIND($C$1,A31,1)),"",A31)</f>
        <v/>
      </c>
      <c r="D31" t="str">
        <f t="shared" ref="D31:D140" si="7">IF(C31&gt;"",A32,"")</f>
        <v/>
      </c>
      <c r="E31" t="str">
        <f t="shared" ref="E31:E139" si="8">IF(C31&gt;"",A33,"")</f>
        <v/>
      </c>
      <c r="F31" t="str">
        <f>IF(E31&gt;"",MID(A35,FIND("tel.",A35)+4,15),"")</f>
        <v/>
      </c>
      <c r="G31" t="str">
        <f>IF(E31&gt;"",MID(A36,FIND(":",A36)+2,60),"")</f>
        <v/>
      </c>
      <c r="H31" t="str">
        <f>IF(E31&gt;"",MID(A37,FIND("e-mail:",A37)+8,100),"")</f>
        <v/>
      </c>
      <c r="I31" t="str">
        <f>IF(E31&gt;"",IF(ISERR(FIND("DKK",A38)),"",A38),"")</f>
        <v/>
      </c>
    </row>
    <row r="32" spans="1:10">
      <c r="A32" t="s">
        <v>7775</v>
      </c>
      <c r="B32" t="str">
        <f t="shared" si="0"/>
        <v>Gubin</v>
      </c>
      <c r="C32" t="str">
        <f t="shared" si="6"/>
        <v>Miejska Biblioteka Publiczna w Gubinie al. Bohaterów Westerplatte 14 66-620 Gubin tel. 68 455 81 66 moderatorka: Ewa Dąbek e-mail: czytelniambpgubin[at]interia.pl DKK dla dorosłych</v>
      </c>
      <c r="D32" t="str">
        <f t="shared" si="7"/>
        <v>Guzów</v>
      </c>
      <c r="E32" t="str">
        <f>IF(C32&gt;"",A35,"")</f>
        <v>Iłowa Miejska Biblioteka Publiczna w Iłowej ul. Żagańska 11 68-120 Iłowa tel. 68 371 13 90 moderatorka: Alicja Moneta e-mail: biblioteka.ilowa[at]gmail.com DKK dla dorosłych</v>
      </c>
      <c r="F32" t="e">
        <f>IF(E32&gt;"",MID(A36,FIND("tel.",A36)+4,15),"")</f>
        <v>#VALUE!</v>
      </c>
      <c r="G32" t="str">
        <f>IF(E32&gt;"",MID(A37,FIND(":",A37)+2,60),"")</f>
        <v>Elżbieta Ferenc e-mail: fbjabloniec[at]gmail.com DKK dla dzi</v>
      </c>
      <c r="H32" t="e">
        <f>IF(E32&gt;"",MID(A38,FIND("e-mail:",A38)+8,100),"")</f>
        <v>#VALUE!</v>
      </c>
      <c r="I32" t="str">
        <f>IF(E32&gt;"",IF(ISERR(FIND("DKK",A39)),"",A39),"")</f>
        <v/>
      </c>
    </row>
    <row r="33" spans="1:10">
      <c r="A33" t="s">
        <v>7776</v>
      </c>
      <c r="B33" t="str">
        <f t="shared" si="0"/>
        <v>Gubin</v>
      </c>
      <c r="C33" t="str">
        <f t="shared" si="6"/>
        <v/>
      </c>
      <c r="D33" t="str">
        <f>IF(C33&gt;"",A35,"")</f>
        <v/>
      </c>
      <c r="E33" t="str">
        <f>IF(C33&gt;"",A36,"")</f>
        <v/>
      </c>
      <c r="F33" t="str">
        <f>IF(E33&gt;"",MID(A37,FIND("tel.",A37)+4,15),"")</f>
        <v/>
      </c>
      <c r="G33" t="str">
        <f>IF(E33&gt;"",MID(A38,FIND(":",A38)+2,60),"")</f>
        <v/>
      </c>
      <c r="H33" t="str">
        <f>IF(E33&gt;"",MID(A39,FIND("e-mail:",A39)+8,100),"")</f>
        <v/>
      </c>
      <c r="I33" t="str">
        <f>IF(E33&gt;"",IF(ISERR(FIND("DKK",A40)),"",A40),"")</f>
        <v/>
      </c>
    </row>
    <row r="34" spans="1:10">
      <c r="A34" t="s">
        <v>7777</v>
      </c>
      <c r="B34" t="str">
        <f t="shared" si="0"/>
        <v>Gubin</v>
      </c>
    </row>
    <row r="35" spans="1:10">
      <c r="A35" t="s">
        <v>7778</v>
      </c>
      <c r="B35" t="str">
        <f t="shared" si="0"/>
        <v>Gubin</v>
      </c>
      <c r="C35" t="str">
        <f t="shared" si="6"/>
        <v>Iłowa Miejska Biblioteka Publiczna w Iłowej ul. Żagańska 11 68-120 Iłowa tel. 68 371 13 90 moderatorka: Alicja Moneta e-mail: biblioteka.ilowa[at]gmail.com DKK dla dorosłych</v>
      </c>
      <c r="D35" t="str">
        <f t="shared" si="7"/>
        <v>Jabłoniec</v>
      </c>
      <c r="E35" t="str">
        <f t="shared" si="8"/>
        <v>Biblioteka Publiczna Miasta i Gminy Jasień – Filia w Jabłońcu Jabłoniec 73 68-320 Jasień tel. 606 199 660 moderatorka: Elżbieta Ferenc e-mail: fbjabloniec[at]gmail.com DKK dla dzieci</v>
      </c>
      <c r="F35" t="e">
        <f t="shared" ref="F35:F124" si="9">IF(E35&gt;"",MID(A38,FIND("tel.",A38)+4,15),"")</f>
        <v>#VALUE!</v>
      </c>
      <c r="G35" t="e">
        <f t="shared" ref="G35:G123" si="10">IF(E35&gt;"",MID(A39,FIND(":",A39)+2,60),"")</f>
        <v>#VALUE!</v>
      </c>
      <c r="H35" t="str">
        <f t="shared" ref="H35:H91" si="11">IF(E35&gt;"",MID(A40,FIND("e-mail:",A40)+8,100),"")</f>
        <v>bp.jasien[at]noestrada.pl DKK dla dzieci DKK dla dorosłych</v>
      </c>
      <c r="I35" t="str">
        <f t="shared" ref="I35:I36" si="12">IF(E35&gt;"",IF(ISERR(FIND("DKK",A41)),"",A41),"")</f>
        <v/>
      </c>
    </row>
    <row r="36" spans="1:10">
      <c r="A36" t="s">
        <v>7779</v>
      </c>
      <c r="B36" t="str">
        <f t="shared" si="0"/>
        <v>Gubin</v>
      </c>
      <c r="C36" t="str">
        <f t="shared" si="6"/>
        <v/>
      </c>
      <c r="D36" t="str">
        <f t="shared" si="7"/>
        <v/>
      </c>
      <c r="E36" t="str">
        <f t="shared" si="8"/>
        <v/>
      </c>
      <c r="F36" t="str">
        <f t="shared" si="9"/>
        <v/>
      </c>
      <c r="G36" t="str">
        <f t="shared" si="10"/>
        <v/>
      </c>
      <c r="H36" t="str">
        <f t="shared" si="11"/>
        <v/>
      </c>
      <c r="I36" t="str">
        <f t="shared" si="12"/>
        <v/>
      </c>
    </row>
    <row r="37" spans="1:10">
      <c r="A37" t="s">
        <v>7780</v>
      </c>
      <c r="B37" t="str">
        <f t="shared" si="0"/>
        <v>Jabłoniec</v>
      </c>
      <c r="C37" t="str">
        <f t="shared" si="6"/>
        <v>Biblioteka Publiczna Miasta i Gminy Jasień – Filia w Jabłońcu Jabłoniec 73 68-320 Jasień tel. 606 199 660 moderatorka: Elżbieta Ferenc e-mail: fbjabloniec[at]gmail.com DKK dla dzieci</v>
      </c>
      <c r="D37" t="str">
        <f t="shared" si="7"/>
        <v>Jasień</v>
      </c>
      <c r="E37" t="str">
        <f t="shared" si="8"/>
        <v>Biblioteka Publiczna Miasta i Gminy Jasień ul. Kolejowa 9 68-320 Jasień tel. 68 371 04 57</v>
      </c>
      <c r="F37" t="e">
        <f t="shared" si="9"/>
        <v>#VALUE!</v>
      </c>
      <c r="G37" t="e">
        <f t="shared" si="10"/>
        <v>#VALUE!</v>
      </c>
      <c r="H37" t="str">
        <f t="shared" si="11"/>
        <v>gbpkargowa[at]wp.pl DKK dla dorosłych</v>
      </c>
      <c r="I37" t="str">
        <f>IF(E37&gt;"",IF(ISERR(FIND("DKK",A44)),"",A44),"")</f>
        <v>Biblioteka Publiczna w Bojadłach z siedzibą w Klenicy ul. Kargowska 7 66-133 Klenica tel. 68 352 34 43 moderatorka: Monika Niedbalska e-mail: klenica_bibliofil[at]op.pl DKK dla dzieci</v>
      </c>
    </row>
    <row r="38" spans="1:10">
      <c r="A38" t="s">
        <v>7781</v>
      </c>
      <c r="B38" t="str">
        <f t="shared" si="0"/>
        <v>Jabłoniec</v>
      </c>
      <c r="C38" t="str">
        <f t="shared" si="6"/>
        <v/>
      </c>
      <c r="D38" t="str">
        <f t="shared" si="7"/>
        <v/>
      </c>
      <c r="E38" t="str">
        <f t="shared" si="8"/>
        <v/>
      </c>
      <c r="F38" t="str">
        <f t="shared" si="9"/>
        <v/>
      </c>
      <c r="G38" t="str">
        <f t="shared" si="10"/>
        <v/>
      </c>
      <c r="H38" t="str">
        <f>IF(E38&gt;"",MID(A44,FIND("e-mail:",A44)+8,100),"")</f>
        <v/>
      </c>
      <c r="I38" t="str">
        <f>IF(E38&gt;"",IF(ISERR(FIND("DKK",A45)),"",A45),"")</f>
        <v/>
      </c>
    </row>
    <row r="39" spans="1:10">
      <c r="A39" t="s">
        <v>7782</v>
      </c>
      <c r="B39" t="str">
        <f t="shared" si="0"/>
        <v>Jasień</v>
      </c>
      <c r="C39" t="str">
        <f t="shared" si="6"/>
        <v>Biblioteka Publiczna Miasta i Gminy Jasień ul. Kolejowa 9 68-320 Jasień tel. 68 371 04 57</v>
      </c>
      <c r="D39" t="str">
        <f t="shared" si="7"/>
        <v>moderatorki: Irena Ludwig, Marzena Rudzińska e-mail: bp.jasien[at]noestrada.pl DKK dla dzieci DKK dla dorosłych</v>
      </c>
      <c r="E39" t="str">
        <f t="shared" si="8"/>
        <v>Kargowa</v>
      </c>
      <c r="F39" t="str">
        <f t="shared" si="9"/>
        <v xml:space="preserve"> 68 352 63 68 m</v>
      </c>
      <c r="G39" t="str">
        <f>IF(E39&gt;"",MID(A44,FIND(":",A44)+2,60),"")</f>
        <v>Monika Niedbalska e-mail: klenica_bibliofil[at]op.pl DKK dla</v>
      </c>
      <c r="H39" t="e">
        <f>IF(E39&gt;"",MID(A45,FIND("e-mail:",A45)+8,100),"")</f>
        <v>#VALUE!</v>
      </c>
      <c r="I39" t="str">
        <f>IF(E39&gt;"",IF(ISERR(FIND("DKK",A56)),"",A56),"")</f>
        <v>Gminna Biblioteka Publiczna w Przyborowie – Filia w Lipinach Lipiny 77 67-100 Lipiny tel. 503 022 077 moderatorka: Agnieszka Gąsior e-mail: biblioteka.lipiny[at]gmail.com DKK dla dzieci</v>
      </c>
    </row>
    <row r="40" spans="1:10">
      <c r="A40" t="s">
        <v>7783</v>
      </c>
      <c r="B40" t="str">
        <f t="shared" si="0"/>
        <v>Jasień</v>
      </c>
      <c r="C40" t="str">
        <f t="shared" si="6"/>
        <v/>
      </c>
      <c r="D40" t="str">
        <f t="shared" si="7"/>
        <v/>
      </c>
      <c r="E40" t="str">
        <f t="shared" si="8"/>
        <v/>
      </c>
      <c r="F40" t="str">
        <f>IF(E40&gt;"",MID(A44,FIND("tel.",A44)+4,15),"")</f>
        <v/>
      </c>
      <c r="G40" t="str">
        <f>IF(E40&gt;"",MID(A45,FIND(":",A45)+2,60),"")</f>
        <v/>
      </c>
      <c r="H40" t="str">
        <f>IF(E40&gt;"",MID(A56,FIND("e-mail:",A56)+8,100),"")</f>
        <v/>
      </c>
      <c r="I40" t="str">
        <f>IF(E40&gt;"",IF(ISERR(FIND("DKK",A57)),"",A57),"")</f>
        <v/>
      </c>
    </row>
    <row r="41" spans="1:10">
      <c r="A41" t="s">
        <v>7784</v>
      </c>
      <c r="B41" t="str">
        <f t="shared" si="0"/>
        <v>Jasień</v>
      </c>
      <c r="C41" t="str">
        <f t="shared" si="6"/>
        <v/>
      </c>
      <c r="D41" t="str">
        <f t="shared" si="7"/>
        <v/>
      </c>
      <c r="E41" t="str">
        <f>IF(C41&gt;"",A44,"")</f>
        <v/>
      </c>
      <c r="F41" t="str">
        <f>IF(E41&gt;"",MID(A45,FIND("tel.",A45)+4,15),"")</f>
        <v/>
      </c>
      <c r="G41" t="str">
        <f>IF(E41&gt;"",MID(A56,FIND(":",A56)+2,60),"")</f>
        <v/>
      </c>
      <c r="H41" t="str">
        <f>IF(E41&gt;"",MID(A57,FIND("e-mail:",A57)+8,100),"")</f>
        <v/>
      </c>
      <c r="I41" t="str">
        <f>IF(E41&gt;"",IF(ISERR(FIND("DKK",A62)),"",A62),"")</f>
        <v/>
      </c>
    </row>
    <row r="42" spans="1:10">
      <c r="A42" t="s">
        <v>7785</v>
      </c>
      <c r="B42" t="str">
        <f t="shared" si="0"/>
        <v>Kargowa</v>
      </c>
      <c r="C42" t="str">
        <f t="shared" si="6"/>
        <v>Gminna Biblioteka Publiczna w Kargowej ul. Browarna 7 66-120 Kargowa tel. 68 352 63 68 moderatorka: Małgorzata Kwiecień e-mail: gbpkargowa[at]wp.pl DKK dla dorosłych</v>
      </c>
      <c r="D42" t="str">
        <f>IF(C42&gt;"",A44,"")</f>
        <v>Biblioteka Publiczna w Bojadłach z siedzibą w Klenicy ul. Kargowska 7 66-133 Klenica tel. 68 352 34 43 moderatorka: Monika Niedbalska e-mail: klenica_bibliofil[at]op.pl DKK dla dzieci</v>
      </c>
      <c r="E42" t="str">
        <f>IF(C42&gt;"",A45,"")</f>
        <v>Kosierz Gminna Biblioteka Publiczna w Dąbiu – Filia w Kosierzu</v>
      </c>
      <c r="F42" t="str">
        <f>IF(E42&gt;"",MID(A56,FIND("tel.",A56)+4,15),"")</f>
        <v xml:space="preserve"> 503 022 077 mo</v>
      </c>
      <c r="G42" t="e">
        <f>IF(E42&gt;"",MID(A57,FIND(":",A57)+2,60),"")</f>
        <v>#VALUE!</v>
      </c>
      <c r="H42" t="e">
        <f>IF(E42&gt;"",MID(A62,FIND("e-mail:",A62)+8,100),"")</f>
        <v>#VALUE!</v>
      </c>
      <c r="I42" t="str">
        <f>IF(E42&gt;"",IF(ISERR(FIND("DKK",A63)),"",A63),"")</f>
        <v>66-614 Maszewo tel. 68 391 43 58 moderatorka: Krystyna Bobel e-mail: krystyna510[at]poczta.onet.pl DKK dla dorosłych</v>
      </c>
    </row>
    <row r="43" spans="1:10">
      <c r="A43" t="s">
        <v>7786</v>
      </c>
      <c r="B43" t="str">
        <f t="shared" si="0"/>
        <v>Kargowa</v>
      </c>
    </row>
    <row r="44" spans="1:10">
      <c r="A44" t="s">
        <v>7787</v>
      </c>
      <c r="B44" t="str">
        <f t="shared" si="0"/>
        <v>Klenica</v>
      </c>
      <c r="C44" t="str">
        <f t="shared" si="6"/>
        <v>Biblioteka Publiczna w Bojadłach z siedzibą w Klenicy ul. Kargowska 7 66-133 Klenica tel. 68 352 34 43 moderatorka: Monika Niedbalska e-mail: klenica_bibliofil[at]op.pl DKK dla dzieci</v>
      </c>
      <c r="D44" t="str">
        <f t="shared" si="7"/>
        <v>Kosierz Gminna Biblioteka Publiczna w Dąbiu – Filia w Kosierzu</v>
      </c>
      <c r="E44" t="str">
        <f>IF(C44&gt;"",A56,"")</f>
        <v>Gminna Biblioteka Publiczna w Przyborowie – Filia w Lipinach Lipiny 77 67-100 Lipiny tel. 503 022 077 moderatorka: Agnieszka Gąsior e-mail: biblioteka.lipiny[at]gmail.com DKK dla dzieci</v>
      </c>
      <c r="F44" t="e">
        <f>IF(E44&gt;"",MID(A57,FIND("tel.",A57)+4,15),"")</f>
        <v>#VALUE!</v>
      </c>
      <c r="G44" t="e">
        <f>IF(E44&gt;"",MID(A62,FIND(":",A62)+2,60),"")</f>
        <v>#VALUE!</v>
      </c>
      <c r="H44" t="str">
        <f>IF(E44&gt;"",MID(A63,FIND("e-mail:",A63)+8,100),"")</f>
        <v>krystyna510[at]poczta.onet.pl DKK dla dorosłych</v>
      </c>
      <c r="I44" t="str">
        <f>IF(E44&gt;"",IF(ISERR(FIND("DKK",A64)),"",A64),"")</f>
        <v/>
      </c>
      <c r="J44" t="str">
        <f>IF(E44&gt;"",IF(ISERR(FIND("DKK",A207)),"",A207),"")</f>
        <v/>
      </c>
    </row>
    <row r="45" spans="1:10">
      <c r="A45" t="s">
        <v>7788</v>
      </c>
      <c r="B45" t="str">
        <f t="shared" si="0"/>
        <v>Klenica</v>
      </c>
      <c r="C45" t="str">
        <f t="shared" si="6"/>
        <v>Kosierz Gminna Biblioteka Publiczna w Dąbiu – Filia w Kosierzu</v>
      </c>
      <c r="D45" t="str">
        <f>IF(C45&gt;"",A56,"")</f>
        <v>Gminna Biblioteka Publiczna w Przyborowie – Filia w Lipinach Lipiny 77 67-100 Lipiny tel. 503 022 077 moderatorka: Agnieszka Gąsior e-mail: biblioteka.lipiny[at]gmail.com DKK dla dzieci</v>
      </c>
      <c r="E45" t="str">
        <f>IF(C45&gt;"",A57,"")</f>
        <v>Lubanice</v>
      </c>
      <c r="F45" t="e">
        <f>IF(E45&gt;"",MID(A62,FIND("tel.",A62)+4,15),"")</f>
        <v>#VALUE!</v>
      </c>
      <c r="G45" t="str">
        <f>IF(E45&gt;"",MID(A63,FIND(":",A63)+2,60),"")</f>
        <v>Krystyna Bobel e-mail: krystyna510[at]poczta.onet.pl DKK dla</v>
      </c>
      <c r="H45" t="e">
        <f>IF(E45&gt;"",MID(A64,FIND("e-mail:",A64)+8,100),"")</f>
        <v>#VALUE!</v>
      </c>
      <c r="I45" t="str">
        <f>IF(E45&gt;"",IF(ISERR(FIND("DKK",A67)),"",A67),"")</f>
        <v/>
      </c>
    </row>
    <row r="46" spans="1:10">
      <c r="A46" t="s">
        <v>7789</v>
      </c>
      <c r="B46" t="str">
        <f t="shared" si="0"/>
        <v>Klenica</v>
      </c>
    </row>
    <row r="47" spans="1:10">
      <c r="A47" t="s">
        <v>7790</v>
      </c>
      <c r="B47" t="str">
        <f t="shared" si="0"/>
        <v>Klenica</v>
      </c>
    </row>
    <row r="48" spans="1:10">
      <c r="A48" t="s">
        <v>7791</v>
      </c>
      <c r="B48" t="str">
        <f t="shared" si="0"/>
        <v>Klenica</v>
      </c>
    </row>
    <row r="49" spans="1:9">
      <c r="A49" t="s">
        <v>7887</v>
      </c>
      <c r="B49" t="str">
        <f t="shared" si="0"/>
        <v>Klenica</v>
      </c>
    </row>
    <row r="50" spans="1:9">
      <c r="A50" t="s">
        <v>7888</v>
      </c>
    </row>
    <row r="51" spans="1:9">
      <c r="A51" t="s">
        <v>7792</v>
      </c>
      <c r="B51" t="str">
        <f>+IF(AND(C51&gt;"",ISERR(FIND("DKK",A49))),A49,B49)</f>
        <v>Klenica</v>
      </c>
    </row>
    <row r="52" spans="1:9">
      <c r="A52" t="s">
        <v>7793</v>
      </c>
      <c r="B52" t="str">
        <f t="shared" si="0"/>
        <v>Klenica</v>
      </c>
    </row>
    <row r="53" spans="1:9">
      <c r="A53" t="s">
        <v>7794</v>
      </c>
      <c r="B53" t="str">
        <f t="shared" si="0"/>
        <v>Klenica</v>
      </c>
    </row>
    <row r="54" spans="1:9">
      <c r="A54" t="s">
        <v>7795</v>
      </c>
      <c r="B54" t="str">
        <f t="shared" si="0"/>
        <v>Klenica</v>
      </c>
    </row>
    <row r="55" spans="1:9">
      <c r="A55" t="s">
        <v>7796</v>
      </c>
      <c r="B55" t="str">
        <f t="shared" si="0"/>
        <v>Klenica</v>
      </c>
    </row>
    <row r="56" spans="1:9">
      <c r="A56" t="s">
        <v>7797</v>
      </c>
      <c r="B56" t="str">
        <f t="shared" si="0"/>
        <v>Lipiny</v>
      </c>
      <c r="C56" t="str">
        <f t="shared" si="6"/>
        <v>Gminna Biblioteka Publiczna w Przyborowie – Filia w Lipinach Lipiny 77 67-100 Lipiny tel. 503 022 077 moderatorka: Agnieszka Gąsior e-mail: biblioteka.lipiny[at]gmail.com DKK dla dzieci</v>
      </c>
      <c r="D56" t="str">
        <f t="shared" si="7"/>
        <v>Lubanice</v>
      </c>
      <c r="E56" t="str">
        <f>IF(C56&gt;"",A62,"")</f>
        <v>Gminna Biblioteka Publiczna w Maszewie Maszewo 114</v>
      </c>
      <c r="F56" t="str">
        <f>IF(E56&gt;"",MID(A63,FIND("tel.",A63)+4,15),"")</f>
        <v xml:space="preserve"> 68 391 43 58 m</v>
      </c>
      <c r="G56" t="e">
        <f>IF(E56&gt;"",MID(A64,FIND(":",A64)+2,60),"")</f>
        <v>#VALUE!</v>
      </c>
      <c r="H56" t="e">
        <f>IF(E56&gt;"",MID(A67,FIND("e-mail:",A67)+8,100),"")</f>
        <v>#VALUE!</v>
      </c>
      <c r="I56" t="str">
        <f>IF(E56&gt;"",IF(ISERR(FIND("DKK",A69)),"",A69),"")</f>
        <v/>
      </c>
    </row>
    <row r="57" spans="1:9">
      <c r="A57" t="s">
        <v>7798</v>
      </c>
      <c r="B57" t="str">
        <f t="shared" si="0"/>
        <v>Lipiny</v>
      </c>
      <c r="C57" t="str">
        <f t="shared" si="6"/>
        <v/>
      </c>
      <c r="D57" t="str">
        <f>IF(C57&gt;"",A62,"")</f>
        <v/>
      </c>
      <c r="E57" t="str">
        <f>IF(C57&gt;"",A63,"")</f>
        <v/>
      </c>
      <c r="F57" t="str">
        <f>IF(E57&gt;"",MID(A64,FIND("tel.",A64)+4,15),"")</f>
        <v/>
      </c>
      <c r="G57" t="str">
        <f>IF(E57&gt;"",MID(A67,FIND(":",A67)+2,60),"")</f>
        <v/>
      </c>
      <c r="H57" t="str">
        <f>IF(E57&gt;"",MID(A69,FIND("e-mail:",A69)+8,100),"")</f>
        <v/>
      </c>
      <c r="I57" t="str">
        <f>IF(E57&gt;"",IF(ISERR(FIND("DKK",A70)),"",A70),"")</f>
        <v/>
      </c>
    </row>
    <row r="58" spans="1:9">
      <c r="A58" t="s">
        <v>7799</v>
      </c>
      <c r="B58" t="str">
        <f t="shared" si="0"/>
        <v>Lipiny</v>
      </c>
    </row>
    <row r="59" spans="1:9">
      <c r="A59" t="s">
        <v>6520</v>
      </c>
      <c r="B59" t="str">
        <f t="shared" si="0"/>
        <v>Lipiny</v>
      </c>
    </row>
    <row r="60" spans="1:9">
      <c r="A60" t="s">
        <v>7800</v>
      </c>
      <c r="B60" t="str">
        <f t="shared" si="0"/>
        <v>Lipiny</v>
      </c>
    </row>
    <row r="61" spans="1:9">
      <c r="A61" t="s">
        <v>7801</v>
      </c>
      <c r="B61" t="str">
        <f t="shared" si="0"/>
        <v>Lipiny</v>
      </c>
    </row>
    <row r="62" spans="1:9">
      <c r="A62" t="s">
        <v>7802</v>
      </c>
      <c r="B62" t="str">
        <f t="shared" si="0"/>
        <v>Maszewo</v>
      </c>
      <c r="C62" t="str">
        <f t="shared" si="6"/>
        <v>Gminna Biblioteka Publiczna w Maszewie Maszewo 114</v>
      </c>
      <c r="D62" t="str">
        <f t="shared" si="7"/>
        <v>66-614 Maszewo tel. 68 391 43 58 moderatorka: Krystyna Bobel e-mail: krystyna510[at]poczta.onet.pl DKK dla dorosłych</v>
      </c>
      <c r="E62" t="str">
        <f t="shared" si="8"/>
        <v>Mirostowice Dolne</v>
      </c>
      <c r="F62" t="e">
        <f>IF(E62&gt;"",MID(A67,FIND("tel.",A67)+4,15),"")</f>
        <v>#VALUE!</v>
      </c>
      <c r="G62" t="e">
        <f>IF(E62&gt;"",MID(A69,FIND(":",A69)+2,60),"")</f>
        <v>#VALUE!</v>
      </c>
      <c r="H62" t="str">
        <f>IF(E62&gt;"",MID(A70,FIND("e-mail:",A70)+8,100),"")</f>
        <v>filianowekramsko[at]wp.pl DKK dla dzieci</v>
      </c>
      <c r="I62" t="str">
        <f>IF(E62&gt;"",IF(ISERR(FIND("DKK",A71)),"",A71),"")</f>
        <v/>
      </c>
    </row>
    <row r="63" spans="1:9">
      <c r="A63" t="s">
        <v>7803</v>
      </c>
      <c r="B63" t="str">
        <f t="shared" si="0"/>
        <v>Maszewo</v>
      </c>
      <c r="C63" t="str">
        <f t="shared" si="6"/>
        <v/>
      </c>
      <c r="D63" t="str">
        <f t="shared" si="7"/>
        <v/>
      </c>
      <c r="E63" t="str">
        <f>IF(C63&gt;"",A67,"")</f>
        <v/>
      </c>
      <c r="F63" t="str">
        <f>IF(E63&gt;"",MID(A69,FIND("tel.",A69)+4,15),"")</f>
        <v/>
      </c>
      <c r="G63" t="str">
        <f>IF(E63&gt;"",MID(A70,FIND(":",A70)+2,60),"")</f>
        <v/>
      </c>
      <c r="H63" t="str">
        <f>IF(E63&gt;"",MID(A71,FIND("e-mail:",A71)+8,100),"")</f>
        <v/>
      </c>
      <c r="I63" t="str">
        <f>IF(E63&gt;"",IF(ISERR(FIND("DKK",#REF!)),"",#REF!),"")</f>
        <v/>
      </c>
    </row>
    <row r="64" spans="1:9">
      <c r="A64" t="s">
        <v>7804</v>
      </c>
      <c r="B64" t="str">
        <f t="shared" si="0"/>
        <v>Maszewo</v>
      </c>
      <c r="C64" t="str">
        <f t="shared" si="6"/>
        <v/>
      </c>
      <c r="D64" t="str">
        <f>IF(C64&gt;"",A67,"")</f>
        <v/>
      </c>
      <c r="E64" t="str">
        <f>IF(C64&gt;"",A69,"")</f>
        <v/>
      </c>
      <c r="F64" t="str">
        <f>IF(E64&gt;"",MID(A70,FIND("tel.",A70)+4,15),"")</f>
        <v/>
      </c>
      <c r="G64" t="str">
        <f>IF(E64&gt;"",MID(A71,FIND(":",A71)+2,60),"")</f>
        <v/>
      </c>
      <c r="H64" t="str">
        <f>IF(E64&gt;"",MID(#REF!,FIND("e-mail:",#REF!)+8,100),"")</f>
        <v/>
      </c>
      <c r="I64" t="str">
        <f>IF(E64&gt;"",IF(ISERR(FIND("DKK",A72)),"",A72),"")</f>
        <v/>
      </c>
    </row>
    <row r="65" spans="1:10">
      <c r="A65" t="s">
        <v>7805</v>
      </c>
      <c r="B65" t="str">
        <f t="shared" si="0"/>
        <v>Maszewo</v>
      </c>
    </row>
    <row r="66" spans="1:10">
      <c r="A66" t="s">
        <v>7806</v>
      </c>
      <c r="B66" t="str">
        <f t="shared" si="0"/>
        <v>Maszewo</v>
      </c>
    </row>
    <row r="67" spans="1:10">
      <c r="A67" t="s">
        <v>7807</v>
      </c>
      <c r="B67" t="str">
        <f t="shared" si="0"/>
        <v>Maszewo</v>
      </c>
      <c r="C67" t="str">
        <f t="shared" si="6"/>
        <v/>
      </c>
      <c r="D67" t="str">
        <f>IF(C67&gt;"",A69,"")</f>
        <v/>
      </c>
      <c r="E67" t="str">
        <f>IF(C67&gt;"",A70,"")</f>
        <v/>
      </c>
      <c r="F67" t="str">
        <f>IF(E67&gt;"",MID(A71,FIND("tel.",A71)+4,15),"")</f>
        <v/>
      </c>
      <c r="G67" t="str">
        <f>IF(E67&gt;"",MID(#REF!,FIND(":",#REF!)+2,60),"")</f>
        <v/>
      </c>
      <c r="H67" t="str">
        <f>IF(E67&gt;"",MID(A72,FIND("e-mail:",A72)+8,100),"")</f>
        <v/>
      </c>
      <c r="I67" t="str">
        <f>IF(E67&gt;"",IF(ISERR(FIND("DKK",A73)),"",A73),"")</f>
        <v/>
      </c>
    </row>
    <row r="68" spans="1:10">
      <c r="A68" t="s">
        <v>7808</v>
      </c>
      <c r="B68" t="str">
        <f t="shared" si="0"/>
        <v>Maszewo</v>
      </c>
    </row>
    <row r="69" spans="1:10">
      <c r="A69" t="s">
        <v>7809</v>
      </c>
      <c r="B69" t="str">
        <f t="shared" si="0"/>
        <v>Maszewo</v>
      </c>
      <c r="C69" t="str">
        <f t="shared" si="6"/>
        <v/>
      </c>
      <c r="D69" t="str">
        <f t="shared" si="7"/>
        <v/>
      </c>
      <c r="E69" t="str">
        <f t="shared" si="8"/>
        <v/>
      </c>
      <c r="F69" t="str">
        <f>IF(E69&gt;"",MID(#REF!,FIND("tel.",#REF!)+4,15),"")</f>
        <v/>
      </c>
      <c r="G69" t="str">
        <f>IF(E69&gt;"",MID(A72,FIND(":",A72)+2,60),"")</f>
        <v/>
      </c>
      <c r="H69" t="str">
        <f>IF(E69&gt;"",MID(A73,FIND("e-mail:",A73)+8,100),"")</f>
        <v/>
      </c>
      <c r="I69" t="str">
        <f>IF(E69&gt;"",IF(ISERR(FIND("DKK",A74)),"",A74),"")</f>
        <v/>
      </c>
    </row>
    <row r="70" spans="1:10">
      <c r="A70" t="s">
        <v>7810</v>
      </c>
      <c r="B70" t="str">
        <f t="shared" si="0"/>
        <v>Nowe Kramsko</v>
      </c>
      <c r="C70" t="str">
        <f t="shared" si="6"/>
        <v>Biblioteka Publiczna w Babimoście – Filia w Nowym Kramsku ul. Gromadzka 3 66-111 Nowe Kramsko tel. 68 351 20 69 moderatorka: Daria Linowiecka e-mail: filianowekramsko[at]wp.pl DKK dla dzieci</v>
      </c>
      <c r="D70" t="str">
        <f t="shared" si="7"/>
        <v>Nowogród Bobrzański</v>
      </c>
      <c r="E70" t="e">
        <f>IF(C70&gt;"",#REF!,"")</f>
        <v>#REF!</v>
      </c>
      <c r="F70" t="e">
        <f>IF(E70&gt;"",MID(A72,FIND("tel.",A72)+4,15),"")</f>
        <v>#REF!</v>
      </c>
      <c r="G70" t="e">
        <f>IF(E70&gt;"",MID(A73,FIND(":",A73)+2,60),"")</f>
        <v>#REF!</v>
      </c>
      <c r="H70" t="e">
        <f>IF(E70&gt;"",MID(A74,FIND("e-mail:",A74)+8,100),"")</f>
        <v>#REF!</v>
      </c>
      <c r="I70" t="e">
        <f>IF(E70&gt;"",IF(ISERR(FIND("DKK",A75)),"",A75),"")</f>
        <v>#REF!</v>
      </c>
    </row>
    <row r="71" spans="1:10">
      <c r="A71" t="s">
        <v>7811</v>
      </c>
      <c r="B71" t="str">
        <f t="shared" si="0"/>
        <v>Nowe Kramsko</v>
      </c>
      <c r="C71" t="str">
        <f t="shared" si="6"/>
        <v/>
      </c>
      <c r="D71" t="str">
        <f>IF(C71&gt;"",#REF!,"")</f>
        <v/>
      </c>
      <c r="E71" t="str">
        <f>IF(C71&gt;"",A72,"")</f>
        <v/>
      </c>
      <c r="F71" t="str">
        <f>IF(E71&gt;"",MID(A73,FIND("tel.",A73)+4,15),"")</f>
        <v/>
      </c>
      <c r="G71" t="str">
        <f>IF(E71&gt;"",MID(A74,FIND(":",A74)+2,60),"")</f>
        <v/>
      </c>
      <c r="H71" t="str">
        <f>IF(E71&gt;"",MID(A75,FIND("e-mail:",A75)+8,100),"")</f>
        <v/>
      </c>
      <c r="I71" t="str">
        <f>IF(E71&gt;"",IF(ISERR(FIND("DKK",A76)),"",A76),"")</f>
        <v/>
      </c>
    </row>
    <row r="72" spans="1:10">
      <c r="A72" t="s">
        <v>7812</v>
      </c>
      <c r="B72" t="str">
        <f t="shared" si="0"/>
        <v>Nowogród Bobrzański</v>
      </c>
      <c r="C72" t="str">
        <f t="shared" si="6"/>
        <v>Biblioteka Publiczna Miasta i Gminy w Nowogrodzie Bobrzańskim ul. Pocztowa 7 66-010 Nowogród Bobrzański tel. 68 327 66 65 moderatorka: Zofia Rogasik e-mail: zosia.rogasik[at]wp.pl DKK dla dorosłych</v>
      </c>
      <c r="D72" t="str">
        <f t="shared" si="7"/>
        <v>Olbrachtów</v>
      </c>
      <c r="E72" t="str">
        <f t="shared" si="8"/>
        <v>Gminna Biblioteka Publiczna Gminy Żary z/s w Bieniowie – Filia w Olbrachtowie Olbrachtów 40</v>
      </c>
      <c r="F72" t="str">
        <f t="shared" si="9"/>
        <v xml:space="preserve"> 68 362 18 34 m</v>
      </c>
      <c r="G72" t="str">
        <f t="shared" si="10"/>
        <v>Barbara Przeździęk e-mail: bibioteka_osiecznica[at]onet.pl D</v>
      </c>
      <c r="H72" t="e">
        <f t="shared" si="11"/>
        <v>#VALUE!</v>
      </c>
      <c r="I72" t="str">
        <f>IF(E72&gt;"",IF(ISERR(FIND("DKK",A82)),"",A82),"")</f>
        <v>DKK dla dzieci</v>
      </c>
    </row>
    <row r="73" spans="1:10">
      <c r="A73" t="s">
        <v>7813</v>
      </c>
      <c r="B73" t="str">
        <f t="shared" si="0"/>
        <v>Nowogród Bobrzański</v>
      </c>
      <c r="C73" t="str">
        <f t="shared" si="6"/>
        <v/>
      </c>
      <c r="D73" t="str">
        <f t="shared" si="7"/>
        <v/>
      </c>
      <c r="E73" t="str">
        <f t="shared" si="8"/>
        <v/>
      </c>
      <c r="F73" t="str">
        <f t="shared" si="9"/>
        <v/>
      </c>
      <c r="G73" t="str">
        <f t="shared" si="10"/>
        <v/>
      </c>
      <c r="H73" t="str">
        <f>IF(E73&gt;"",MID(A82,FIND("e-mail:",A82)+8,100),"")</f>
        <v/>
      </c>
      <c r="I73" t="str">
        <f>IF(E73&gt;"",IF(ISERR(FIND("DKK",A87)),"",A87),"")</f>
        <v/>
      </c>
    </row>
    <row r="74" spans="1:10">
      <c r="A74" t="s">
        <v>7814</v>
      </c>
      <c r="B74" t="str">
        <f t="shared" si="0"/>
        <v>Olbrachtów</v>
      </c>
      <c r="C74" t="str">
        <f t="shared" si="6"/>
        <v>Gminna Biblioteka Publiczna Gminy Żary z/s w Bieniowie – Filia w Olbrachtowie Olbrachtów 40</v>
      </c>
      <c r="D74" t="str">
        <f t="shared" si="7"/>
        <v>68-200 Żary tel. 68 362 18 34 moderatorka: Barbara Szałęga e-mail: barbaraszalega[at]wp.pl DKK dla dorosłych DKK dla dzieci</v>
      </c>
      <c r="E74" t="str">
        <f t="shared" si="8"/>
        <v>Osiecznica Biblioteka Publiczna Miasta i Gminy w Krośnie Odrzańskim – Filia w Osiecznicy ul. Szkolna 15 66-600 Krosno Odrzańskie tel. 68 359 00 25 moderatorka: Barbara Przeździęk e-mail: bibioteka_osiecznica[at]onet.pl DKK dla dorosłych DKK dla dzieci</v>
      </c>
      <c r="F74" t="e">
        <f t="shared" si="9"/>
        <v>#VALUE!</v>
      </c>
      <c r="G74" t="e">
        <f>IF(E74&gt;"",MID(A82,FIND(":",A82)+2,60),"")</f>
        <v>#VALUE!</v>
      </c>
      <c r="H74" t="e">
        <f>IF(E74&gt;"",MID(A87,FIND("e-mail:",A87)+8,100),"")</f>
        <v>#VALUE!</v>
      </c>
      <c r="I74" t="str">
        <f>IF(E74&gt;"",IF(ISERR(FIND("DKK",A88)),"",A88),"")</f>
        <v/>
      </c>
      <c r="J74" t="str">
        <f>IF(E74&gt;"",IF(ISERR(FIND("DKK",#REF!)),"",#REF!),"")</f>
        <v/>
      </c>
    </row>
    <row r="75" spans="1:10">
      <c r="A75" t="s">
        <v>7815</v>
      </c>
      <c r="B75" t="str">
        <f t="shared" si="0"/>
        <v>Olbrachtów</v>
      </c>
      <c r="C75" t="str">
        <f t="shared" si="6"/>
        <v/>
      </c>
      <c r="D75" t="str">
        <f t="shared" si="7"/>
        <v/>
      </c>
      <c r="E75" t="str">
        <f t="shared" si="8"/>
        <v/>
      </c>
      <c r="F75" t="str">
        <f>IF(E75&gt;"",MID(A82,FIND("tel.",A82)+4,15),"")</f>
        <v/>
      </c>
      <c r="G75" t="str">
        <f>IF(E75&gt;"",MID(A87,FIND(":",A87)+2,60),"")</f>
        <v/>
      </c>
      <c r="H75" t="str">
        <f>IF(E75&gt;"",MID(A88,FIND("e-mail:",A88)+8,100),"")</f>
        <v/>
      </c>
      <c r="I75" t="str">
        <f>IF(E75&gt;"",IF(ISERR(FIND("DKK",A89)),"",A89),"")</f>
        <v/>
      </c>
    </row>
    <row r="76" spans="1:10">
      <c r="A76" t="s">
        <v>7816</v>
      </c>
      <c r="B76" t="str">
        <f t="shared" si="0"/>
        <v>Olbrachtów</v>
      </c>
      <c r="C76" t="str">
        <f t="shared" si="6"/>
        <v>Osiecznica Biblioteka Publiczna Miasta i Gminy w Krośnie Odrzańskim – Filia w Osiecznicy ul. Szkolna 15 66-600 Krosno Odrzańskie tel. 68 359 00 25 moderatorka: Barbara Przeździęk e-mail: bibioteka_osiecznica[at]onet.pl DKK dla dorosłych DKK dla dzieci</v>
      </c>
      <c r="D76" t="str">
        <f t="shared" si="7"/>
        <v>Otyń</v>
      </c>
      <c r="E76" t="str">
        <f>IF(C76&gt;"",A82,"")</f>
        <v>DKK dla dzieci</v>
      </c>
      <c r="F76" t="e">
        <f>IF(E76&gt;"",MID(A87,FIND("tel.",A87)+4,15),"")</f>
        <v>#VALUE!</v>
      </c>
      <c r="G76" t="e">
        <f>IF(E76&gt;"",MID(A88,FIND(":",A88)+2,60),"")</f>
        <v>#VALUE!</v>
      </c>
      <c r="H76" t="str">
        <f>IF(E76&gt;"",MID(A89,FIND("e-mail:",A89)+8,100),"")</f>
        <v>bibl.siecieborzyce[at]wp.pl DKK dla dzieci</v>
      </c>
      <c r="I76" t="str">
        <f>IF(E76&gt;"",IF(ISERR(FIND("DKK",A91)),"",A91),"")</f>
        <v>Biblioteka Publiczna w Siedlisku ul. Kasztanowa 19 67-112 Siedlisko tel. 68 288 3521 moderatorka: Regina Wygiera e-mail: bpsiedlisko[at]o2.pl DKK dla dorosłych</v>
      </c>
    </row>
    <row r="77" spans="1:10">
      <c r="A77" t="s">
        <v>7817</v>
      </c>
      <c r="B77" t="str">
        <f t="shared" si="0"/>
        <v>Olbrachtów</v>
      </c>
      <c r="C77" t="str">
        <f t="shared" si="6"/>
        <v/>
      </c>
      <c r="D77" t="str">
        <f>IF(C77&gt;"",A82,"")</f>
        <v/>
      </c>
      <c r="E77" t="str">
        <f>IF(C77&gt;"",A87,"")</f>
        <v/>
      </c>
      <c r="F77" t="str">
        <f>IF(E77&gt;"",MID(A88,FIND("tel.",A88)+4,15),"")</f>
        <v/>
      </c>
      <c r="G77" t="str">
        <f>IF(E77&gt;"",MID(A89,FIND(":",A89)+2,60),"")</f>
        <v/>
      </c>
      <c r="H77" t="str">
        <f>IF(E77&gt;"",MID(A91,FIND("e-mail:",A91)+8,100),"")</f>
        <v/>
      </c>
      <c r="I77" t="str">
        <f>IF(E77&gt;"",IF(ISERR(FIND("DKK",A92)),"",A92),"")</f>
        <v/>
      </c>
    </row>
    <row r="78" spans="1:10">
      <c r="A78" t="s">
        <v>7818</v>
      </c>
      <c r="B78" t="str">
        <f t="shared" si="0"/>
        <v>Olbrachtów</v>
      </c>
    </row>
    <row r="79" spans="1:10">
      <c r="A79" t="s">
        <v>7819</v>
      </c>
      <c r="B79" t="str">
        <f t="shared" si="0"/>
        <v>Olbrachtów</v>
      </c>
    </row>
    <row r="80" spans="1:10">
      <c r="A80" t="s">
        <v>7820</v>
      </c>
      <c r="B80" t="str">
        <f t="shared" si="0"/>
        <v>Olbrachtów</v>
      </c>
    </row>
    <row r="81" spans="1:10">
      <c r="A81" t="s">
        <v>7821</v>
      </c>
      <c r="B81" t="str">
        <f t="shared" si="0"/>
        <v>Olbrachtów</v>
      </c>
    </row>
    <row r="82" spans="1:10">
      <c r="A82" t="s">
        <v>165</v>
      </c>
      <c r="B82" t="str">
        <f t="shared" si="0"/>
        <v>Olbrachtów</v>
      </c>
      <c r="C82" t="str">
        <f t="shared" si="6"/>
        <v/>
      </c>
      <c r="D82" t="str">
        <f>IF(C82&gt;"",A87,"")</f>
        <v/>
      </c>
      <c r="E82" t="str">
        <f>IF(C82&gt;"",A88,"")</f>
        <v/>
      </c>
      <c r="F82" t="str">
        <f>IF(E82&gt;"",MID(A89,FIND("tel.",A89)+4,15),"")</f>
        <v/>
      </c>
      <c r="G82" t="str">
        <f>IF(E82&gt;"",MID(A91,FIND(":",A91)+2,60),"")</f>
        <v/>
      </c>
      <c r="H82" t="str">
        <f>IF(E82&gt;"",MID(A92,FIND("e-mail:",A92)+8,100),"")</f>
        <v/>
      </c>
      <c r="I82" t="str">
        <f>IF(E82&gt;"",IF(ISERR(FIND("DKK",A93)),"",A93),"")</f>
        <v/>
      </c>
    </row>
    <row r="83" spans="1:10">
      <c r="A83" t="s">
        <v>7822</v>
      </c>
      <c r="B83" t="str">
        <f t="shared" si="0"/>
        <v>Olbrachtów</v>
      </c>
    </row>
    <row r="84" spans="1:10">
      <c r="A84" t="s">
        <v>7823</v>
      </c>
      <c r="B84" t="str">
        <f t="shared" si="0"/>
        <v>Olbrachtów</v>
      </c>
    </row>
    <row r="85" spans="1:10">
      <c r="A85" t="s">
        <v>7824</v>
      </c>
      <c r="B85" t="str">
        <f t="shared" si="0"/>
        <v>Olbrachtów</v>
      </c>
    </row>
    <row r="86" spans="1:10">
      <c r="A86" t="s">
        <v>7825</v>
      </c>
      <c r="B86" t="str">
        <f t="shared" si="0"/>
        <v>Olbrachtów</v>
      </c>
    </row>
    <row r="87" spans="1:10">
      <c r="A87" t="s">
        <v>7826</v>
      </c>
      <c r="B87" t="str">
        <f t="shared" si="0"/>
        <v>Olbrachtów</v>
      </c>
      <c r="C87" t="str">
        <f t="shared" si="6"/>
        <v/>
      </c>
      <c r="D87" t="str">
        <f t="shared" si="7"/>
        <v/>
      </c>
      <c r="E87" t="str">
        <f t="shared" si="8"/>
        <v/>
      </c>
      <c r="F87" t="str">
        <f>IF(E87&gt;"",MID(A91,FIND("tel.",A91)+4,15),"")</f>
        <v/>
      </c>
      <c r="G87" t="str">
        <f>IF(E87&gt;"",MID(A92,FIND(":",A92)+2,60),"")</f>
        <v/>
      </c>
      <c r="H87" t="str">
        <f>IF(E87&gt;"",MID(A93,FIND("e-mail:",A93)+8,100),"")</f>
        <v/>
      </c>
      <c r="I87" t="str">
        <f>IF(E87&gt;"",IF(ISERR(FIND("DKK",A94)),"",A94),"")</f>
        <v/>
      </c>
      <c r="J87" t="str">
        <f>IF(E87&gt;"",IF(ISERR(FIND("DKK",#REF!)),"",#REF!),"")</f>
        <v/>
      </c>
    </row>
    <row r="88" spans="1:10">
      <c r="A88" t="s">
        <v>7827</v>
      </c>
      <c r="B88" t="str">
        <f t="shared" si="0"/>
        <v>Siecieborzyce</v>
      </c>
      <c r="C88" t="str">
        <f t="shared" si="6"/>
        <v>Miejska Biblioteka Publiczna w Szprotawie – Filia Siecieborzyce Siecieborzyce 49a</v>
      </c>
      <c r="D88" t="str">
        <f t="shared" si="7"/>
        <v>67-320 Małomice tel. 68 376 07 40 moderatorka: Dorota Klimejko e-mail: bibl.siecieborzyce[at]wp.pl DKK dla dzieci</v>
      </c>
      <c r="E88" t="str">
        <f>IF(C88&gt;"",A91,"")</f>
        <v>Biblioteka Publiczna w Siedlisku ul. Kasztanowa 19 67-112 Siedlisko tel. 68 288 3521 moderatorka: Regina Wygiera e-mail: bpsiedlisko[at]o2.pl DKK dla dorosłych</v>
      </c>
      <c r="F88" t="e">
        <f>IF(E88&gt;"",MID(A92,FIND("tel.",A92)+4,15),"")</f>
        <v>#VALUE!</v>
      </c>
      <c r="G88" t="e">
        <f>IF(E88&gt;"",MID(A93,FIND(":",A93)+2,60),"")</f>
        <v>#VALUE!</v>
      </c>
      <c r="H88" t="e">
        <f>IF(E88&gt;"",MID(A94,FIND("e-mail:",A94)+8,100),"")</f>
        <v>#VALUE!</v>
      </c>
      <c r="I88" t="str">
        <f>IF(E88&gt;"",IF(ISERR(FIND("DKK",A95)),"",A95),"")</f>
        <v>e-mail: gbp.sieniawa.zarska[at]gmail.com DKK dla dorosłych</v>
      </c>
    </row>
    <row r="89" spans="1:10">
      <c r="A89" t="s">
        <v>7828</v>
      </c>
      <c r="B89" t="str">
        <f t="shared" si="0"/>
        <v>Siecieborzyce</v>
      </c>
      <c r="C89" t="str">
        <f t="shared" si="6"/>
        <v/>
      </c>
      <c r="D89" t="str">
        <f>IF(C89&gt;"",A91,"")</f>
        <v/>
      </c>
      <c r="E89" t="str">
        <f>IF(C89&gt;"",A92,"")</f>
        <v/>
      </c>
      <c r="F89" t="str">
        <f>IF(E89&gt;"",MID(A93,FIND("tel.",A93)+4,15),"")</f>
        <v/>
      </c>
      <c r="G89" t="str">
        <f>IF(E89&gt;"",MID(A94,FIND(":",A94)+2,60),"")</f>
        <v/>
      </c>
      <c r="H89" t="str">
        <f>IF(E89&gt;"",MID(A95,FIND("e-mail:",A95)+8,100),"")</f>
        <v/>
      </c>
      <c r="I89" t="str">
        <f>IF(E89&gt;"",IF(ISERR(FIND("DKK",A96)),"",A96),"")</f>
        <v/>
      </c>
    </row>
    <row r="90" spans="1:10">
      <c r="A90" t="s">
        <v>7829</v>
      </c>
      <c r="B90" t="str">
        <f t="shared" si="0"/>
        <v>Siecieborzyce</v>
      </c>
    </row>
    <row r="91" spans="1:10">
      <c r="A91" t="s">
        <v>7830</v>
      </c>
      <c r="B91" t="str">
        <f t="shared" si="0"/>
        <v>Siedlisko</v>
      </c>
      <c r="C91" t="str">
        <f t="shared" si="6"/>
        <v>Biblioteka Publiczna w Siedlisku ul. Kasztanowa 19 67-112 Siedlisko tel. 68 288 3521 moderatorka: Regina Wygiera e-mail: bpsiedlisko[at]o2.pl DKK dla dorosłych</v>
      </c>
      <c r="D91" t="str">
        <f t="shared" si="7"/>
        <v>Sieniawa Żarska</v>
      </c>
      <c r="E91" t="str">
        <f t="shared" si="8"/>
        <v>Gminna Biblioteka Publiczna Gminy Żary z/s w Bieniowie – Filia w Sieniawie Żarskiej Sienawa Żarska 40</v>
      </c>
      <c r="F91" t="str">
        <f t="shared" si="9"/>
        <v xml:space="preserve"> 68 375 97 03 m</v>
      </c>
      <c r="G91" t="str">
        <f t="shared" si="10"/>
        <v>gbp.sieniawa.zarska[at]gmail.com DKK dla dorosłych</v>
      </c>
      <c r="H91" t="e">
        <f t="shared" si="11"/>
        <v>#VALUE!</v>
      </c>
      <c r="I91" t="str">
        <f>IF(E91&gt;"",IF(ISERR(FIND("DKK",A104)),"",A104),"")</f>
        <v/>
      </c>
    </row>
    <row r="92" spans="1:10">
      <c r="A92" t="s">
        <v>7831</v>
      </c>
      <c r="B92" t="str">
        <f t="shared" si="0"/>
        <v>Siedlisko</v>
      </c>
      <c r="C92" t="str">
        <f t="shared" si="6"/>
        <v/>
      </c>
      <c r="D92" t="str">
        <f t="shared" si="7"/>
        <v/>
      </c>
      <c r="E92" t="str">
        <f t="shared" si="8"/>
        <v/>
      </c>
      <c r="F92" t="str">
        <f t="shared" si="9"/>
        <v/>
      </c>
      <c r="G92" t="str">
        <f t="shared" si="10"/>
        <v/>
      </c>
      <c r="H92" t="str">
        <f>IF(E92&gt;"",MID(A104,FIND("e-mail:",A104)+8,100),"")</f>
        <v/>
      </c>
      <c r="I92" t="str">
        <f>IF(E92&gt;"",IF(ISERR(FIND("DKK",A105)),"",A105),"")</f>
        <v/>
      </c>
    </row>
    <row r="93" spans="1:10">
      <c r="A93" t="s">
        <v>7832</v>
      </c>
      <c r="B93" t="str">
        <f t="shared" si="0"/>
        <v>Sieniawa Żarska</v>
      </c>
      <c r="C93" t="str">
        <f t="shared" si="6"/>
        <v>Gminna Biblioteka Publiczna Gminy Żary z/s w Bieniowie – Filia w Sieniawie Żarskiej Sienawa Żarska 40</v>
      </c>
      <c r="D93" t="str">
        <f t="shared" si="7"/>
        <v>68-213 Sieniawa Żarska tel. 68 375 97 03 moderatorka: Paulina Bartkowiak</v>
      </c>
      <c r="E93" t="str">
        <f t="shared" si="8"/>
        <v>e-mail: gbp.sieniawa.zarska[at]gmail.com DKK dla dorosłych</v>
      </c>
      <c r="F93" t="e">
        <f t="shared" si="9"/>
        <v>#VALUE!</v>
      </c>
      <c r="G93" t="e">
        <f>IF(E93&gt;"",MID(A104,FIND(":",A104)+2,60),"")</f>
        <v>#VALUE!</v>
      </c>
      <c r="H93" t="str">
        <f>IF(E93&gt;"",MID(A105,FIND("e-mail:",A105)+8,100),"")</f>
        <v>mbpszprpotawa3[at]wp.pl DKK dla dorosłych DKK dla dzieci</v>
      </c>
      <c r="I93" t="str">
        <f>IF(E93&gt;"",IF(ISERR(FIND("DKK",A107)),"",A107),"")</f>
        <v>Gminna Biblioteka Publiczna w Świdnicy ul. Długa 25 68-008 Świdnica tel. 68 327 32 80 moderatorka: Bożena Trubiłowicz e-mail: biblioteka.swidnica[at]wp.pl DKK dla dorosłych DKK dla dorosłych</v>
      </c>
    </row>
    <row r="94" spans="1:10">
      <c r="A94" t="s">
        <v>7833</v>
      </c>
      <c r="B94" t="str">
        <f t="shared" si="0"/>
        <v>Sieniawa Żarska</v>
      </c>
      <c r="C94" t="str">
        <f t="shared" si="6"/>
        <v/>
      </c>
      <c r="D94" t="str">
        <f t="shared" si="7"/>
        <v/>
      </c>
      <c r="E94" t="str">
        <f t="shared" si="8"/>
        <v/>
      </c>
      <c r="F94" t="str">
        <f>IF(E94&gt;"",MID(A104,FIND("tel.",A104)+4,15),"")</f>
        <v/>
      </c>
      <c r="G94" t="str">
        <f>IF(E94&gt;"",MID(A105,FIND(":",A105)+2,60),"")</f>
        <v/>
      </c>
      <c r="H94" t="str">
        <f>IF(E94&gt;"",MID(A107,FIND("e-mail:",A107)+8,100),"")</f>
        <v/>
      </c>
      <c r="I94" t="str">
        <f>IF(E94&gt;"",IF(ISERR(FIND("DKK",A109)),"",A109),"")</f>
        <v/>
      </c>
    </row>
    <row r="95" spans="1:10">
      <c r="A95" t="s">
        <v>7834</v>
      </c>
      <c r="B95" t="str">
        <f t="shared" si="0"/>
        <v>Sieniawa Żarska</v>
      </c>
      <c r="C95" t="str">
        <f t="shared" si="6"/>
        <v/>
      </c>
      <c r="D95" t="str">
        <f t="shared" si="7"/>
        <v/>
      </c>
      <c r="E95" t="str">
        <f>IF(C95&gt;"",A104,"")</f>
        <v/>
      </c>
      <c r="F95" t="str">
        <f>IF(E95&gt;"",MID(A105,FIND("tel.",A105)+4,15),"")</f>
        <v/>
      </c>
      <c r="G95" t="str">
        <f>IF(E95&gt;"",MID(A107,FIND(":",A107)+2,60),"")</f>
        <v/>
      </c>
      <c r="H95" t="str">
        <f>IF(E95&gt;"",MID(A109,FIND("e-mail:",A109)+8,100),"")</f>
        <v/>
      </c>
      <c r="I95" t="str">
        <f>IF(E95&gt;"",IF(ISERR(FIND("DKK",A110)),"",A110),"")</f>
        <v/>
      </c>
    </row>
    <row r="96" spans="1:10">
      <c r="A96" t="s">
        <v>7835</v>
      </c>
      <c r="B96" t="str">
        <f t="shared" si="0"/>
        <v>Sieniawa Żarska</v>
      </c>
      <c r="C96" t="str">
        <f t="shared" si="6"/>
        <v/>
      </c>
      <c r="D96" t="str">
        <f>IF(C96&gt;"",A104,"")</f>
        <v/>
      </c>
      <c r="E96" t="str">
        <f>IF(C96&gt;"",A105,"")</f>
        <v/>
      </c>
      <c r="F96" t="str">
        <f>IF(E96&gt;"",MID(A107,FIND("tel.",A107)+4,15),"")</f>
        <v/>
      </c>
      <c r="G96" t="str">
        <f>IF(E96&gt;"",MID(A109,FIND(":",A109)+2,60),"")</f>
        <v/>
      </c>
      <c r="H96" t="str">
        <f>IF(E96&gt;"",MID(A110,FIND("e-mail:",A110)+8,100),"")</f>
        <v/>
      </c>
      <c r="I96" t="str">
        <f>IF(E96&gt;"",IF(ISERR(FIND("DKK",A111)),"",A111),"")</f>
        <v/>
      </c>
    </row>
    <row r="97" spans="1:10">
      <c r="A97" t="s">
        <v>7836</v>
      </c>
      <c r="B97" t="str">
        <f t="shared" si="0"/>
        <v>Sieniawa Żarska</v>
      </c>
    </row>
    <row r="98" spans="1:10">
      <c r="A98" t="s">
        <v>7837</v>
      </c>
      <c r="B98" t="str">
        <f t="shared" si="0"/>
        <v>Sieniawa Żarska</v>
      </c>
    </row>
    <row r="99" spans="1:10">
      <c r="A99" t="s">
        <v>7838</v>
      </c>
      <c r="B99" t="str">
        <f t="shared" si="0"/>
        <v>Sieniawa Żarska</v>
      </c>
    </row>
    <row r="100" spans="1:10">
      <c r="A100" t="s">
        <v>7839</v>
      </c>
      <c r="B100" t="str">
        <f t="shared" si="0"/>
        <v>Sieniawa Żarska</v>
      </c>
    </row>
    <row r="101" spans="1:10">
      <c r="A101" t="s">
        <v>7840</v>
      </c>
      <c r="B101" t="str">
        <f t="shared" si="0"/>
        <v>Sieniawa Żarska</v>
      </c>
    </row>
    <row r="102" spans="1:10">
      <c r="A102" t="s">
        <v>7841</v>
      </c>
      <c r="B102" t="str">
        <f t="shared" si="0"/>
        <v>Sieniawa Żarska</v>
      </c>
    </row>
    <row r="103" spans="1:10">
      <c r="A103" t="s">
        <v>7842</v>
      </c>
      <c r="B103" t="str">
        <f t="shared" si="0"/>
        <v>Sieniawa Żarska</v>
      </c>
    </row>
    <row r="104" spans="1:10">
      <c r="A104" t="s">
        <v>7843</v>
      </c>
      <c r="B104" t="str">
        <f t="shared" si="0"/>
        <v>Szprotawa</v>
      </c>
      <c r="C104" t="str">
        <f t="shared" si="6"/>
        <v>Miejska Biblioteka Publiczna w Szprotawie ul. Niepodległości 16 67-300 Szprotawa tel. 68 376 26 03</v>
      </c>
      <c r="D104" t="str">
        <f t="shared" si="7"/>
        <v>moderatorki: Anna Pelc, Julita Hofman, Dagmara Bronk e-mail: mbpszprpotawa3[at]wp.pl DKK dla dorosłych DKK dla dzieci</v>
      </c>
      <c r="E104" t="str">
        <f>IF(C104&gt;"",A107,"")</f>
        <v>Gminna Biblioteka Publiczna w Świdnicy ul. Długa 25 68-008 Świdnica tel. 68 327 32 80 moderatorka: Bożena Trubiłowicz e-mail: biblioteka.swidnica[at]wp.pl DKK dla dorosłych DKK dla dorosłych</v>
      </c>
      <c r="F104" t="e">
        <f>IF(E104&gt;"",MID(A109,FIND("tel.",A109)+4,15),"")</f>
        <v>#VALUE!</v>
      </c>
      <c r="G104" t="e">
        <f>IF(E104&gt;"",MID(A110,FIND(":",A110)+2,60),"")</f>
        <v>#VALUE!</v>
      </c>
      <c r="H104" t="str">
        <f>IF(E104&gt;"",MID(A111,FIND("e-mail:",A111)+8,100),"")</f>
        <v>wypozyczalnia[at]bp.swiebodzin.pl DKK dla dorosłych</v>
      </c>
      <c r="I104" t="str">
        <f>IF(E104&gt;"",IF(ISERR(FIND("DKK",A112)),"",A112),"")</f>
        <v/>
      </c>
    </row>
    <row r="105" spans="1:10">
      <c r="A105" t="s">
        <v>7844</v>
      </c>
      <c r="B105" t="str">
        <f t="shared" si="0"/>
        <v>Szprotawa</v>
      </c>
      <c r="C105" t="str">
        <f t="shared" si="6"/>
        <v/>
      </c>
      <c r="D105" t="str">
        <f>IF(C105&gt;"",A107,"")</f>
        <v/>
      </c>
      <c r="E105" t="str">
        <f>IF(C105&gt;"",A109,"")</f>
        <v/>
      </c>
      <c r="F105" t="str">
        <f>IF(E105&gt;"",MID(A110,FIND("tel.",A110)+4,15),"")</f>
        <v/>
      </c>
      <c r="G105" t="str">
        <f>IF(E105&gt;"",MID(A111,FIND(":",A111)+2,60),"")</f>
        <v/>
      </c>
      <c r="H105" t="str">
        <f>IF(E105&gt;"",MID(A112,FIND("e-mail:",A112)+8,100),"")</f>
        <v/>
      </c>
      <c r="I105" t="str">
        <f>IF(E105&gt;"",IF(ISERR(FIND("DKK",A113)),"",A113),"")</f>
        <v/>
      </c>
      <c r="J105" t="str">
        <f>IF(E105&gt;"",IF(ISERR(FIND("DKK",A216)),"",A216),"")</f>
        <v/>
      </c>
    </row>
    <row r="106" spans="1:10">
      <c r="A106" t="s">
        <v>7845</v>
      </c>
      <c r="B106" t="str">
        <f t="shared" si="0"/>
        <v>Szprotawa</v>
      </c>
    </row>
    <row r="107" spans="1:10">
      <c r="A107" t="s">
        <v>7846</v>
      </c>
      <c r="B107" t="str">
        <f t="shared" ref="B107:B172" si="13">+IF(AND(C107&gt;"",ISERR(FIND("DKK",A106))),A106,B106)</f>
        <v>Świdnica</v>
      </c>
      <c r="C107" t="str">
        <f t="shared" si="6"/>
        <v>Gminna Biblioteka Publiczna w Świdnicy ul. Długa 25 68-008 Świdnica tel. 68 327 32 80 moderatorka: Bożena Trubiłowicz e-mail: biblioteka.swidnica[at]wp.pl DKK dla dorosłych DKK dla dorosłych</v>
      </c>
      <c r="D107" t="str">
        <f>IF(C107&gt;"",A109,"")</f>
        <v>Świebodzin</v>
      </c>
      <c r="E107" t="str">
        <f>IF(C107&gt;"",A110,"")</f>
        <v>Biblioteka Publiczna w Świebodzinie ul. Bramkowa 2</v>
      </c>
      <c r="F107" t="str">
        <f>IF(E107&gt;"",MID(A111,FIND("tel.",A111)+4,15),"")</f>
        <v xml:space="preserve"> 68 457 08 01 m</v>
      </c>
      <c r="G107" t="e">
        <f>IF(E107&gt;"",MID(A112,FIND(":",A112)+2,60),"")</f>
        <v>#VALUE!</v>
      </c>
      <c r="H107" t="str">
        <f>IF(E107&gt;"",MID(A113,FIND("e-mail:",A113)+8,100),"")</f>
        <v>biblioteka[at]szlichtyngowa.pl DKK dla dorosłych</v>
      </c>
      <c r="I107" t="str">
        <f>IF(E107&gt;"",IF(ISERR(FIND("DKK",#REF!)),"",#REF!),"")</f>
        <v/>
      </c>
    </row>
    <row r="108" spans="1:10">
      <c r="A108" t="s">
        <v>165</v>
      </c>
      <c r="B108" t="str">
        <f t="shared" si="13"/>
        <v>Świdnica</v>
      </c>
    </row>
    <row r="109" spans="1:10">
      <c r="A109" t="s">
        <v>7847</v>
      </c>
      <c r="B109" t="str">
        <f t="shared" si="13"/>
        <v>Świdnica</v>
      </c>
      <c r="C109" t="str">
        <f t="shared" si="6"/>
        <v/>
      </c>
      <c r="D109" t="str">
        <f t="shared" si="7"/>
        <v/>
      </c>
      <c r="E109" t="str">
        <f t="shared" si="8"/>
        <v/>
      </c>
      <c r="F109" t="str">
        <f t="shared" si="9"/>
        <v/>
      </c>
      <c r="G109" t="str">
        <f t="shared" si="10"/>
        <v/>
      </c>
      <c r="H109" t="str">
        <f>IF(E109&gt;"",MID(#REF!,FIND("e-mail:",#REF!)+8,100),"")</f>
        <v/>
      </c>
      <c r="I109" t="str">
        <f>IF(E109&gt;"",IF(ISERR(FIND("DKK",A116)),"",A116),"")</f>
        <v/>
      </c>
    </row>
    <row r="110" spans="1:10">
      <c r="A110" t="s">
        <v>7848</v>
      </c>
      <c r="B110" t="str">
        <f t="shared" si="13"/>
        <v>Świebodzin</v>
      </c>
      <c r="C110" t="str">
        <f t="shared" si="6"/>
        <v>Biblioteka Publiczna w Świebodzinie ul. Bramkowa 2</v>
      </c>
      <c r="D110" t="str">
        <f t="shared" si="7"/>
        <v>66-200 Świebodzin tel. 68 457 08 01 moderatorka: Bogusława Hołub e-mail: wypozyczalnia[at]bp.swiebodzin.pl DKK dla dorosłych</v>
      </c>
      <c r="E110" t="str">
        <f t="shared" si="8"/>
        <v>Szlichtyngowa</v>
      </c>
      <c r="F110" t="str">
        <f t="shared" si="9"/>
        <v xml:space="preserve"> 65 549 23 70 m</v>
      </c>
      <c r="G110" t="e">
        <f>IF(E110&gt;"",MID(#REF!,FIND(":",#REF!)+2,60),"")</f>
        <v>#REF!</v>
      </c>
      <c r="H110" t="e">
        <f>IF(E110&gt;"",MID(A116,FIND("e-mail:",A116)+8,100),"")</f>
        <v>#VALUE!</v>
      </c>
      <c r="I110" t="str">
        <f>IF(E110&gt;"",IF(ISERR(FIND("DKK",A117)),"",A117),"")</f>
        <v>Ośrodek Kultury i Biblioteka w Trzebielu ul. Żarska 52 68-212 Trzebiel tel. 535 439 581 moderatorka: Marta Perska e-mail: biblioteka[at]trzebiel.pl DKK dla dorosłych DKK dla dzieci</v>
      </c>
    </row>
    <row r="111" spans="1:10">
      <c r="A111" t="s">
        <v>7849</v>
      </c>
      <c r="B111" t="str">
        <f t="shared" si="13"/>
        <v>Świebodzin</v>
      </c>
      <c r="C111" t="str">
        <f t="shared" si="6"/>
        <v/>
      </c>
      <c r="D111" t="str">
        <f t="shared" si="7"/>
        <v/>
      </c>
      <c r="E111" t="str">
        <f t="shared" si="8"/>
        <v/>
      </c>
      <c r="F111" t="str">
        <f>IF(E111&gt;"",MID(#REF!,FIND("tel.",#REF!)+4,15),"")</f>
        <v/>
      </c>
      <c r="G111" t="str">
        <f>IF(E111&gt;"",MID(A116,FIND(":",A116)+2,60),"")</f>
        <v/>
      </c>
      <c r="H111" t="str">
        <f>IF(E111&gt;"",MID(A117,FIND("e-mail:",A117)+8,100),"")</f>
        <v/>
      </c>
      <c r="I111" t="str">
        <f>IF(E111&gt;"",IF(ISERR(FIND("DKK",A118)),"",A118),"")</f>
        <v/>
      </c>
    </row>
    <row r="112" spans="1:10">
      <c r="A112" t="s">
        <v>7850</v>
      </c>
      <c r="B112" t="str">
        <f t="shared" si="13"/>
        <v>Świebodzin</v>
      </c>
      <c r="C112" t="str">
        <f t="shared" si="6"/>
        <v/>
      </c>
      <c r="D112" t="str">
        <f t="shared" si="7"/>
        <v/>
      </c>
      <c r="E112" t="str">
        <f>IF(C112&gt;"",#REF!,"")</f>
        <v/>
      </c>
      <c r="F112" t="str">
        <f>IF(E112&gt;"",MID(A116,FIND("tel.",A116)+4,15),"")</f>
        <v/>
      </c>
      <c r="G112" t="str">
        <f>IF(E112&gt;"",MID(A117,FIND(":",A117)+2,60),"")</f>
        <v/>
      </c>
      <c r="H112" t="str">
        <f>IF(E112&gt;"",MID(A118,FIND("e-mail:",A118)+8,100),"")</f>
        <v/>
      </c>
      <c r="I112" t="str">
        <f>IF(E112&gt;"",IF(ISERR(FIND("DKK",A121)),"",A121),"")</f>
        <v/>
      </c>
    </row>
    <row r="113" spans="1:10">
      <c r="A113" t="s">
        <v>7851</v>
      </c>
      <c r="B113" t="str">
        <f t="shared" si="13"/>
        <v>Szlichtyngowa</v>
      </c>
      <c r="C113" t="str">
        <f t="shared" si="6"/>
        <v>Biblioteka Publiczna Miasta i Gminy w Szlichtyngowej ul. Głogowska 1 67-407 Szlichtyngowa tel. 65 549 23 70 moderatorka: Stanisława Miedziaszczyk e-mail: biblioteka[at]szlichtyngowa.pl DKK dla dorosłych</v>
      </c>
      <c r="D113" t="e">
        <f>IF(C113&gt;"",#REF!,"")</f>
        <v>#REF!</v>
      </c>
      <c r="E113" t="str">
        <f>IF(C113&gt;"",A116,"")</f>
        <v>Trzebiel</v>
      </c>
      <c r="F113" t="str">
        <f>IF(E113&gt;"",MID(A117,FIND("tel.",A117)+4,15),"")</f>
        <v xml:space="preserve"> 535 439 581 mo</v>
      </c>
      <c r="G113" t="e">
        <f>IF(E113&gt;"",MID(A118,FIND(":",A118)+2,60),"")</f>
        <v>#VALUE!</v>
      </c>
      <c r="H113" t="str">
        <f>IF(E113&gt;"",MID(A121,FIND("e-mail:",A121)+8,100),"")</f>
        <v>bwypwschowa[at]gmail.com, bibliotekawschowa[at]poczta.onet.pl DKK dla dzieci DKK dla dorosłych</v>
      </c>
      <c r="I113" t="str">
        <f>IF(E113&gt;"",IF(ISERR(FIND("DKK",A122)),"",A122),"")</f>
        <v/>
      </c>
    </row>
    <row r="114" spans="1:10">
      <c r="A114" t="s">
        <v>7852</v>
      </c>
      <c r="B114" t="str">
        <f t="shared" si="13"/>
        <v>Szlichtyngowa</v>
      </c>
    </row>
    <row r="115" spans="1:10">
      <c r="A115" t="s">
        <v>7853</v>
      </c>
      <c r="B115" t="str">
        <f t="shared" si="13"/>
        <v>Szlichtyngowa</v>
      </c>
    </row>
    <row r="116" spans="1:10">
      <c r="A116" t="s">
        <v>7854</v>
      </c>
      <c r="B116" t="str">
        <f t="shared" si="13"/>
        <v>Szlichtyngowa</v>
      </c>
      <c r="C116" t="str">
        <f t="shared" si="6"/>
        <v/>
      </c>
      <c r="D116" t="str">
        <f t="shared" si="7"/>
        <v/>
      </c>
      <c r="E116" t="str">
        <f t="shared" si="8"/>
        <v/>
      </c>
      <c r="F116" t="str">
        <f>IF(E116&gt;"",MID(A121,FIND("tel.",A121)+4,15),"")</f>
        <v/>
      </c>
      <c r="G116" t="str">
        <f>IF(E116&gt;"",MID(A122,FIND(":",A122)+2,60),"")</f>
        <v/>
      </c>
      <c r="H116" t="str">
        <f>IF(E116&gt;"",MID(A123,FIND("e-mail:",A123)+8,100),"")</f>
        <v/>
      </c>
      <c r="I116" t="str">
        <f>IF(E116&gt;"",IF(ISERR(FIND("DKK",A124)),"",A124),"")</f>
        <v/>
      </c>
    </row>
    <row r="117" spans="1:10">
      <c r="A117" t="s">
        <v>8190</v>
      </c>
      <c r="B117" t="str">
        <f t="shared" si="13"/>
        <v>Trzebiel</v>
      </c>
      <c r="C117" t="str">
        <f t="shared" si="6"/>
        <v>Ośrodek Kultury i Biblioteka w Trzebielu ul. Żarska 52 68-212 Trzebiel tel. 535 439 581 moderatorka: Marta Perska e-mail: biblioteka[at]trzebiel.pl DKK dla dorosłych DKK dla dzieci</v>
      </c>
      <c r="D117" t="str">
        <f t="shared" si="7"/>
        <v>Wiechlice</v>
      </c>
      <c r="E117" t="str">
        <f>IF(C117&gt;"",A121,"")</f>
        <v>Biblioteka Publiczna Miasta i Gminy we Wschowie Pl. Farny 3 67-400 Wschowa tel. 65 540 24 51 moderatorki: Kamila Kamińska, Ilona Ratajczak e-mail: bwypwschowa[at]gmail.com, bibliotekawschowa[at]poczta.onet.pl DKK dla dzieci DKK dla dorosłych</v>
      </c>
      <c r="F117" t="e">
        <f>IF(E117&gt;"",MID(A122,FIND("tel.",A122)+4,15),"")</f>
        <v>#VALUE!</v>
      </c>
      <c r="G117" t="str">
        <f>IF(E117&gt;"",MID(A123,FIND(":",A123)+2,60),"")</f>
        <v>Maria Kraska e-mail: info[at]gokib.pl DKK dla dorosłych</v>
      </c>
      <c r="H117" t="e">
        <f>IF(E117&gt;"",MID(A124,FIND("e-mail:",A124)+8,100),"")</f>
        <v>#VALUE!</v>
      </c>
      <c r="I117" t="str">
        <f>IF(E117&gt;"",IF(ISERR(FIND("DKK",A125)),"",A125),"")</f>
        <v/>
      </c>
    </row>
    <row r="118" spans="1:10">
      <c r="A118" t="s">
        <v>7855</v>
      </c>
      <c r="B118" t="str">
        <f t="shared" si="13"/>
        <v>Trzebiel</v>
      </c>
      <c r="C118" t="str">
        <f t="shared" si="6"/>
        <v/>
      </c>
      <c r="D118" t="str">
        <f>IF(C118&gt;"",A121,"")</f>
        <v/>
      </c>
      <c r="E118" t="str">
        <f>IF(C118&gt;"",A122,"")</f>
        <v/>
      </c>
      <c r="F118" t="str">
        <f>IF(E118&gt;"",MID(A123,FIND("tel.",A123)+4,15),"")</f>
        <v/>
      </c>
      <c r="G118" t="str">
        <f>IF(E118&gt;"",MID(A124,FIND(":",A124)+2,60),"")</f>
        <v/>
      </c>
      <c r="H118" t="str">
        <f>IF(E118&gt;"",MID(A125,FIND("e-mail:",A125)+8,100),"")</f>
        <v/>
      </c>
      <c r="I118" t="str">
        <f>IF(E118&gt;"",IF(ISERR(FIND("DKK",A126)),"",A126),"")</f>
        <v/>
      </c>
    </row>
    <row r="119" spans="1:10">
      <c r="A119" t="s">
        <v>7856</v>
      </c>
      <c r="B119" t="str">
        <f t="shared" si="13"/>
        <v>Trzebiel</v>
      </c>
    </row>
    <row r="120" spans="1:10">
      <c r="A120" t="s">
        <v>7857</v>
      </c>
      <c r="B120" t="str">
        <f t="shared" si="13"/>
        <v>Trzebiel</v>
      </c>
    </row>
    <row r="121" spans="1:10">
      <c r="A121" t="s">
        <v>7858</v>
      </c>
      <c r="B121" t="str">
        <f t="shared" si="13"/>
        <v>Wschowa</v>
      </c>
      <c r="C121" t="str">
        <f t="shared" si="6"/>
        <v>Biblioteka Publiczna Miasta i Gminy we Wschowie Pl. Farny 3 67-400 Wschowa tel. 65 540 24 51 moderatorki: Kamila Kamińska, Ilona Ratajczak e-mail: bwypwschowa[at]gmail.com, bibliotekawschowa[at]poczta.onet.pl DKK dla dzieci DKK dla dorosłych</v>
      </c>
      <c r="D121" t="str">
        <f t="shared" si="7"/>
        <v>Wymiarki</v>
      </c>
      <c r="E121" t="str">
        <f>IF(C121&gt;"",A123,"")</f>
        <v>Gminny Ośrodek Kultury i Biblioteka w Wymiarkach ul. Ks. Witolda 7 68-131 Wymiarki tel. 68 360 41 77 moderatorka: Maria Kraska e-mail: info[at]gokib.pl DKK dla dorosłych</v>
      </c>
      <c r="F121" t="e">
        <f>IF(E121&gt;"",MID(A124,FIND("tel.",A124)+4,15),"")</f>
        <v>#VALUE!</v>
      </c>
      <c r="G121" t="e">
        <f>IF(E121&gt;"",MID(A125,FIND(":",A125)+2,60),"")</f>
        <v>#VALUE!</v>
      </c>
      <c r="H121" t="str">
        <f>IF(E121&gt;"",MID(A126,FIND("e-mail:",A126)+8,100),"")</f>
        <v>biblioteka[at]gimnazabor.pl DKK dla dzieci</v>
      </c>
      <c r="I121" t="str">
        <f>IF(E121&gt;"",IF(ISERR(FIND("DKK",A127)),"",A127),"")</f>
        <v/>
      </c>
      <c r="J121" t="str">
        <f>IF(E121&gt;"",IF(ISERR(FIND("DKK",A217)),"",A217),"")</f>
        <v/>
      </c>
    </row>
    <row r="122" spans="1:10">
      <c r="A122" t="s">
        <v>7859</v>
      </c>
      <c r="B122" t="str">
        <f t="shared" si="13"/>
        <v>Wschowa</v>
      </c>
      <c r="C122" t="str">
        <f t="shared" si="6"/>
        <v/>
      </c>
      <c r="D122" t="str">
        <f>IF(C122&gt;"",A123,"")</f>
        <v/>
      </c>
      <c r="E122" t="str">
        <f>IF(C122&gt;"",A124,"")</f>
        <v/>
      </c>
      <c r="F122" t="str">
        <f>IF(E122&gt;"",MID(A125,FIND("tel.",A125)+4,15),"")</f>
        <v/>
      </c>
      <c r="G122" t="str">
        <f>IF(E122&gt;"",MID(A126,FIND(":",A126)+2,60),"")</f>
        <v/>
      </c>
      <c r="H122" t="str">
        <f>IF(E122&gt;"",MID(A127,FIND("e-mail:",A127)+8,100),"")</f>
        <v/>
      </c>
      <c r="I122" t="str">
        <f>IF(E122&gt;"",IF(ISERR(FIND("DKK",A131)),"",A131),"")</f>
        <v/>
      </c>
    </row>
    <row r="123" spans="1:10">
      <c r="A123" t="s">
        <v>7860</v>
      </c>
      <c r="B123" t="str">
        <f t="shared" si="13"/>
        <v>Wymiarki</v>
      </c>
      <c r="C123" t="str">
        <f t="shared" si="6"/>
        <v>Gminny Ośrodek Kultury i Biblioteka w Wymiarkach ul. Ks. Witolda 7 68-131 Wymiarki tel. 68 360 41 77 moderatorka: Maria Kraska e-mail: info[at]gokib.pl DKK dla dorosłych</v>
      </c>
      <c r="D123" t="str">
        <f t="shared" si="7"/>
        <v>Zabór</v>
      </c>
      <c r="E123" t="str">
        <f t="shared" si="8"/>
        <v>Gminna Biblioteka Publiczna w Zaborze ul. Lipowa 1 66-003 Zabór</v>
      </c>
      <c r="F123" t="str">
        <f t="shared" si="9"/>
        <v xml:space="preserve"> 68 327 40 81 m</v>
      </c>
      <c r="G123" t="e">
        <f t="shared" si="10"/>
        <v>#VALUE!</v>
      </c>
      <c r="H123" t="e">
        <f>IF(E123&gt;"",MID(A131,FIND("e-mail:",A131)+8,100),"")</f>
        <v>#VALUE!</v>
      </c>
      <c r="I123" t="str">
        <f>IF(E123&gt;"",IF(ISERR(FIND("DKK",A132)),"",A132),"")</f>
        <v>65-077 Zielona Góra tel. 068 453 26 38 moderatorka: Agnieszka Ginko-Humphires e-mail: b.obcojezyczna[at]wimbp.zgora.pl DKK dla dorosłych</v>
      </c>
    </row>
    <row r="124" spans="1:10">
      <c r="A124" t="s">
        <v>7861</v>
      </c>
      <c r="B124" t="str">
        <f t="shared" si="13"/>
        <v>Wymiarki</v>
      </c>
      <c r="C124" t="str">
        <f t="shared" si="6"/>
        <v/>
      </c>
      <c r="D124" t="str">
        <f t="shared" si="7"/>
        <v/>
      </c>
      <c r="E124" t="str">
        <f t="shared" si="8"/>
        <v/>
      </c>
      <c r="F124" t="str">
        <f t="shared" si="9"/>
        <v/>
      </c>
      <c r="G124" t="str">
        <f>IF(E124&gt;"",MID(A131,FIND(":",A131)+2,60),"")</f>
        <v/>
      </c>
      <c r="H124" t="str">
        <f>IF(E124&gt;"",MID(A132,FIND("e-mail:",A132)+8,100),"")</f>
        <v/>
      </c>
      <c r="I124" t="str">
        <f>IF(E124&gt;"",IF(ISERR(FIND("DKK",A139)),"",A139),"")</f>
        <v/>
      </c>
    </row>
    <row r="125" spans="1:10">
      <c r="A125" t="s">
        <v>7862</v>
      </c>
      <c r="B125" t="str">
        <f t="shared" si="13"/>
        <v>Zabór</v>
      </c>
      <c r="C125" t="str">
        <f t="shared" si="6"/>
        <v>Gminna Biblioteka Publiczna w Zaborze ul. Lipowa 1 66-003 Zabór</v>
      </c>
      <c r="D125" t="str">
        <f t="shared" si="7"/>
        <v>tel. 68 327 40 81 moderatorka: Kamilla Marchewska e-mail: biblioteka[at]gimnazabor.pl DKK dla dzieci</v>
      </c>
      <c r="E125" t="str">
        <f t="shared" si="8"/>
        <v>Zawada</v>
      </c>
      <c r="F125" t="e">
        <f>IF(E125&gt;"",MID(A131,FIND("tel.",A131)+4,15),"")</f>
        <v>#VALUE!</v>
      </c>
      <c r="G125" t="str">
        <f>IF(E125&gt;"",MID(A132,FIND(":",A132)+2,60),"")</f>
        <v>Agnieszka Ginko-Humphires e-mail: b.obcojezyczna[at]wimbp.zg</v>
      </c>
      <c r="H125" t="str">
        <f>IF(E125&gt;"",MID(A139,FIND("e-mail:",A139)+8,100),"")</f>
        <v>filia5[at]biblioteka.zgora.pl DKK dla dzieci</v>
      </c>
      <c r="I125" t="str">
        <f>IF(E125&gt;"",IF(ISERR(FIND("DKK",A140)),"",A140),"")</f>
        <v>WiMBP w Zielonej Górze – Filia nr 8 ul. Spawaczy 13a 65-119 Zielona Góra tel. 68 45 17 424 moderatorka: Hanna Rzeźnik e-mail: filia8[at]wimbp.zgora.pl DKK dla dzieci</v>
      </c>
    </row>
    <row r="126" spans="1:10">
      <c r="A126" t="s">
        <v>7863</v>
      </c>
      <c r="B126" t="str">
        <f t="shared" si="13"/>
        <v>Zabór</v>
      </c>
      <c r="C126" t="str">
        <f t="shared" si="6"/>
        <v/>
      </c>
      <c r="D126" t="str">
        <f t="shared" si="7"/>
        <v/>
      </c>
      <c r="E126" t="str">
        <f>IF(C126&gt;"",A131,"")</f>
        <v/>
      </c>
      <c r="F126" t="str">
        <f>IF(E126&gt;"",MID(A132,FIND("tel.",A132)+4,15),"")</f>
        <v/>
      </c>
      <c r="G126" t="str">
        <f>IF(E126&gt;"",MID(A139,FIND(":",A139)+2,60),"")</f>
        <v/>
      </c>
      <c r="H126" t="str">
        <f>IF(E126&gt;"",MID(A140,FIND("e-mail:",A140)+8,100),"")</f>
        <v/>
      </c>
      <c r="I126" t="str">
        <f>IF(E126&gt;"",IF(ISERR(FIND("DKK",A141)),"",A141),"")</f>
        <v/>
      </c>
    </row>
    <row r="127" spans="1:10">
      <c r="A127" t="s">
        <v>7864</v>
      </c>
      <c r="B127" t="str">
        <f t="shared" si="13"/>
        <v>Zabór</v>
      </c>
      <c r="C127" t="str">
        <f t="shared" si="6"/>
        <v/>
      </c>
      <c r="D127" t="str">
        <f>IF(C127&gt;"",A131,"")</f>
        <v/>
      </c>
      <c r="E127" t="str">
        <f>IF(C127&gt;"",A132,"")</f>
        <v/>
      </c>
      <c r="F127" t="str">
        <f>IF(E127&gt;"",MID(A139,FIND("tel.",A139)+4,15),"")</f>
        <v/>
      </c>
      <c r="G127" t="str">
        <f>IF(E127&gt;"",MID(A140,FIND(":",A140)+2,60),"")</f>
        <v/>
      </c>
      <c r="H127" t="str">
        <f>IF(E127&gt;"",MID(A141,FIND("e-mail:",A141)+8,100),"")</f>
        <v/>
      </c>
      <c r="I127" t="str">
        <f>IF(E127&gt;"",IF(ISERR(FIND("DKK",A147)),"",A147),"")</f>
        <v/>
      </c>
    </row>
    <row r="128" spans="1:10">
      <c r="A128" t="s">
        <v>7865</v>
      </c>
      <c r="B128" t="str">
        <f t="shared" si="13"/>
        <v>Zabór</v>
      </c>
    </row>
    <row r="129" spans="1:9">
      <c r="A129" t="s">
        <v>7744</v>
      </c>
      <c r="B129" t="str">
        <f t="shared" si="13"/>
        <v>Zabór</v>
      </c>
    </row>
    <row r="130" spans="1:9">
      <c r="A130" t="s">
        <v>7866</v>
      </c>
      <c r="B130" t="str">
        <f t="shared" si="13"/>
        <v>Zabór</v>
      </c>
    </row>
    <row r="131" spans="1:9">
      <c r="A131" t="s">
        <v>7867</v>
      </c>
      <c r="B131" t="str">
        <f t="shared" si="13"/>
        <v>Zabór</v>
      </c>
      <c r="C131" t="str">
        <f t="shared" si="6"/>
        <v>WiMBP w Zielonej Górze – Biblioteka Obcojęzyczna al. Wojska Polskiego 9</v>
      </c>
      <c r="D131" t="str">
        <f t="shared" si="7"/>
        <v>65-077 Zielona Góra tel. 068 453 26 38 moderatorka: Agnieszka Ginko-Humphires e-mail: b.obcojezyczna[at]wimbp.zgora.pl DKK dla dorosłych</v>
      </c>
      <c r="E131" t="str">
        <f>IF(C131&gt;"",A139,"")</f>
        <v>65-936 Zielona Góra tel. 68 45 41 060 moderatorka: Katarzyna Połczyńska-Czerniak e-mail: filia5[at]biblioteka.zgora.pl DKK dla dzieci</v>
      </c>
      <c r="F131" t="str">
        <f>IF(E131&gt;"",MID(A140,FIND("tel.",A140)+4,15),"")</f>
        <v xml:space="preserve"> 68 45 17 424 m</v>
      </c>
      <c r="G131" t="str">
        <f>IF(E131&gt;"",MID(A141,FIND(":",A141)+2,60),"")</f>
        <v>Anna Kwapińska e-mail: f9[at]wimbp.zgora.pl DKK dla dzieci</v>
      </c>
      <c r="H131" t="str">
        <f>IF(E131&gt;"",MID(A147,FIND("e-mail:",A147)+8,100),"")</f>
        <v xml:space="preserve">szklanapulapka[at]biblioteka.zgora.pl DKK dla dorosłych DKK dla dzieci </v>
      </c>
      <c r="I131" t="str">
        <f>IF(E131&gt;"",IF(ISERR(FIND("DKK",A153)),"",A153),"")</f>
        <v>e-mail: biblioteka.zagan[at]mbpzagan.pl DKK dla dorosłych DKK dla młodzieży DKK dla dzieci</v>
      </c>
    </row>
    <row r="132" spans="1:9">
      <c r="A132" t="s">
        <v>7868</v>
      </c>
      <c r="B132" t="str">
        <f t="shared" si="13"/>
        <v>Zabór</v>
      </c>
      <c r="C132" t="str">
        <f t="shared" si="6"/>
        <v/>
      </c>
      <c r="D132" t="str">
        <f>IF(C132&gt;"",A139,"")</f>
        <v/>
      </c>
      <c r="E132" t="str">
        <f>IF(C132&gt;"",A140,"")</f>
        <v/>
      </c>
      <c r="F132" t="str">
        <f>IF(E132&gt;"",MID(A141,FIND("tel.",A141)+4,15),"")</f>
        <v/>
      </c>
      <c r="G132" t="str">
        <f>IF(E132&gt;"",MID(A147,FIND(":",A147)+2,60),"")</f>
        <v/>
      </c>
      <c r="H132" t="str">
        <f>IF(E132&gt;"",MID(A153,FIND("e-mail:",A153)+8,100),"")</f>
        <v/>
      </c>
      <c r="I132" t="str">
        <f>IF(E132&gt;"",IF(ISERR(FIND("DKK",A154)),"",A154),"")</f>
        <v/>
      </c>
    </row>
    <row r="133" spans="1:9">
      <c r="A133" t="s">
        <v>8225</v>
      </c>
      <c r="B133" t="str">
        <f t="shared" si="13"/>
        <v>Zabór</v>
      </c>
    </row>
    <row r="134" spans="1:9">
      <c r="A134" t="s">
        <v>7869</v>
      </c>
      <c r="B134" t="str">
        <f>+IF(AND(C134&gt;"",ISERR(FIND("DKK",A133))),A133,B133)</f>
        <v>Zabór</v>
      </c>
    </row>
    <row r="135" spans="1:9">
      <c r="A135" t="s">
        <v>7870</v>
      </c>
      <c r="B135" t="str">
        <f t="shared" si="13"/>
        <v>Zabór</v>
      </c>
    </row>
    <row r="136" spans="1:9">
      <c r="A136" t="s">
        <v>7871</v>
      </c>
      <c r="B136" t="str">
        <f t="shared" si="13"/>
        <v>Zabór</v>
      </c>
    </row>
    <row r="137" spans="1:9">
      <c r="A137" t="s">
        <v>7872</v>
      </c>
      <c r="B137" t="str">
        <f t="shared" si="13"/>
        <v>Zabór</v>
      </c>
    </row>
    <row r="138" spans="1:9">
      <c r="A138" t="s">
        <v>7873</v>
      </c>
      <c r="B138" t="str">
        <f t="shared" si="13"/>
        <v>Zabór</v>
      </c>
    </row>
    <row r="139" spans="1:9">
      <c r="A139" t="s">
        <v>7874</v>
      </c>
      <c r="B139" t="str">
        <f t="shared" si="13"/>
        <v>Zabór</v>
      </c>
      <c r="C139" t="str">
        <f t="shared" si="6"/>
        <v/>
      </c>
      <c r="D139" t="str">
        <f t="shared" si="7"/>
        <v/>
      </c>
      <c r="E139" t="str">
        <f t="shared" si="8"/>
        <v/>
      </c>
      <c r="F139" t="str">
        <f>IF(E139&gt;"",MID(A147,FIND("tel.",A147)+4,15),"")</f>
        <v/>
      </c>
      <c r="G139" t="str">
        <f>IF(E139&gt;"",MID(A153,FIND(":",A153)+2,60),"")</f>
        <v/>
      </c>
      <c r="H139" t="str">
        <f>IF(E139&gt;"",MID(A154,FIND("e-mail:",A154)+8,100),"")</f>
        <v/>
      </c>
      <c r="I139" t="str">
        <f>IF(E139&gt;"",IF(ISERR(FIND("DKK",A158)),"",A158),"")</f>
        <v/>
      </c>
    </row>
    <row r="140" spans="1:9">
      <c r="A140" t="s">
        <v>7875</v>
      </c>
      <c r="B140" t="str">
        <f t="shared" si="13"/>
        <v>Zabór</v>
      </c>
      <c r="C140" t="str">
        <f t="shared" si="6"/>
        <v/>
      </c>
      <c r="D140" t="str">
        <f t="shared" si="7"/>
        <v/>
      </c>
      <c r="E140" t="str">
        <f>IF(C140&gt;"",A147,"")</f>
        <v/>
      </c>
      <c r="F140" t="str">
        <f>IF(E140&gt;"",MID(A153,FIND("tel.",A153)+4,15),"")</f>
        <v/>
      </c>
      <c r="G140" t="str">
        <f>IF(E140&gt;"",MID(A154,FIND(":",A154)+2,60),"")</f>
        <v/>
      </c>
      <c r="H140" t="str">
        <f>IF(E140&gt;"",MID(A158,FIND("e-mail:",A158)+8,100),"")</f>
        <v/>
      </c>
      <c r="I140" t="str">
        <f>IF(E140&gt;"",IF(ISERR(FIND("DKK",A159)),"",A159),"")</f>
        <v/>
      </c>
    </row>
    <row r="141" spans="1:9">
      <c r="A141" t="s">
        <v>7876</v>
      </c>
      <c r="B141" t="str">
        <f t="shared" si="13"/>
        <v>Zabór</v>
      </c>
      <c r="C141" t="str">
        <f t="shared" si="6"/>
        <v>WiMBP w Zielonej Górze – Filia nr 9, Biblioteka Bromby i Przyjaciół ul. Podgórna 45 65-213 Zielona Góra tel. 68 45 32 661 moderatorka: Anna Kwapińska e-mail: f9[at]wimbp.zgora.pl DKK dla dzieci</v>
      </c>
      <c r="D141" t="str">
        <f>IF(C141&gt;"",A147,"")</f>
        <v xml:space="preserve">moderatorki: Martyna Zawieja, Agata Życzkowska e-mail: szklanapulapka[at]biblioteka.zgora.pl DKK dla dorosłych DKK dla dzieci </v>
      </c>
      <c r="E141" t="str">
        <f>IF(C141&gt;"",A153,"")</f>
        <v>e-mail: biblioteka.zagan[at]mbpzagan.pl DKK dla dorosłych DKK dla młodzieży DKK dla dzieci</v>
      </c>
      <c r="F141" t="e">
        <f>IF(E141&gt;"",MID(A154,FIND("tel.",A154)+4,15),"")</f>
        <v>#VALUE!</v>
      </c>
      <c r="G141" t="e">
        <f>IF(E141&gt;"",MID(A158,FIND(":",A158)+2,60),"")</f>
        <v>#VALUE!</v>
      </c>
      <c r="H141" t="e">
        <f>IF(E141&gt;"",MID(A159,FIND("e-mail:",A159)+8,100),"")</f>
        <v>#VALUE!</v>
      </c>
      <c r="I141" t="str">
        <f>IF(E141&gt;"",IF(ISERR(FIND("DKK",A167)),"",A167),"")</f>
        <v/>
      </c>
    </row>
    <row r="142" spans="1:9">
      <c r="A142" t="s">
        <v>7877</v>
      </c>
      <c r="B142" t="str">
        <f t="shared" si="13"/>
        <v>Zabór</v>
      </c>
    </row>
    <row r="143" spans="1:9">
      <c r="A143" t="s">
        <v>7889</v>
      </c>
      <c r="B143" t="str">
        <f t="shared" si="13"/>
        <v>Zabór</v>
      </c>
    </row>
    <row r="144" spans="1:9">
      <c r="A144" t="s">
        <v>7890</v>
      </c>
    </row>
    <row r="145" spans="1:9">
      <c r="A145" t="s">
        <v>7878</v>
      </c>
      <c r="B145" t="str">
        <f>+IF(AND(C145&gt;"",ISERR(FIND("DKK",A143))),A143,B143)</f>
        <v>Zabór</v>
      </c>
    </row>
    <row r="146" spans="1:9">
      <c r="A146" t="s">
        <v>7879</v>
      </c>
      <c r="B146" t="str">
        <f t="shared" si="13"/>
        <v>Zabór</v>
      </c>
    </row>
    <row r="147" spans="1:9">
      <c r="A147" t="s">
        <v>7891</v>
      </c>
      <c r="B147" t="str">
        <f t="shared" si="13"/>
        <v>Zabór</v>
      </c>
      <c r="C147" t="str">
        <f t="shared" si="6"/>
        <v/>
      </c>
      <c r="D147" t="str">
        <f>IF(C147&gt;"",A153,"")</f>
        <v/>
      </c>
      <c r="E147" t="str">
        <f>IF(C147&gt;"",A154,"")</f>
        <v/>
      </c>
      <c r="F147" t="str">
        <f>IF(E147&gt;"",MID(A158,FIND("tel.",A158)+4,15),"")</f>
        <v/>
      </c>
      <c r="G147" t="str">
        <f>IF(E147&gt;"",MID(A159,FIND(":",A159)+2,60),"")</f>
        <v/>
      </c>
      <c r="H147" t="str">
        <f>IF(E147&gt;"",MID(A167,FIND("e-mail:",A167)+8,100),"")</f>
        <v/>
      </c>
      <c r="I147" t="str">
        <f>IF(E147&gt;"",IF(ISERR(FIND("DKK",A168)),"",A168),"")</f>
        <v/>
      </c>
    </row>
    <row r="148" spans="1:9">
      <c r="A148" t="s">
        <v>7892</v>
      </c>
    </row>
    <row r="149" spans="1:9">
      <c r="A149" t="s">
        <v>7880</v>
      </c>
      <c r="B149" t="str">
        <f>+IF(AND(C149&gt;"",ISERR(FIND("DKK",A147))),A147,B147)</f>
        <v>Zabór</v>
      </c>
    </row>
    <row r="150" spans="1:9">
      <c r="A150" t="s">
        <v>7881</v>
      </c>
      <c r="B150" t="str">
        <f t="shared" si="13"/>
        <v>Zabór</v>
      </c>
    </row>
    <row r="151" spans="1:9">
      <c r="A151" t="s">
        <v>7882</v>
      </c>
      <c r="B151" t="str">
        <f t="shared" si="13"/>
        <v>Zabór</v>
      </c>
    </row>
    <row r="152" spans="1:9">
      <c r="A152" t="s">
        <v>7883</v>
      </c>
      <c r="B152" t="str">
        <f t="shared" si="13"/>
        <v>Zabór</v>
      </c>
    </row>
    <row r="153" spans="1:9">
      <c r="A153" t="s">
        <v>7884</v>
      </c>
      <c r="B153" t="str">
        <f t="shared" si="13"/>
        <v>Zabór</v>
      </c>
      <c r="C153" t="str">
        <f t="shared" ref="C153:C238" si="14">IF(ISERR(FIND($C$1,A153,1)),"",A153)</f>
        <v/>
      </c>
      <c r="D153" t="str">
        <f t="shared" ref="D153:D281" si="15">IF(C153&gt;"",A154,"")</f>
        <v/>
      </c>
      <c r="E153" t="str">
        <f>IF(C153&gt;"",A158,"")</f>
        <v/>
      </c>
      <c r="F153" t="str">
        <f>IF(E153&gt;"",MID(A159,FIND("tel.",A159)+4,15),"")</f>
        <v/>
      </c>
      <c r="G153" t="str">
        <f>IF(E153&gt;"",MID(A167,FIND(":",A167)+2,60),"")</f>
        <v/>
      </c>
      <c r="H153" t="str">
        <f>IF(E153&gt;"",MID(A168,FIND("e-mail:",A168)+8,100),"")</f>
        <v/>
      </c>
      <c r="I153" t="str">
        <f>IF(E153&gt;"",IF(ISERR(FIND("DKK",A172)),"",A172),"")</f>
        <v/>
      </c>
    </row>
    <row r="154" spans="1:9">
      <c r="A154" t="s">
        <v>7885</v>
      </c>
      <c r="B154" t="str">
        <f t="shared" si="13"/>
        <v>Zabór</v>
      </c>
      <c r="C154" t="str">
        <f t="shared" si="14"/>
        <v/>
      </c>
      <c r="D154" t="str">
        <f>IF(C154&gt;"",A158,"")</f>
        <v/>
      </c>
      <c r="E154" t="str">
        <f>IF(C154&gt;"",A159,"")</f>
        <v/>
      </c>
      <c r="F154" t="str">
        <f>IF(E154&gt;"",MID(A167,FIND("tel.",A167)+4,15),"")</f>
        <v/>
      </c>
      <c r="G154" t="str">
        <f>IF(E154&gt;"",MID(A168,FIND(":",A168)+2,60),"")</f>
        <v/>
      </c>
      <c r="H154" t="str">
        <f>IF(E154&gt;"",MID(A172,FIND("e-mail:",A172)+8,100),"")</f>
        <v/>
      </c>
      <c r="I154" t="str">
        <f>IF(E154&gt;"",IF(ISERR(FIND("DKK",A174)),"",A174),"")</f>
        <v/>
      </c>
    </row>
    <row r="155" spans="1:9">
      <c r="A155" t="s">
        <v>7886</v>
      </c>
      <c r="B155" t="str">
        <f t="shared" si="13"/>
        <v>Zabór</v>
      </c>
    </row>
    <row r="156" spans="1:9">
      <c r="B156" t="str">
        <f t="shared" si="13"/>
        <v>Zabór</v>
      </c>
    </row>
    <row r="157" spans="1:9">
      <c r="B157" t="str">
        <f t="shared" si="13"/>
        <v>Zabór</v>
      </c>
    </row>
    <row r="158" spans="1:9">
      <c r="B158" t="str">
        <f t="shared" si="13"/>
        <v>Zabór</v>
      </c>
      <c r="C158" t="str">
        <f t="shared" si="14"/>
        <v/>
      </c>
      <c r="D158" t="str">
        <f t="shared" si="15"/>
        <v/>
      </c>
      <c r="E158" t="str">
        <f>IF(C158&gt;"",A167,"")</f>
        <v/>
      </c>
      <c r="F158" t="str">
        <f>IF(E158&gt;"",MID(A168,FIND("tel.",A168)+4,15),"")</f>
        <v/>
      </c>
      <c r="G158" t="str">
        <f>IF(E158&gt;"",MID(A172,FIND(":",A172)+2,60),"")</f>
        <v/>
      </c>
      <c r="H158" t="str">
        <f>IF(E158&gt;"",MID(A174,FIND("e-mail:",A174)+8,100),"")</f>
        <v/>
      </c>
      <c r="I158" t="str">
        <f>IF(E158&gt;"",IF(ISERR(FIND("DKK",A175)),"",A175),"")</f>
        <v/>
      </c>
    </row>
    <row r="159" spans="1:9">
      <c r="B159" t="str">
        <f t="shared" si="13"/>
        <v>Zabór</v>
      </c>
      <c r="C159" t="str">
        <f t="shared" si="14"/>
        <v/>
      </c>
      <c r="D159" t="str">
        <f>IF(C159&gt;"",A167,"")</f>
        <v/>
      </c>
      <c r="E159" t="str">
        <f>IF(C159&gt;"",A168,"")</f>
        <v/>
      </c>
      <c r="F159" t="str">
        <f>IF(E159&gt;"",MID(A172,FIND("tel.",A172)+4,15),"")</f>
        <v/>
      </c>
      <c r="G159" t="str">
        <f>IF(E159&gt;"",MID(A174,FIND(":",A174)+2,60),"")</f>
        <v/>
      </c>
      <c r="H159" t="str">
        <f>IF(E159&gt;"",MID(A175,FIND("e-mail:",A175)+8,100),"")</f>
        <v/>
      </c>
      <c r="I159" t="str">
        <f>IF(E159&gt;"",IF(ISERR(FIND("DKK",A176)),"",A176),"")</f>
        <v/>
      </c>
    </row>
    <row r="160" spans="1:9">
      <c r="B160" t="str">
        <f t="shared" si="13"/>
        <v>Zabór</v>
      </c>
    </row>
    <row r="161" spans="2:10">
      <c r="B161" t="str">
        <f t="shared" si="13"/>
        <v>Zabór</v>
      </c>
    </row>
    <row r="162" spans="2:10">
      <c r="B162" t="str">
        <f t="shared" si="13"/>
        <v>Zabór</v>
      </c>
    </row>
    <row r="163" spans="2:10">
      <c r="B163" t="str">
        <f t="shared" si="13"/>
        <v>Zabór</v>
      </c>
    </row>
    <row r="164" spans="2:10">
      <c r="B164" t="str">
        <f t="shared" si="13"/>
        <v>Zabór</v>
      </c>
    </row>
    <row r="165" spans="2:10">
      <c r="B165" t="str">
        <f t="shared" si="13"/>
        <v>Zabór</v>
      </c>
    </row>
    <row r="166" spans="2:10">
      <c r="B166" t="str">
        <f t="shared" si="13"/>
        <v>Zabór</v>
      </c>
    </row>
    <row r="167" spans="2:10">
      <c r="B167" t="str">
        <f t="shared" si="13"/>
        <v>Zabór</v>
      </c>
      <c r="C167" t="str">
        <f t="shared" si="14"/>
        <v/>
      </c>
      <c r="D167" t="str">
        <f t="shared" si="15"/>
        <v/>
      </c>
      <c r="E167" t="str">
        <f>IF(C167&gt;"",A172,"")</f>
        <v/>
      </c>
      <c r="F167" t="str">
        <f>IF(E167&gt;"",MID(A174,FIND("tel.",A174)+4,15),"")</f>
        <v/>
      </c>
      <c r="G167" t="str">
        <f>IF(E167&gt;"",MID(A175,FIND(":",A175)+2,60),"")</f>
        <v/>
      </c>
      <c r="H167" t="str">
        <f>IF(E167&gt;"",MID(A176,FIND("e-mail:",A176)+8,100),"")</f>
        <v/>
      </c>
      <c r="I167" t="str">
        <f>IF(E167&gt;"",IF(ISERR(FIND("DKK",A181)),"",A181),"")</f>
        <v/>
      </c>
    </row>
    <row r="168" spans="2:10">
      <c r="B168" t="str">
        <f t="shared" si="13"/>
        <v>Zabór</v>
      </c>
      <c r="C168" t="str">
        <f t="shared" si="14"/>
        <v/>
      </c>
      <c r="D168" t="str">
        <f>IF(C168&gt;"",A172,"")</f>
        <v/>
      </c>
      <c r="E168" t="str">
        <f>IF(C168&gt;"",A174,"")</f>
        <v/>
      </c>
      <c r="F168" t="str">
        <f>IF(E168&gt;"",MID(A175,FIND("tel.",A175)+4,15),"")</f>
        <v/>
      </c>
      <c r="G168" t="str">
        <f>IF(E168&gt;"",MID(A176,FIND(":",A176)+2,60),"")</f>
        <v/>
      </c>
      <c r="H168" t="str">
        <f>IF(E168&gt;"",MID(A181,FIND("e-mail:",A181)+8,100),"")</f>
        <v/>
      </c>
      <c r="I168" t="str">
        <f>IF(E168&gt;"",IF(ISERR(FIND("DKK",A187)),"",A187),"")</f>
        <v/>
      </c>
      <c r="J168" t="str">
        <f>IF(E168&gt;"",IF(ISERR(FIND("DKK",A218)),"",A218),"")</f>
        <v/>
      </c>
    </row>
    <row r="169" spans="2:10">
      <c r="B169" t="str">
        <f t="shared" si="13"/>
        <v>Zabór</v>
      </c>
    </row>
    <row r="170" spans="2:10">
      <c r="B170" t="str">
        <f t="shared" si="13"/>
        <v>Zabór</v>
      </c>
    </row>
    <row r="171" spans="2:10">
      <c r="B171" t="str">
        <f t="shared" si="13"/>
        <v>Zabór</v>
      </c>
    </row>
    <row r="172" spans="2:10">
      <c r="B172" t="str">
        <f t="shared" si="13"/>
        <v>Zabór</v>
      </c>
      <c r="C172" t="str">
        <f t="shared" si="14"/>
        <v/>
      </c>
      <c r="D172" t="str">
        <f>IF(C172&gt;"",A174,"")</f>
        <v/>
      </c>
      <c r="E172" t="str">
        <f>IF(C172&gt;"",A175,"")</f>
        <v/>
      </c>
      <c r="F172" t="str">
        <f>IF(E172&gt;"",MID(A176,FIND("tel.",A176)+4,15),"")</f>
        <v/>
      </c>
      <c r="G172" t="str">
        <f>IF(E172&gt;"",MID(A181,FIND(":",A181)+2,60),"")</f>
        <v/>
      </c>
      <c r="H172" t="str">
        <f>IF(E172&gt;"",MID(A187,FIND("e-mail:",A187)+8,100),"")</f>
        <v/>
      </c>
      <c r="I172" t="str">
        <f>IF(E172&gt;"",IF(ISERR(FIND("DKK",A188)),"",A188),"")</f>
        <v/>
      </c>
    </row>
    <row r="173" spans="2:10">
      <c r="B173" t="str">
        <f t="shared" ref="B173:B236" si="16">+IF(AND(C173&gt;"",ISERR(FIND("DKK",A172))),A172,B172)</f>
        <v>Zabór</v>
      </c>
    </row>
    <row r="174" spans="2:10">
      <c r="B174" t="str">
        <f t="shared" si="16"/>
        <v>Zabór</v>
      </c>
      <c r="C174" t="str">
        <f t="shared" si="14"/>
        <v/>
      </c>
      <c r="D174" t="str">
        <f t="shared" si="15"/>
        <v/>
      </c>
      <c r="E174" t="str">
        <f t="shared" ref="E174:E281" si="17">IF(C174&gt;"",A176,"")</f>
        <v/>
      </c>
      <c r="F174" t="str">
        <f>IF(E174&gt;"",MID(A181,FIND("tel.",A181)+4,15),"")</f>
        <v/>
      </c>
      <c r="G174" t="str">
        <f>IF(E174&gt;"",MID(A187,FIND(":",A187)+2,60),"")</f>
        <v/>
      </c>
      <c r="H174" t="str">
        <f>IF(E174&gt;"",MID(A188,FIND("e-mail:",A188)+8,100),"")</f>
        <v/>
      </c>
      <c r="I174" t="str">
        <f>IF(E174&gt;"",IF(ISERR(FIND("DKK",A193)),"",A193),"")</f>
        <v/>
      </c>
    </row>
    <row r="175" spans="2:10">
      <c r="B175" t="str">
        <f t="shared" si="16"/>
        <v>Zabór</v>
      </c>
      <c r="C175" t="str">
        <f t="shared" si="14"/>
        <v/>
      </c>
      <c r="D175" t="str">
        <f t="shared" si="15"/>
        <v/>
      </c>
      <c r="E175" t="str">
        <f>IF(C175&gt;"",A181,"")</f>
        <v/>
      </c>
      <c r="F175" t="str">
        <f>IF(E175&gt;"",MID(A187,FIND("tel.",A187)+4,15),"")</f>
        <v/>
      </c>
      <c r="G175" t="str">
        <f>IF(E175&gt;"",MID(A188,FIND(":",A188)+2,60),"")</f>
        <v/>
      </c>
      <c r="H175" t="str">
        <f>IF(E175&gt;"",MID(A193,FIND("e-mail:",A193)+8,100),"")</f>
        <v/>
      </c>
      <c r="I175" t="str">
        <f>IF(E175&gt;"",IF(ISERR(FIND("DKK",A194)),"",A194),"")</f>
        <v/>
      </c>
    </row>
    <row r="176" spans="2:10">
      <c r="B176" t="str">
        <f t="shared" si="16"/>
        <v>Zabór</v>
      </c>
      <c r="C176" t="str">
        <f t="shared" si="14"/>
        <v/>
      </c>
      <c r="D176" t="str">
        <f>IF(C176&gt;"",A181,"")</f>
        <v/>
      </c>
      <c r="E176" t="str">
        <f>IF(C176&gt;"",A187,"")</f>
        <v/>
      </c>
      <c r="F176" t="str">
        <f>IF(E176&gt;"",MID(A188,FIND("tel.",A188)+4,15),"")</f>
        <v/>
      </c>
      <c r="G176" t="str">
        <f>IF(E176&gt;"",MID(A193,FIND(":",A193)+2,60),"")</f>
        <v/>
      </c>
      <c r="H176" t="str">
        <f>IF(E176&gt;"",MID(A194,FIND("e-mail:",A194)+8,100),"")</f>
        <v/>
      </c>
      <c r="I176" t="str">
        <f>IF(E176&gt;"",IF(ISERR(FIND("DKK",A196)),"",A196),"")</f>
        <v/>
      </c>
    </row>
    <row r="177" spans="2:9">
      <c r="B177" t="str">
        <f t="shared" si="16"/>
        <v>Zabór</v>
      </c>
    </row>
    <row r="178" spans="2:9">
      <c r="B178" t="str">
        <f t="shared" si="16"/>
        <v>Zabór</v>
      </c>
    </row>
    <row r="179" spans="2:9">
      <c r="B179" t="str">
        <f t="shared" si="16"/>
        <v>Zabór</v>
      </c>
    </row>
    <row r="180" spans="2:9">
      <c r="B180" t="str">
        <f t="shared" si="16"/>
        <v>Zabór</v>
      </c>
    </row>
    <row r="181" spans="2:9">
      <c r="B181" t="str">
        <f t="shared" si="16"/>
        <v>Zabór</v>
      </c>
      <c r="C181" t="str">
        <f t="shared" si="14"/>
        <v/>
      </c>
      <c r="D181" t="str">
        <f>IF(C181&gt;"",A187,"")</f>
        <v/>
      </c>
      <c r="E181" t="str">
        <f>IF(C181&gt;"",A188,"")</f>
        <v/>
      </c>
      <c r="F181" t="str">
        <f>IF(E181&gt;"",MID(A193,FIND("tel.",A193)+4,15),"")</f>
        <v/>
      </c>
      <c r="G181" t="str">
        <f>IF(E181&gt;"",MID(A194,FIND(":",A194)+2,60),"")</f>
        <v/>
      </c>
      <c r="H181" t="str">
        <f>IF(E181&gt;"",MID(A196,FIND("e-mail:",A196)+8,100),"")</f>
        <v/>
      </c>
      <c r="I181" t="str">
        <f>IF(E181&gt;"",IF(ISERR(FIND("DKK",A197)),"",A197),"")</f>
        <v/>
      </c>
    </row>
    <row r="182" spans="2:9">
      <c r="B182" t="str">
        <f t="shared" si="16"/>
        <v>Zabór</v>
      </c>
    </row>
    <row r="183" spans="2:9">
      <c r="B183" t="str">
        <f t="shared" si="16"/>
        <v>Zabór</v>
      </c>
    </row>
    <row r="184" spans="2:9">
      <c r="B184" t="str">
        <f t="shared" si="16"/>
        <v>Zabór</v>
      </c>
    </row>
    <row r="185" spans="2:9">
      <c r="B185" t="str">
        <f t="shared" si="16"/>
        <v>Zabór</v>
      </c>
    </row>
    <row r="186" spans="2:9">
      <c r="B186" t="str">
        <f t="shared" si="16"/>
        <v>Zabór</v>
      </c>
    </row>
    <row r="187" spans="2:9">
      <c r="B187" t="str">
        <f t="shared" si="16"/>
        <v>Zabór</v>
      </c>
      <c r="C187" t="str">
        <f t="shared" si="14"/>
        <v/>
      </c>
      <c r="D187" t="str">
        <f t="shared" si="15"/>
        <v/>
      </c>
      <c r="E187" t="str">
        <f>IF(C187&gt;"",A193,"")</f>
        <v/>
      </c>
      <c r="F187" t="str">
        <f>IF(E187&gt;"",MID(A194,FIND("tel.",A194)+4,15),"")</f>
        <v/>
      </c>
      <c r="G187" t="str">
        <f>IF(E187&gt;"",MID(A196,FIND(":",A196)+2,60),"")</f>
        <v/>
      </c>
      <c r="H187" t="str">
        <f>IF(E187&gt;"",MID(A197,FIND("e-mail:",A197)+8,100),"")</f>
        <v/>
      </c>
      <c r="I187" t="str">
        <f>IF(E187&gt;"",IF(ISERR(FIND("DKK",A198)),"",A198),"")</f>
        <v/>
      </c>
    </row>
    <row r="188" spans="2:9">
      <c r="B188" t="str">
        <f t="shared" si="16"/>
        <v>Zabór</v>
      </c>
      <c r="C188" t="str">
        <f t="shared" si="14"/>
        <v/>
      </c>
      <c r="D188" t="str">
        <f>IF(C188&gt;"",A193,"")</f>
        <v/>
      </c>
      <c r="E188" t="str">
        <f>IF(C188&gt;"",A194,"")</f>
        <v/>
      </c>
      <c r="F188" t="str">
        <f>IF(E188&gt;"",MID(A196,FIND("tel.",A196)+4,15),"")</f>
        <v/>
      </c>
      <c r="G188" t="str">
        <f>IF(E188&gt;"",MID(A197,FIND(":",A197)+2,60),"")</f>
        <v/>
      </c>
      <c r="H188" t="str">
        <f>IF(E188&gt;"",MID(A198,FIND("e-mail:",A198)+8,100),"")</f>
        <v/>
      </c>
      <c r="I188" t="str">
        <f>IF(E188&gt;"",IF(ISERR(FIND("DKK",A199)),"",A199),"")</f>
        <v/>
      </c>
    </row>
    <row r="189" spans="2:9">
      <c r="B189" t="str">
        <f t="shared" si="16"/>
        <v>Zabór</v>
      </c>
    </row>
    <row r="190" spans="2:9">
      <c r="B190" t="str">
        <f t="shared" si="16"/>
        <v>Zabór</v>
      </c>
    </row>
    <row r="191" spans="2:9">
      <c r="B191" t="str">
        <f t="shared" si="16"/>
        <v>Zabór</v>
      </c>
    </row>
    <row r="192" spans="2:9">
      <c r="B192" t="str">
        <f t="shared" si="16"/>
        <v>Zabór</v>
      </c>
    </row>
    <row r="193" spans="2:10">
      <c r="B193" t="str">
        <f t="shared" si="16"/>
        <v>Zabór</v>
      </c>
      <c r="C193" t="str">
        <f t="shared" si="14"/>
        <v/>
      </c>
      <c r="D193" t="str">
        <f t="shared" si="15"/>
        <v/>
      </c>
      <c r="E193" t="str">
        <f>IF(C193&gt;"",A196,"")</f>
        <v/>
      </c>
      <c r="F193" t="str">
        <f>IF(E193&gt;"",MID(A197,FIND("tel.",A197)+4,15),"")</f>
        <v/>
      </c>
      <c r="G193" t="str">
        <f>IF(E193&gt;"",MID(A198,FIND(":",A198)+2,60),"")</f>
        <v/>
      </c>
      <c r="H193" t="str">
        <f>IF(E193&gt;"",MID(A199,FIND("e-mail:",A199)+8,100),"")</f>
        <v/>
      </c>
      <c r="I193" t="str">
        <f>IF(E193&gt;"",IF(ISERR(FIND("DKK",A200)),"",A200),"")</f>
        <v/>
      </c>
    </row>
    <row r="194" spans="2:10">
      <c r="B194" t="str">
        <f t="shared" si="16"/>
        <v>Zabór</v>
      </c>
      <c r="C194" t="str">
        <f t="shared" si="14"/>
        <v/>
      </c>
      <c r="D194" t="str">
        <f>IF(C194&gt;"",A196,"")</f>
        <v/>
      </c>
      <c r="E194" t="str">
        <f>IF(C194&gt;"",A197,"")</f>
        <v/>
      </c>
      <c r="F194" t="str">
        <f>IF(E194&gt;"",MID(A198,FIND("tel.",A198)+4,15),"")</f>
        <v/>
      </c>
      <c r="G194" t="str">
        <f>IF(E194&gt;"",MID(A199,FIND(":",A199)+2,60),"")</f>
        <v/>
      </c>
      <c r="H194" t="str">
        <f>IF(E194&gt;"",MID(A200,FIND("e-mail:",A200)+8,100),"")</f>
        <v/>
      </c>
      <c r="I194" t="str">
        <f>IF(E194&gt;"",IF(ISERR(FIND("DKK",A202)),"",A202),"")</f>
        <v/>
      </c>
    </row>
    <row r="195" spans="2:10">
      <c r="B195" t="str">
        <f t="shared" si="16"/>
        <v>Zabór</v>
      </c>
      <c r="C195" t="str">
        <f t="shared" si="14"/>
        <v/>
      </c>
    </row>
    <row r="196" spans="2:10">
      <c r="B196" t="str">
        <f t="shared" si="16"/>
        <v>Zabór</v>
      </c>
      <c r="C196" t="str">
        <f t="shared" si="14"/>
        <v/>
      </c>
      <c r="D196" t="str">
        <f t="shared" si="15"/>
        <v/>
      </c>
      <c r="E196" t="str">
        <f t="shared" si="17"/>
        <v/>
      </c>
      <c r="F196" t="str">
        <f t="shared" ref="F196:F281" si="18">IF(E196&gt;"",MID(A199,FIND("tel.",A199)+4,15),"")</f>
        <v/>
      </c>
      <c r="G196" t="str">
        <f t="shared" ref="G196:G207" si="19">IF(E196&gt;"",MID(A200,FIND(":",A200)+2,60),"")</f>
        <v/>
      </c>
      <c r="H196" t="str">
        <f>IF(E196&gt;"",MID(A202,FIND("e-mail:",A202)+8,100),"")</f>
        <v/>
      </c>
      <c r="I196" t="str">
        <f>IF(E196&gt;"",IF(ISERR(FIND("DKK",A204)),"",A204),"")</f>
        <v/>
      </c>
    </row>
    <row r="197" spans="2:10">
      <c r="B197" t="str">
        <f t="shared" si="16"/>
        <v>Zabór</v>
      </c>
      <c r="C197" t="str">
        <f t="shared" si="14"/>
        <v/>
      </c>
      <c r="D197" t="str">
        <f t="shared" si="15"/>
        <v/>
      </c>
      <c r="E197" t="str">
        <f t="shared" si="17"/>
        <v/>
      </c>
      <c r="F197" t="str">
        <f t="shared" si="18"/>
        <v/>
      </c>
      <c r="G197" t="str">
        <f>IF(E197&gt;"",MID(A202,FIND(":",A202)+2,60),"")</f>
        <v/>
      </c>
      <c r="H197" t="str">
        <f>IF(E197&gt;"",MID(A204,FIND("e-mail:",A204)+8,100),"")</f>
        <v/>
      </c>
      <c r="I197" t="str">
        <f>IF(E197&gt;"",IF(ISERR(FIND("DKK",A205)),"",A205),"")</f>
        <v/>
      </c>
    </row>
    <row r="198" spans="2:10">
      <c r="B198" t="str">
        <f t="shared" si="16"/>
        <v>Zabór</v>
      </c>
      <c r="C198" t="str">
        <f t="shared" si="14"/>
        <v/>
      </c>
      <c r="D198" t="str">
        <f t="shared" si="15"/>
        <v/>
      </c>
      <c r="E198" t="str">
        <f t="shared" si="17"/>
        <v/>
      </c>
      <c r="F198" t="str">
        <f>IF(E198&gt;"",MID(A202,FIND("tel.",A202)+4,15),"")</f>
        <v/>
      </c>
      <c r="G198" t="str">
        <f>IF(E198&gt;"",MID(A204,FIND(":",A204)+2,60),"")</f>
        <v/>
      </c>
      <c r="H198" t="str">
        <f>IF(E198&gt;"",MID(A205,FIND("e-mail:",A205)+8,100),"")</f>
        <v/>
      </c>
      <c r="I198" t="str">
        <f>IF(E198&gt;"",IF(ISERR(FIND("DKK",A206)),"",A206),"")</f>
        <v/>
      </c>
      <c r="J198" t="str">
        <f>IF(E198&gt;"",IF(ISERR(FIND("DKK",A219)),"",A219),"")</f>
        <v/>
      </c>
    </row>
    <row r="199" spans="2:10">
      <c r="B199" t="str">
        <f t="shared" si="16"/>
        <v>Zabór</v>
      </c>
      <c r="C199" t="str">
        <f t="shared" si="14"/>
        <v/>
      </c>
      <c r="D199" t="str">
        <f t="shared" si="15"/>
        <v/>
      </c>
      <c r="E199" t="str">
        <f>IF(C199&gt;"",A202,"")</f>
        <v/>
      </c>
      <c r="F199" t="str">
        <f>IF(E199&gt;"",MID(A204,FIND("tel.",A204)+4,15),"")</f>
        <v/>
      </c>
      <c r="G199" t="str">
        <f>IF(E199&gt;"",MID(A205,FIND(":",A205)+2,60),"")</f>
        <v/>
      </c>
      <c r="H199" t="str">
        <f>IF(E199&gt;"",MID(A206,FIND("e-mail:",A206)+8,100),"")</f>
        <v/>
      </c>
      <c r="I199" t="str">
        <f>IF(E199&gt;"",IF(ISERR(FIND("DKK",A207)),"",A207),"")</f>
        <v/>
      </c>
    </row>
    <row r="200" spans="2:10">
      <c r="B200" t="str">
        <f t="shared" si="16"/>
        <v>Zabór</v>
      </c>
      <c r="C200" t="str">
        <f t="shared" si="14"/>
        <v/>
      </c>
      <c r="D200" t="str">
        <f>IF(C200&gt;"",A202,"")</f>
        <v/>
      </c>
      <c r="E200" t="str">
        <f>IF(C200&gt;"",A204,"")</f>
        <v/>
      </c>
      <c r="F200" t="str">
        <f>IF(E200&gt;"",MID(A205,FIND("tel.",A205)+4,15),"")</f>
        <v/>
      </c>
      <c r="G200" t="str">
        <f>IF(E200&gt;"",MID(A206,FIND(":",A206)+2,60),"")</f>
        <v/>
      </c>
      <c r="H200" t="str">
        <f>IF(E200&gt;"",MID(A207,FIND("e-mail:",A207)+8,100),"")</f>
        <v/>
      </c>
      <c r="I200" t="str">
        <f>IF(E200&gt;"",IF(ISERR(FIND("DKK",A208)),"",A208),"")</f>
        <v/>
      </c>
    </row>
    <row r="201" spans="2:10">
      <c r="B201" t="str">
        <f t="shared" si="16"/>
        <v>Zabór</v>
      </c>
      <c r="C201" t="str">
        <f t="shared" si="14"/>
        <v/>
      </c>
    </row>
    <row r="202" spans="2:10">
      <c r="B202" t="str">
        <f t="shared" si="16"/>
        <v>Zabór</v>
      </c>
      <c r="C202" t="str">
        <f t="shared" si="14"/>
        <v/>
      </c>
      <c r="D202" t="str">
        <f>IF(C202&gt;"",A204,"")</f>
        <v/>
      </c>
      <c r="E202" t="str">
        <f>IF(C202&gt;"",A205,"")</f>
        <v/>
      </c>
      <c r="F202" t="str">
        <f>IF(E202&gt;"",MID(A206,FIND("tel.",A206)+4,15),"")</f>
        <v/>
      </c>
      <c r="G202" t="str">
        <f>IF(E202&gt;"",MID(A207,FIND(":",A207)+2,60),"")</f>
        <v/>
      </c>
      <c r="H202" t="str">
        <f>IF(E202&gt;"",MID(A208,FIND("e-mail:",A208)+8,100),"")</f>
        <v/>
      </c>
      <c r="I202" t="str">
        <f>IF(E202&gt;"",IF(ISERR(FIND("DKK",A209)),"",A209),"")</f>
        <v/>
      </c>
    </row>
    <row r="203" spans="2:10">
      <c r="B203" t="str">
        <f t="shared" si="16"/>
        <v>Zabór</v>
      </c>
      <c r="C203" t="str">
        <f t="shared" si="14"/>
        <v/>
      </c>
    </row>
    <row r="204" spans="2:10">
      <c r="B204" t="str">
        <f t="shared" si="16"/>
        <v>Zabór</v>
      </c>
      <c r="C204" t="str">
        <f t="shared" si="14"/>
        <v/>
      </c>
      <c r="D204" t="str">
        <f t="shared" si="15"/>
        <v/>
      </c>
      <c r="E204" t="str">
        <f t="shared" si="17"/>
        <v/>
      </c>
      <c r="F204" t="str">
        <f t="shared" si="18"/>
        <v/>
      </c>
      <c r="G204" t="str">
        <f t="shared" si="19"/>
        <v/>
      </c>
      <c r="H204" t="str">
        <f t="shared" ref="H204:H206" si="20">IF(E204&gt;"",MID(A209,FIND("e-mail:",A209)+8,100),"")</f>
        <v/>
      </c>
      <c r="I204" t="str">
        <f t="shared" ref="I204:I205" si="21">IF(E204&gt;"",IF(ISERR(FIND("DKK",A210)),"",A210),"")</f>
        <v/>
      </c>
    </row>
    <row r="205" spans="2:10">
      <c r="B205" t="str">
        <f t="shared" si="16"/>
        <v>Zabór</v>
      </c>
      <c r="C205" t="str">
        <f t="shared" si="14"/>
        <v/>
      </c>
      <c r="D205" t="str">
        <f t="shared" si="15"/>
        <v/>
      </c>
      <c r="E205" t="str">
        <f t="shared" si="17"/>
        <v/>
      </c>
      <c r="F205" t="str">
        <f t="shared" si="18"/>
        <v/>
      </c>
      <c r="G205" t="str">
        <f t="shared" si="19"/>
        <v/>
      </c>
      <c r="H205" t="str">
        <f t="shared" si="20"/>
        <v/>
      </c>
      <c r="I205" t="str">
        <f t="shared" si="21"/>
        <v/>
      </c>
    </row>
    <row r="206" spans="2:10">
      <c r="B206" t="str">
        <f t="shared" si="16"/>
        <v>Zabór</v>
      </c>
      <c r="C206" t="str">
        <f t="shared" si="14"/>
        <v/>
      </c>
      <c r="D206" t="str">
        <f t="shared" si="15"/>
        <v/>
      </c>
      <c r="E206" t="str">
        <f t="shared" si="17"/>
        <v/>
      </c>
      <c r="F206" t="str">
        <f t="shared" si="18"/>
        <v/>
      </c>
      <c r="G206" t="str">
        <f t="shared" si="19"/>
        <v/>
      </c>
      <c r="H206" t="str">
        <f t="shared" si="20"/>
        <v/>
      </c>
      <c r="I206" t="str">
        <f t="shared" ref="I206:I211" si="22">IF(E206&gt;"",IF(ISERR(FIND("DKK",A213)),"",A213),"")</f>
        <v/>
      </c>
    </row>
    <row r="207" spans="2:10">
      <c r="B207" t="str">
        <f t="shared" si="16"/>
        <v>Zabór</v>
      </c>
      <c r="C207" t="str">
        <f t="shared" si="14"/>
        <v/>
      </c>
      <c r="D207" t="str">
        <f t="shared" si="15"/>
        <v/>
      </c>
      <c r="E207" t="str">
        <f t="shared" si="17"/>
        <v/>
      </c>
      <c r="F207" t="str">
        <f t="shared" si="18"/>
        <v/>
      </c>
      <c r="G207" t="str">
        <f t="shared" si="19"/>
        <v/>
      </c>
      <c r="H207" t="str">
        <f>IF(E207&gt;"",MID(A213,FIND("e-mail:",A213)+8,100),"")</f>
        <v/>
      </c>
      <c r="I207" t="str">
        <f t="shared" si="22"/>
        <v/>
      </c>
      <c r="J207" t="str">
        <f>IF(E207&gt;"",IF(ISERR(FIND("DKK",A220)),"",A220),"")</f>
        <v/>
      </c>
    </row>
    <row r="208" spans="2:10">
      <c r="B208" t="str">
        <f t="shared" si="16"/>
        <v>Zabór</v>
      </c>
      <c r="C208" t="str">
        <f t="shared" si="14"/>
        <v/>
      </c>
      <c r="D208" t="str">
        <f t="shared" si="15"/>
        <v/>
      </c>
      <c r="E208" t="str">
        <f t="shared" si="17"/>
        <v/>
      </c>
      <c r="F208" t="str">
        <f t="shared" si="18"/>
        <v/>
      </c>
      <c r="G208" t="str">
        <f>IF(E208&gt;"",MID(A213,FIND(":",A213)+2,60),"")</f>
        <v/>
      </c>
      <c r="H208" t="str">
        <f>IF(E208&gt;"",MID(A214,FIND("e-mail:",A214)+8,100),"")</f>
        <v/>
      </c>
      <c r="I208" t="str">
        <f t="shared" si="22"/>
        <v/>
      </c>
    </row>
    <row r="209" spans="2:10">
      <c r="B209" t="str">
        <f t="shared" si="16"/>
        <v>Zabór</v>
      </c>
      <c r="C209" t="str">
        <f t="shared" si="14"/>
        <v/>
      </c>
      <c r="D209" t="str">
        <f t="shared" si="15"/>
        <v/>
      </c>
      <c r="E209" t="str">
        <f t="shared" si="17"/>
        <v/>
      </c>
      <c r="F209" t="str">
        <f>IF(E209&gt;"",MID(A213,FIND("tel.",A213)+4,15),"")</f>
        <v/>
      </c>
      <c r="G209" t="str">
        <f>IF(E209&gt;"",MID(A214,FIND(":",A214)+2,60),"")</f>
        <v/>
      </c>
      <c r="H209" t="str">
        <f>IF(E209&gt;"",MID(A215,FIND("e-mail:",A215)+8,100),"")</f>
        <v/>
      </c>
      <c r="I209" t="str">
        <f t="shared" si="22"/>
        <v/>
      </c>
    </row>
    <row r="210" spans="2:10">
      <c r="B210" t="str">
        <f t="shared" si="16"/>
        <v>Zabór</v>
      </c>
      <c r="C210" t="str">
        <f t="shared" si="14"/>
        <v/>
      </c>
      <c r="D210" t="str">
        <f t="shared" si="15"/>
        <v/>
      </c>
      <c r="E210" t="str">
        <f>IF(C210&gt;"",A213,"")</f>
        <v/>
      </c>
      <c r="F210" t="str">
        <f>IF(E210&gt;"",MID(A214,FIND("tel.",A214)+4,15),"")</f>
        <v/>
      </c>
      <c r="G210" t="str">
        <f>IF(E210&gt;"",MID(A215,FIND(":",A215)+2,60),"")</f>
        <v/>
      </c>
      <c r="H210" t="str">
        <f>IF(E210&gt;"",MID(A216,FIND("e-mail:",A216)+8,100),"")</f>
        <v/>
      </c>
      <c r="I210" t="str">
        <f t="shared" si="22"/>
        <v/>
      </c>
    </row>
    <row r="211" spans="2:10">
      <c r="B211" t="str">
        <f t="shared" si="16"/>
        <v>Zabór</v>
      </c>
      <c r="C211" t="str">
        <f t="shared" si="14"/>
        <v/>
      </c>
      <c r="D211" t="str">
        <f>IF(C211&gt;"",A213,"")</f>
        <v/>
      </c>
      <c r="E211" t="str">
        <f>IF(C211&gt;"",A214,"")</f>
        <v/>
      </c>
      <c r="F211" t="str">
        <f>IF(E211&gt;"",MID(A215,FIND("tel.",A215)+4,15),"")</f>
        <v/>
      </c>
      <c r="G211" t="str">
        <f>IF(E211&gt;"",MID(A216,FIND(":",A216)+2,60),"")</f>
        <v/>
      </c>
      <c r="H211" t="str">
        <f>IF(E211&gt;"",MID(A217,FIND("e-mail:",A217)+8,100),"")</f>
        <v/>
      </c>
      <c r="I211" t="str">
        <f t="shared" si="22"/>
        <v/>
      </c>
    </row>
    <row r="212" spans="2:10">
      <c r="B212" t="str">
        <f t="shared" si="16"/>
        <v>Zabór</v>
      </c>
    </row>
    <row r="213" spans="2:10">
      <c r="B213" t="str">
        <f t="shared" si="16"/>
        <v>Zabór</v>
      </c>
      <c r="C213" t="str">
        <f t="shared" si="14"/>
        <v/>
      </c>
      <c r="D213" t="str">
        <f t="shared" si="15"/>
        <v/>
      </c>
      <c r="E213" t="str">
        <f t="shared" si="17"/>
        <v/>
      </c>
      <c r="F213" t="str">
        <f t="shared" si="18"/>
        <v/>
      </c>
      <c r="G213" t="str">
        <f t="shared" ref="G213:G226" si="23">IF(E213&gt;"",MID(A217,FIND(":",A217)+2,60),"")</f>
        <v/>
      </c>
      <c r="H213" t="str">
        <f t="shared" ref="H213:H225" si="24">IF(E213&gt;"",MID(A218,FIND("e-mail:",A218)+8,100),"")</f>
        <v/>
      </c>
      <c r="I213" t="str">
        <f t="shared" ref="I213:I224" si="25">IF(E213&gt;"",IF(ISERR(FIND("DKK",A219)),"",A219),"")</f>
        <v/>
      </c>
    </row>
    <row r="214" spans="2:10">
      <c r="B214" t="str">
        <f t="shared" si="16"/>
        <v>Zabór</v>
      </c>
      <c r="C214" t="str">
        <f t="shared" si="14"/>
        <v/>
      </c>
      <c r="D214" t="str">
        <f t="shared" si="15"/>
        <v/>
      </c>
      <c r="E214" t="str">
        <f t="shared" si="17"/>
        <v/>
      </c>
      <c r="F214" t="str">
        <f t="shared" si="18"/>
        <v/>
      </c>
      <c r="G214" t="str">
        <f t="shared" si="23"/>
        <v/>
      </c>
      <c r="H214" t="str">
        <f t="shared" si="24"/>
        <v/>
      </c>
      <c r="I214" t="str">
        <f t="shared" si="25"/>
        <v/>
      </c>
    </row>
    <row r="215" spans="2:10">
      <c r="B215" t="str">
        <f t="shared" si="16"/>
        <v>Zabór</v>
      </c>
      <c r="C215" t="str">
        <f t="shared" si="14"/>
        <v/>
      </c>
      <c r="D215" t="str">
        <f t="shared" si="15"/>
        <v/>
      </c>
      <c r="E215" t="str">
        <f t="shared" si="17"/>
        <v/>
      </c>
      <c r="F215" t="str">
        <f t="shared" si="18"/>
        <v/>
      </c>
      <c r="G215" t="str">
        <f t="shared" si="23"/>
        <v/>
      </c>
      <c r="H215" t="str">
        <f t="shared" si="24"/>
        <v/>
      </c>
      <c r="I215" t="str">
        <f t="shared" si="25"/>
        <v/>
      </c>
    </row>
    <row r="216" spans="2:10">
      <c r="B216" t="str">
        <f t="shared" si="16"/>
        <v>Zabór</v>
      </c>
      <c r="C216" t="str">
        <f t="shared" si="14"/>
        <v/>
      </c>
      <c r="D216" t="str">
        <f t="shared" si="15"/>
        <v/>
      </c>
      <c r="E216" t="str">
        <f t="shared" si="17"/>
        <v/>
      </c>
      <c r="F216" t="str">
        <f t="shared" si="18"/>
        <v/>
      </c>
      <c r="G216" t="str">
        <f t="shared" si="23"/>
        <v/>
      </c>
      <c r="H216" t="str">
        <f t="shared" si="24"/>
        <v/>
      </c>
      <c r="I216" t="str">
        <f t="shared" si="25"/>
        <v/>
      </c>
      <c r="J216" t="str">
        <f t="shared" ref="J216:J222" si="26">IF(E216&gt;"",IF(ISERR(FIND("DKK",A223)),"",A223),"")</f>
        <v/>
      </c>
    </row>
    <row r="217" spans="2:10">
      <c r="B217" t="str">
        <f t="shared" si="16"/>
        <v>Zabór</v>
      </c>
      <c r="C217" t="str">
        <f t="shared" si="14"/>
        <v/>
      </c>
      <c r="D217" t="str">
        <f t="shared" si="15"/>
        <v/>
      </c>
      <c r="E217" t="str">
        <f t="shared" si="17"/>
        <v/>
      </c>
      <c r="F217" t="str">
        <f t="shared" si="18"/>
        <v/>
      </c>
      <c r="G217" t="str">
        <f t="shared" si="23"/>
        <v/>
      </c>
      <c r="H217" t="str">
        <f t="shared" si="24"/>
        <v/>
      </c>
      <c r="I217" t="str">
        <f t="shared" si="25"/>
        <v/>
      </c>
      <c r="J217" t="str">
        <f t="shared" si="26"/>
        <v/>
      </c>
    </row>
    <row r="218" spans="2:10">
      <c r="B218" t="str">
        <f t="shared" si="16"/>
        <v>Zabór</v>
      </c>
      <c r="C218" t="str">
        <f t="shared" si="14"/>
        <v/>
      </c>
      <c r="D218" t="str">
        <f t="shared" si="15"/>
        <v/>
      </c>
      <c r="E218" t="str">
        <f t="shared" si="17"/>
        <v/>
      </c>
      <c r="F218" t="str">
        <f t="shared" si="18"/>
        <v/>
      </c>
      <c r="G218" t="str">
        <f t="shared" si="23"/>
        <v/>
      </c>
      <c r="H218" t="str">
        <f t="shared" si="24"/>
        <v/>
      </c>
      <c r="I218" t="str">
        <f t="shared" si="25"/>
        <v/>
      </c>
      <c r="J218" t="str">
        <f t="shared" si="26"/>
        <v/>
      </c>
    </row>
    <row r="219" spans="2:10">
      <c r="B219" t="str">
        <f t="shared" si="16"/>
        <v>Zabór</v>
      </c>
      <c r="C219" t="str">
        <f t="shared" si="14"/>
        <v/>
      </c>
      <c r="D219" t="str">
        <f t="shared" si="15"/>
        <v/>
      </c>
      <c r="E219" t="str">
        <f t="shared" si="17"/>
        <v/>
      </c>
      <c r="F219" t="str">
        <f t="shared" si="18"/>
        <v/>
      </c>
      <c r="G219" t="str">
        <f t="shared" si="23"/>
        <v/>
      </c>
      <c r="H219" t="str">
        <f t="shared" si="24"/>
        <v/>
      </c>
      <c r="I219" t="str">
        <f t="shared" si="25"/>
        <v/>
      </c>
      <c r="J219" t="str">
        <f t="shared" si="26"/>
        <v/>
      </c>
    </row>
    <row r="220" spans="2:10">
      <c r="B220" t="str">
        <f t="shared" si="16"/>
        <v>Zabór</v>
      </c>
      <c r="C220" t="str">
        <f t="shared" si="14"/>
        <v/>
      </c>
      <c r="D220" t="str">
        <f t="shared" si="15"/>
        <v/>
      </c>
      <c r="E220" t="str">
        <f t="shared" si="17"/>
        <v/>
      </c>
      <c r="F220" t="str">
        <f t="shared" si="18"/>
        <v/>
      </c>
      <c r="G220" t="str">
        <f t="shared" si="23"/>
        <v/>
      </c>
      <c r="H220" t="str">
        <f t="shared" si="24"/>
        <v/>
      </c>
      <c r="I220" t="str">
        <f t="shared" si="25"/>
        <v/>
      </c>
      <c r="J220" t="str">
        <f t="shared" si="26"/>
        <v/>
      </c>
    </row>
    <row r="221" spans="2:10">
      <c r="B221" t="str">
        <f t="shared" si="16"/>
        <v>Zabór</v>
      </c>
      <c r="C221" t="str">
        <f t="shared" si="14"/>
        <v/>
      </c>
      <c r="D221" t="str">
        <f t="shared" si="15"/>
        <v/>
      </c>
      <c r="E221" t="str">
        <f t="shared" si="17"/>
        <v/>
      </c>
      <c r="F221" t="str">
        <f t="shared" si="18"/>
        <v/>
      </c>
      <c r="G221" t="str">
        <f t="shared" si="23"/>
        <v/>
      </c>
      <c r="H221" t="str">
        <f t="shared" si="24"/>
        <v/>
      </c>
      <c r="I221" t="str">
        <f t="shared" si="25"/>
        <v/>
      </c>
      <c r="J221" t="str">
        <f t="shared" si="26"/>
        <v/>
      </c>
    </row>
    <row r="222" spans="2:10">
      <c r="B222" t="str">
        <f t="shared" si="16"/>
        <v>Zabór</v>
      </c>
      <c r="C222" t="str">
        <f t="shared" si="14"/>
        <v/>
      </c>
      <c r="D222" t="str">
        <f t="shared" si="15"/>
        <v/>
      </c>
      <c r="E222" t="str">
        <f t="shared" si="17"/>
        <v/>
      </c>
      <c r="F222" t="str">
        <f t="shared" si="18"/>
        <v/>
      </c>
      <c r="G222" t="str">
        <f t="shared" si="23"/>
        <v/>
      </c>
      <c r="H222" t="str">
        <f t="shared" si="24"/>
        <v/>
      </c>
      <c r="I222" t="str">
        <f t="shared" si="25"/>
        <v/>
      </c>
      <c r="J222" t="str">
        <f t="shared" si="26"/>
        <v/>
      </c>
    </row>
    <row r="223" spans="2:10">
      <c r="B223" t="str">
        <f t="shared" si="16"/>
        <v>Zabór</v>
      </c>
      <c r="C223" t="str">
        <f t="shared" si="14"/>
        <v/>
      </c>
      <c r="D223" t="str">
        <f t="shared" si="15"/>
        <v/>
      </c>
      <c r="E223" t="str">
        <f t="shared" si="17"/>
        <v/>
      </c>
      <c r="F223" t="str">
        <f t="shared" si="18"/>
        <v/>
      </c>
      <c r="G223" t="str">
        <f t="shared" si="23"/>
        <v/>
      </c>
      <c r="H223" t="str">
        <f t="shared" si="24"/>
        <v/>
      </c>
      <c r="I223" t="str">
        <f t="shared" si="25"/>
        <v/>
      </c>
      <c r="J223" t="str">
        <f>IF(E223&gt;"",IF(ISERR(FIND("DKK",A230)),"",A230),"")</f>
        <v/>
      </c>
    </row>
    <row r="224" spans="2:10">
      <c r="B224" t="str">
        <f t="shared" si="16"/>
        <v>Zabór</v>
      </c>
      <c r="C224" t="str">
        <f t="shared" si="14"/>
        <v/>
      </c>
      <c r="D224" t="str">
        <f t="shared" si="15"/>
        <v/>
      </c>
      <c r="E224" t="str">
        <f t="shared" si="17"/>
        <v/>
      </c>
      <c r="F224" t="str">
        <f t="shared" si="18"/>
        <v/>
      </c>
      <c r="G224" t="str">
        <f t="shared" si="23"/>
        <v/>
      </c>
      <c r="H224" t="str">
        <f t="shared" si="24"/>
        <v/>
      </c>
      <c r="I224" t="str">
        <f t="shared" si="25"/>
        <v/>
      </c>
      <c r="J224" t="str">
        <f>IF(E224&gt;"",IF(ISERR(FIND("DKK",A240)),"",A240),"")</f>
        <v/>
      </c>
    </row>
    <row r="225" spans="2:10">
      <c r="B225" t="str">
        <f t="shared" si="16"/>
        <v>Zabór</v>
      </c>
      <c r="C225" t="str">
        <f t="shared" si="14"/>
        <v/>
      </c>
      <c r="D225" t="str">
        <f t="shared" si="15"/>
        <v/>
      </c>
      <c r="E225" t="str">
        <f t="shared" si="17"/>
        <v/>
      </c>
      <c r="F225" t="str">
        <f t="shared" si="18"/>
        <v/>
      </c>
      <c r="G225" t="str">
        <f t="shared" si="23"/>
        <v/>
      </c>
      <c r="H225" t="str">
        <f t="shared" si="24"/>
        <v/>
      </c>
      <c r="I225" t="str">
        <f>IF(E225&gt;"",IF(ISERR(FIND("DKK",A240)),"",A240),"")</f>
        <v/>
      </c>
      <c r="J225" t="str">
        <f>IF(E225&gt;"",IF(ISERR(FIND("DKK",A254)),"",A254),"")</f>
        <v/>
      </c>
    </row>
    <row r="226" spans="2:10">
      <c r="B226" t="str">
        <f t="shared" si="16"/>
        <v>Zabór</v>
      </c>
      <c r="C226" t="str">
        <f t="shared" si="14"/>
        <v/>
      </c>
      <c r="D226" t="str">
        <f t="shared" si="15"/>
        <v/>
      </c>
      <c r="E226" t="str">
        <f t="shared" si="17"/>
        <v/>
      </c>
      <c r="F226" t="str">
        <f t="shared" si="18"/>
        <v/>
      </c>
      <c r="G226" t="str">
        <f t="shared" si="23"/>
        <v/>
      </c>
      <c r="H226" t="str">
        <f>IF(E226&gt;"",MID(A240,FIND("e-mail:",A240)+8,100),"")</f>
        <v/>
      </c>
      <c r="I226" t="str">
        <f>IF(E226&gt;"",IF(ISERR(FIND("DKK",A254)),"",A254),"")</f>
        <v/>
      </c>
      <c r="J226" t="str">
        <f>IF(E226&gt;"",IF(ISERR(FIND("DKK",A259)),"",A259),"")</f>
        <v/>
      </c>
    </row>
    <row r="227" spans="2:10">
      <c r="B227" t="str">
        <f t="shared" si="16"/>
        <v>Zabór</v>
      </c>
      <c r="C227" t="str">
        <f t="shared" si="14"/>
        <v/>
      </c>
      <c r="D227" t="str">
        <f t="shared" si="15"/>
        <v/>
      </c>
      <c r="E227" t="str">
        <f t="shared" si="17"/>
        <v/>
      </c>
      <c r="F227" t="str">
        <f t="shared" si="18"/>
        <v/>
      </c>
      <c r="G227" t="str">
        <f>IF(E227&gt;"",MID(A240,FIND(":",A240)+2,60),"")</f>
        <v/>
      </c>
      <c r="H227" t="str">
        <f>IF(E227&gt;"",MID(A254,FIND("e-mail:",A254)+8,100),"")</f>
        <v/>
      </c>
      <c r="I227" t="str">
        <f>IF(E227&gt;"",IF(ISERR(FIND("DKK",A259)),"",A259),"")</f>
        <v/>
      </c>
      <c r="J227" t="str">
        <f>IF(E227&gt;"",IF(ISERR(FIND("DKK",A260)),"",A260),"")</f>
        <v/>
      </c>
    </row>
    <row r="228" spans="2:10">
      <c r="B228" t="str">
        <f t="shared" si="16"/>
        <v>Zabór</v>
      </c>
      <c r="C228" t="str">
        <f t="shared" si="14"/>
        <v/>
      </c>
      <c r="D228" t="str">
        <f t="shared" si="15"/>
        <v/>
      </c>
      <c r="E228" t="str">
        <f t="shared" si="17"/>
        <v/>
      </c>
      <c r="F228" t="str">
        <f>IF(E228&gt;"",MID(A240,FIND("tel.",A240)+4,15),"")</f>
        <v/>
      </c>
      <c r="G228" t="str">
        <f>IF(E228&gt;"",MID(A254,FIND(":",A254)+2,60),"")</f>
        <v/>
      </c>
      <c r="H228" t="str">
        <f>IF(E228&gt;"",MID(A259,FIND("e-mail:",A259)+8,100),"")</f>
        <v/>
      </c>
      <c r="I228" t="str">
        <f>IF(E228&gt;"",IF(ISERR(FIND("DKK",A260)),"",A260),"")</f>
        <v/>
      </c>
      <c r="J228" t="str">
        <f>IF(E228&gt;"",IF(ISERR(FIND("DKK",A261)),"",A261),"")</f>
        <v/>
      </c>
    </row>
    <row r="229" spans="2:10">
      <c r="B229" t="str">
        <f t="shared" si="16"/>
        <v>Zabór</v>
      </c>
      <c r="C229" t="str">
        <f t="shared" si="14"/>
        <v/>
      </c>
      <c r="D229" t="str">
        <f t="shared" si="15"/>
        <v/>
      </c>
      <c r="E229" t="str">
        <f>IF(C229&gt;"",A240,"")</f>
        <v/>
      </c>
      <c r="F229" t="str">
        <f>IF(E229&gt;"",MID(A254,FIND("tel.",A254)+4,15),"")</f>
        <v/>
      </c>
      <c r="G229" t="str">
        <f>IF(E229&gt;"",MID(A259,FIND(":",A259)+2,60),"")</f>
        <v/>
      </c>
      <c r="H229" t="str">
        <f>IF(E229&gt;"",MID(A260,FIND("e-mail:",A260)+8,100),"")</f>
        <v/>
      </c>
      <c r="I229" t="str">
        <f>IF(E229&gt;"",IF(ISERR(FIND("DKK",A261)),"",A261),"")</f>
        <v/>
      </c>
      <c r="J229" t="str">
        <f>IF(E229&gt;"",IF(ISERR(FIND("DKK",A262)),"",A262),"")</f>
        <v/>
      </c>
    </row>
    <row r="230" spans="2:10">
      <c r="B230" t="str">
        <f t="shared" si="16"/>
        <v>Zabór</v>
      </c>
      <c r="C230" t="str">
        <f t="shared" si="14"/>
        <v/>
      </c>
      <c r="D230" t="str">
        <f>IF(C230&gt;"",A240,"")</f>
        <v/>
      </c>
      <c r="E230" t="str">
        <f>IF(C230&gt;"",A254,"")</f>
        <v/>
      </c>
      <c r="F230" t="str">
        <f>IF(E230&gt;"",MID(A259,FIND("tel.",A259)+4,15),"")</f>
        <v/>
      </c>
      <c r="G230" t="str">
        <f>IF(E230&gt;"",MID(A260,FIND(":",A260)+2,60),"")</f>
        <v/>
      </c>
      <c r="H230" t="str">
        <f>IF(E230&gt;"",MID(A261,FIND("e-mail:",A261)+8,100),"")</f>
        <v/>
      </c>
      <c r="I230" t="str">
        <f>IF(E230&gt;"",IF(ISERR(FIND("DKK",A262)),"",A262),"")</f>
        <v/>
      </c>
      <c r="J230" t="str">
        <f>IF(E230&gt;"",IF(ISERR(FIND("DKK",A263)),"",A263),"")</f>
        <v/>
      </c>
    </row>
    <row r="231" spans="2:10">
      <c r="B231" t="str">
        <f t="shared" si="16"/>
        <v>Zabór</v>
      </c>
      <c r="C231" t="str">
        <f t="shared" si="14"/>
        <v/>
      </c>
    </row>
    <row r="232" spans="2:10">
      <c r="B232" t="str">
        <f t="shared" si="16"/>
        <v>Zabór</v>
      </c>
      <c r="C232" t="str">
        <f t="shared" si="14"/>
        <v/>
      </c>
    </row>
    <row r="233" spans="2:10">
      <c r="B233" t="str">
        <f t="shared" si="16"/>
        <v>Zabór</v>
      </c>
      <c r="C233" t="str">
        <f t="shared" si="14"/>
        <v/>
      </c>
    </row>
    <row r="234" spans="2:10">
      <c r="B234" t="str">
        <f t="shared" si="16"/>
        <v>Zabór</v>
      </c>
      <c r="C234" t="str">
        <f t="shared" si="14"/>
        <v/>
      </c>
    </row>
    <row r="235" spans="2:10">
      <c r="B235" t="str">
        <f t="shared" si="16"/>
        <v>Zabór</v>
      </c>
      <c r="C235" t="str">
        <f t="shared" si="14"/>
        <v/>
      </c>
    </row>
    <row r="236" spans="2:10">
      <c r="B236" t="str">
        <f t="shared" si="16"/>
        <v>Zabór</v>
      </c>
      <c r="C236" t="str">
        <f t="shared" si="14"/>
        <v/>
      </c>
    </row>
    <row r="237" spans="2:10">
      <c r="B237" t="str">
        <f t="shared" ref="B237:B300" si="27">+IF(AND(C237&gt;"",ISERR(FIND("DKK",A236))),A236,B236)</f>
        <v>Zabór</v>
      </c>
      <c r="C237" t="str">
        <f t="shared" si="14"/>
        <v/>
      </c>
    </row>
    <row r="238" spans="2:10">
      <c r="B238" t="str">
        <f t="shared" si="27"/>
        <v>Zabór</v>
      </c>
      <c r="C238" t="str">
        <f t="shared" si="14"/>
        <v/>
      </c>
    </row>
    <row r="239" spans="2:10">
      <c r="B239" t="str">
        <f t="shared" si="27"/>
        <v>Zabór</v>
      </c>
      <c r="C239" t="str">
        <f t="shared" ref="C239:C282" si="28">IF(ISERR(FIND($C$1,A239,1)),"",A239)</f>
        <v/>
      </c>
    </row>
    <row r="240" spans="2:10">
      <c r="B240" t="str">
        <f t="shared" si="27"/>
        <v>Zabór</v>
      </c>
      <c r="C240" t="str">
        <f t="shared" si="28"/>
        <v/>
      </c>
    </row>
    <row r="241" spans="2:10">
      <c r="B241" t="str">
        <f t="shared" si="27"/>
        <v>Zabór</v>
      </c>
      <c r="C241" t="str">
        <f t="shared" si="28"/>
        <v/>
      </c>
    </row>
    <row r="242" spans="2:10">
      <c r="B242" t="str">
        <f t="shared" si="27"/>
        <v>Zabór</v>
      </c>
      <c r="C242" t="str">
        <f t="shared" si="28"/>
        <v/>
      </c>
    </row>
    <row r="243" spans="2:10">
      <c r="B243" t="str">
        <f t="shared" si="27"/>
        <v>Zabór</v>
      </c>
      <c r="C243" t="str">
        <f t="shared" si="28"/>
        <v/>
      </c>
      <c r="D243" t="str">
        <f>IF(C243&gt;"",A254,"")</f>
        <v/>
      </c>
      <c r="E243" t="str">
        <f>IF(C243&gt;"",A259,"")</f>
        <v/>
      </c>
      <c r="F243" t="str">
        <f>IF(E243&gt;"",MID(A260,FIND("tel.",A260)+4,15),"")</f>
        <v/>
      </c>
      <c r="G243" t="str">
        <f>IF(E243&gt;"",MID(A261,FIND(":",A261)+2,60),"")</f>
        <v/>
      </c>
      <c r="H243" t="str">
        <f>IF(E243&gt;"",MID(A262,FIND("e-mail:",A262)+8,100),"")</f>
        <v/>
      </c>
      <c r="I243" t="str">
        <f>IF(E243&gt;"",IF(ISERR(FIND("DKK",A263)),"",A263),"")</f>
        <v/>
      </c>
      <c r="J243" t="str">
        <f>IF(E243&gt;"",IF(ISERR(FIND("DKK",A264)),"",A264),"")</f>
        <v/>
      </c>
    </row>
    <row r="244" spans="2:10">
      <c r="B244" t="str">
        <f t="shared" si="27"/>
        <v>Zabór</v>
      </c>
      <c r="C244" t="str">
        <f t="shared" si="28"/>
        <v/>
      </c>
    </row>
    <row r="245" spans="2:10">
      <c r="B245" t="str">
        <f t="shared" si="27"/>
        <v>Zabór</v>
      </c>
      <c r="C245" t="str">
        <f t="shared" si="28"/>
        <v/>
      </c>
    </row>
    <row r="246" spans="2:10">
      <c r="B246" t="str">
        <f t="shared" si="27"/>
        <v>Zabór</v>
      </c>
      <c r="C246" t="str">
        <f t="shared" si="28"/>
        <v/>
      </c>
    </row>
    <row r="247" spans="2:10">
      <c r="B247" t="str">
        <f t="shared" si="27"/>
        <v>Zabór</v>
      </c>
      <c r="C247" t="str">
        <f t="shared" si="28"/>
        <v/>
      </c>
    </row>
    <row r="248" spans="2:10">
      <c r="B248" t="str">
        <f t="shared" si="27"/>
        <v>Zabór</v>
      </c>
      <c r="C248" t="str">
        <f t="shared" si="28"/>
        <v/>
      </c>
    </row>
    <row r="249" spans="2:10">
      <c r="B249" t="str">
        <f t="shared" si="27"/>
        <v>Zabór</v>
      </c>
      <c r="C249" t="str">
        <f t="shared" si="28"/>
        <v/>
      </c>
    </row>
    <row r="250" spans="2:10">
      <c r="B250" t="str">
        <f t="shared" si="27"/>
        <v>Zabór</v>
      </c>
      <c r="C250" t="str">
        <f t="shared" si="28"/>
        <v/>
      </c>
    </row>
    <row r="251" spans="2:10">
      <c r="B251" t="str">
        <f t="shared" si="27"/>
        <v>Zabór</v>
      </c>
      <c r="C251" t="str">
        <f t="shared" si="28"/>
        <v/>
      </c>
    </row>
    <row r="252" spans="2:10">
      <c r="B252" t="str">
        <f t="shared" si="27"/>
        <v>Zabór</v>
      </c>
      <c r="C252" t="str">
        <f t="shared" si="28"/>
        <v/>
      </c>
    </row>
    <row r="253" spans="2:10">
      <c r="B253" t="str">
        <f t="shared" si="27"/>
        <v>Zabór</v>
      </c>
      <c r="C253" t="str">
        <f t="shared" si="28"/>
        <v/>
      </c>
    </row>
    <row r="254" spans="2:10">
      <c r="B254" t="str">
        <f t="shared" si="27"/>
        <v>Zabór</v>
      </c>
      <c r="C254" t="str">
        <f t="shared" si="28"/>
        <v/>
      </c>
      <c r="D254" t="str">
        <f>IF(C254&gt;"",A259,"")</f>
        <v/>
      </c>
      <c r="E254" t="str">
        <f>IF(C254&gt;"",A260,"")</f>
        <v/>
      </c>
      <c r="F254" t="str">
        <f>IF(E254&gt;"",MID(A261,FIND("tel.",A261)+4,15),"")</f>
        <v/>
      </c>
      <c r="G254" t="str">
        <f>IF(E254&gt;"",MID(A262,FIND(":",A262)+2,60),"")</f>
        <v/>
      </c>
      <c r="H254" t="str">
        <f>IF(E254&gt;"",MID(A263,FIND("e-mail:",A263)+8,100),"")</f>
        <v/>
      </c>
      <c r="I254" t="str">
        <f>IF(E254&gt;"",IF(ISERR(FIND("DKK",A264)),"",A264),"")</f>
        <v/>
      </c>
      <c r="J254" t="str">
        <f>IF(E254&gt;"",IF(ISERR(FIND("DKK",A265)),"",A265),"")</f>
        <v/>
      </c>
    </row>
    <row r="255" spans="2:10">
      <c r="B255" t="str">
        <f t="shared" si="27"/>
        <v>Zabór</v>
      </c>
      <c r="C255" t="str">
        <f t="shared" si="28"/>
        <v/>
      </c>
    </row>
    <row r="256" spans="2:10">
      <c r="B256" t="str">
        <f t="shared" si="27"/>
        <v>Zabór</v>
      </c>
      <c r="C256" t="str">
        <f t="shared" si="28"/>
        <v/>
      </c>
    </row>
    <row r="257" spans="2:10">
      <c r="B257" t="str">
        <f t="shared" si="27"/>
        <v>Zabór</v>
      </c>
      <c r="C257" t="str">
        <f t="shared" si="28"/>
        <v/>
      </c>
    </row>
    <row r="258" spans="2:10">
      <c r="B258" t="str">
        <f t="shared" si="27"/>
        <v>Zabór</v>
      </c>
      <c r="C258" t="str">
        <f t="shared" si="28"/>
        <v/>
      </c>
    </row>
    <row r="259" spans="2:10">
      <c r="B259" t="str">
        <f t="shared" si="27"/>
        <v>Zabór</v>
      </c>
      <c r="C259" t="str">
        <f t="shared" si="28"/>
        <v/>
      </c>
      <c r="D259" t="str">
        <f t="shared" si="15"/>
        <v/>
      </c>
      <c r="E259" t="str">
        <f t="shared" si="17"/>
        <v/>
      </c>
      <c r="F259" t="str">
        <f t="shared" si="18"/>
        <v/>
      </c>
      <c r="G259" t="str">
        <f>IF(E259&gt;"",MID(A263,FIND(":",A263)+2,60),"")</f>
        <v/>
      </c>
      <c r="H259" t="str">
        <f>IF(E259&gt;"",MID(A264,FIND("e-mail:",A264)+8,100),"")</f>
        <v/>
      </c>
      <c r="I259" t="str">
        <f>IF(E259&gt;"",IF(ISERR(FIND("DKK",A265)),"",A265),"")</f>
        <v/>
      </c>
      <c r="J259" t="str">
        <f>IF(E259&gt;"",IF(ISERR(FIND("DKK",A266)),"",A266),"")</f>
        <v/>
      </c>
    </row>
    <row r="260" spans="2:10">
      <c r="B260" t="str">
        <f t="shared" si="27"/>
        <v>Zabór</v>
      </c>
      <c r="C260" t="str">
        <f t="shared" si="28"/>
        <v/>
      </c>
      <c r="D260" t="str">
        <f t="shared" si="15"/>
        <v/>
      </c>
      <c r="E260" t="str">
        <f t="shared" si="17"/>
        <v/>
      </c>
      <c r="F260" t="str">
        <f>IF(E260&gt;"",MID(A263,FIND("tel.",A263)+4,15),"")</f>
        <v/>
      </c>
      <c r="G260" t="str">
        <f>IF(E260&gt;"",MID(A264,FIND(":",A264)+2,60),"")</f>
        <v/>
      </c>
      <c r="H260" t="str">
        <f>IF(E260&gt;"",MID(A265,FIND("e-mail:",A265)+8,100),"")</f>
        <v/>
      </c>
      <c r="I260" t="str">
        <f>IF(E260&gt;"",IF(ISERR(FIND("DKK",A266)),"",A266),"")</f>
        <v/>
      </c>
      <c r="J260" t="str">
        <f>IF(E260&gt;"",IF(ISERR(FIND("DKK",A267)),"",A267),"")</f>
        <v/>
      </c>
    </row>
    <row r="261" spans="2:10">
      <c r="B261" t="str">
        <f t="shared" si="27"/>
        <v>Zabór</v>
      </c>
      <c r="C261" t="str">
        <f t="shared" si="28"/>
        <v/>
      </c>
      <c r="D261" t="str">
        <f t="shared" si="15"/>
        <v/>
      </c>
      <c r="E261" t="str">
        <f>IF(C261&gt;"",A263,"")</f>
        <v/>
      </c>
      <c r="F261" t="str">
        <f>IF(E261&gt;"",MID(A264,FIND("tel.",A264)+4,15),"")</f>
        <v/>
      </c>
      <c r="G261" t="str">
        <f>IF(E261&gt;"",MID(A265,FIND(":",A265)+2,60),"")</f>
        <v/>
      </c>
      <c r="H261" t="str">
        <f>IF(E261&gt;"",MID(A266,FIND("e-mail:",A266)+8,100),"")</f>
        <v/>
      </c>
      <c r="I261" t="str">
        <f>IF(E261&gt;"",IF(ISERR(FIND("DKK",A267)),"",A267),"")</f>
        <v/>
      </c>
      <c r="J261" t="str">
        <f t="shared" ref="J261:J267" si="29">IF(E261&gt;"",IF(ISERR(FIND("DKK",A276)),"",A276),"")</f>
        <v/>
      </c>
    </row>
    <row r="262" spans="2:10">
      <c r="B262" t="str">
        <f t="shared" si="27"/>
        <v>Zabór</v>
      </c>
      <c r="C262" t="str">
        <f t="shared" si="28"/>
        <v/>
      </c>
      <c r="D262" t="str">
        <f>IF(C262&gt;"",A263,"")</f>
        <v/>
      </c>
      <c r="E262" t="str">
        <f>IF(C262&gt;"",A264,"")</f>
        <v/>
      </c>
      <c r="F262" t="str">
        <f>IF(E262&gt;"",MID(A265,FIND("tel.",A265)+4,15),"")</f>
        <v/>
      </c>
      <c r="G262" t="str">
        <f>IF(E262&gt;"",MID(A266,FIND(":",A266)+2,60),"")</f>
        <v/>
      </c>
      <c r="H262" t="str">
        <f>IF(E262&gt;"",MID(A267,FIND("e-mail:",A267)+8,100),"")</f>
        <v/>
      </c>
      <c r="I262" t="str">
        <f t="shared" ref="I262:I267" si="30">IF(E262&gt;"",IF(ISERR(FIND("DKK",A276)),"",A276),"")</f>
        <v/>
      </c>
      <c r="J262" t="str">
        <f t="shared" si="29"/>
        <v/>
      </c>
    </row>
    <row r="263" spans="2:10">
      <c r="B263" t="str">
        <f t="shared" si="27"/>
        <v>Zabór</v>
      </c>
      <c r="C263" t="str">
        <f t="shared" si="28"/>
        <v/>
      </c>
      <c r="D263" t="str">
        <f t="shared" si="15"/>
        <v/>
      </c>
      <c r="E263" t="str">
        <f t="shared" si="17"/>
        <v/>
      </c>
      <c r="F263" t="str">
        <f t="shared" si="18"/>
        <v/>
      </c>
      <c r="G263" t="str">
        <f>IF(E263&gt;"",MID(A267,FIND(":",A267)+2,60),"")</f>
        <v/>
      </c>
      <c r="H263" t="str">
        <f>IF(E263&gt;"",MID(A276,FIND("e-mail:",A276)+8,100),"")</f>
        <v/>
      </c>
      <c r="I263" t="str">
        <f t="shared" si="30"/>
        <v/>
      </c>
      <c r="J263" t="str">
        <f t="shared" si="29"/>
        <v/>
      </c>
    </row>
    <row r="264" spans="2:10">
      <c r="B264" t="str">
        <f t="shared" si="27"/>
        <v>Zabór</v>
      </c>
      <c r="C264" t="str">
        <f t="shared" si="28"/>
        <v/>
      </c>
      <c r="D264" t="str">
        <f t="shared" si="15"/>
        <v/>
      </c>
      <c r="E264" t="str">
        <f t="shared" si="17"/>
        <v/>
      </c>
      <c r="F264" t="str">
        <f t="shared" si="18"/>
        <v/>
      </c>
      <c r="G264" t="str">
        <f>IF(E264&gt;"",MID(A276,FIND(":",A276)+2,60),"")</f>
        <v/>
      </c>
      <c r="H264" t="str">
        <f>IF(E264&gt;"",MID(A277,FIND("e-mail:",A277)+8,100),"")</f>
        <v/>
      </c>
      <c r="I264" t="str">
        <f t="shared" si="30"/>
        <v/>
      </c>
      <c r="J264" t="str">
        <f t="shared" si="29"/>
        <v/>
      </c>
    </row>
    <row r="265" spans="2:10">
      <c r="B265" t="str">
        <f t="shared" si="27"/>
        <v>Zabór</v>
      </c>
      <c r="C265" t="str">
        <f t="shared" si="28"/>
        <v/>
      </c>
      <c r="D265" t="str">
        <f t="shared" si="15"/>
        <v/>
      </c>
      <c r="E265" t="str">
        <f t="shared" si="17"/>
        <v/>
      </c>
      <c r="F265" t="str">
        <f>IF(E265&gt;"",MID(A276,FIND("tel.",A276)+4,15),"")</f>
        <v/>
      </c>
      <c r="G265" t="str">
        <f>IF(E265&gt;"",MID(A277,FIND(":",A277)+2,60),"")</f>
        <v/>
      </c>
      <c r="H265" t="str">
        <f>IF(E265&gt;"",MID(A278,FIND("e-mail:",A278)+8,100),"")</f>
        <v/>
      </c>
      <c r="I265" t="str">
        <f t="shared" si="30"/>
        <v/>
      </c>
      <c r="J265" t="str">
        <f t="shared" si="29"/>
        <v/>
      </c>
    </row>
    <row r="266" spans="2:10">
      <c r="B266" t="str">
        <f t="shared" si="27"/>
        <v>Zabór</v>
      </c>
      <c r="C266" t="str">
        <f t="shared" si="28"/>
        <v/>
      </c>
      <c r="D266" t="str">
        <f t="shared" si="15"/>
        <v/>
      </c>
      <c r="E266" t="str">
        <f>IF(C266&gt;"",A276,"")</f>
        <v/>
      </c>
      <c r="F266" t="str">
        <f>IF(E266&gt;"",MID(A277,FIND("tel.",A277)+4,15),"")</f>
        <v/>
      </c>
      <c r="G266" t="str">
        <f>IF(E266&gt;"",MID(A278,FIND(":",A278)+2,60),"")</f>
        <v/>
      </c>
      <c r="H266" t="str">
        <f>IF(E266&gt;"",MID(A279,FIND("e-mail:",A279)+8,100),"")</f>
        <v/>
      </c>
      <c r="I266" t="str">
        <f t="shared" si="30"/>
        <v/>
      </c>
      <c r="J266" t="str">
        <f t="shared" si="29"/>
        <v/>
      </c>
    </row>
    <row r="267" spans="2:10">
      <c r="B267" t="str">
        <f t="shared" si="27"/>
        <v>Zabór</v>
      </c>
      <c r="C267" t="str">
        <f t="shared" si="28"/>
        <v/>
      </c>
      <c r="D267" t="str">
        <f>IF(C267&gt;"",A276,"")</f>
        <v/>
      </c>
      <c r="E267" t="str">
        <f>IF(C267&gt;"",A277,"")</f>
        <v/>
      </c>
      <c r="F267" t="str">
        <f>IF(E267&gt;"",MID(A278,FIND("tel.",A278)+4,15),"")</f>
        <v/>
      </c>
      <c r="G267" t="str">
        <f>IF(E267&gt;"",MID(A279,FIND(":",A279)+2,60),"")</f>
        <v/>
      </c>
      <c r="H267" t="str">
        <f>IF(E267&gt;"",MID(A280,FIND("e-mail:",A280)+8,100),"")</f>
        <v/>
      </c>
      <c r="I267" t="str">
        <f t="shared" si="30"/>
        <v/>
      </c>
      <c r="J267" t="str">
        <f t="shared" si="29"/>
        <v/>
      </c>
    </row>
    <row r="268" spans="2:10">
      <c r="B268" t="str">
        <f t="shared" si="27"/>
        <v>Zabór</v>
      </c>
      <c r="C268" t="str">
        <f t="shared" si="28"/>
        <v/>
      </c>
    </row>
    <row r="269" spans="2:10">
      <c r="B269" t="str">
        <f t="shared" si="27"/>
        <v>Zabór</v>
      </c>
      <c r="C269" t="str">
        <f t="shared" si="28"/>
        <v/>
      </c>
    </row>
    <row r="270" spans="2:10">
      <c r="B270" t="str">
        <f t="shared" si="27"/>
        <v>Zabór</v>
      </c>
      <c r="C270" t="str">
        <f t="shared" si="28"/>
        <v/>
      </c>
    </row>
    <row r="271" spans="2:10">
      <c r="B271" t="str">
        <f t="shared" si="27"/>
        <v>Zabór</v>
      </c>
      <c r="C271" t="str">
        <f t="shared" si="28"/>
        <v/>
      </c>
    </row>
    <row r="272" spans="2:10">
      <c r="B272" t="str">
        <f t="shared" si="27"/>
        <v>Zabór</v>
      </c>
      <c r="C272" t="str">
        <f t="shared" si="28"/>
        <v/>
      </c>
    </row>
    <row r="273" spans="2:10">
      <c r="B273" t="str">
        <f t="shared" si="27"/>
        <v>Zabór</v>
      </c>
      <c r="C273" t="str">
        <f t="shared" si="28"/>
        <v/>
      </c>
    </row>
    <row r="274" spans="2:10">
      <c r="B274" t="str">
        <f t="shared" si="27"/>
        <v>Zabór</v>
      </c>
      <c r="C274" t="str">
        <f t="shared" si="28"/>
        <v/>
      </c>
    </row>
    <row r="275" spans="2:10">
      <c r="B275" t="str">
        <f t="shared" si="27"/>
        <v>Zabór</v>
      </c>
      <c r="C275" t="str">
        <f t="shared" si="28"/>
        <v/>
      </c>
    </row>
    <row r="276" spans="2:10">
      <c r="B276" t="str">
        <f t="shared" si="27"/>
        <v>Zabór</v>
      </c>
      <c r="C276" t="str">
        <f t="shared" si="28"/>
        <v/>
      </c>
      <c r="D276" t="str">
        <f t="shared" si="15"/>
        <v/>
      </c>
      <c r="E276" t="str">
        <f t="shared" si="17"/>
        <v/>
      </c>
      <c r="F276" t="str">
        <f t="shared" si="18"/>
        <v/>
      </c>
      <c r="G276" t="str">
        <f>IF(E276&gt;"",MID(A280,FIND(":",A280)+2,60),"")</f>
        <v/>
      </c>
      <c r="H276" t="str">
        <f>IF(E276&gt;"",MID(A281,FIND("e-mail:",A281)+8,100),"")</f>
        <v/>
      </c>
      <c r="I276" t="str">
        <f>IF(E276&gt;"",IF(ISERR(FIND("DKK",A282)),"",A282),"")</f>
        <v/>
      </c>
      <c r="J276" t="str">
        <f>IF(E276&gt;"",IF(ISERR(FIND("DKK",A283)),"",A283),"")</f>
        <v/>
      </c>
    </row>
    <row r="277" spans="2:10">
      <c r="B277" t="str">
        <f t="shared" si="27"/>
        <v>Zabór</v>
      </c>
      <c r="C277" t="str">
        <f t="shared" si="28"/>
        <v/>
      </c>
      <c r="D277" t="str">
        <f t="shared" si="15"/>
        <v/>
      </c>
      <c r="E277" t="str">
        <f t="shared" si="17"/>
        <v/>
      </c>
      <c r="F277" t="str">
        <f t="shared" si="18"/>
        <v/>
      </c>
      <c r="G277" t="str">
        <f>IF(E277&gt;"",MID(A281,FIND(":",A281)+2,60),"")</f>
        <v/>
      </c>
      <c r="H277" t="str">
        <f>IF(E277&gt;"",MID(A282,FIND("e-mail:",A282)+8,100),"")</f>
        <v/>
      </c>
      <c r="I277" t="str">
        <f>IF(E277&gt;"",IF(ISERR(FIND("DKK",A283)),"",A283),"")</f>
        <v/>
      </c>
      <c r="J277" t="str">
        <f>IF(E277&gt;"",IF(ISERR(FIND("DKK",A284)),"",A284),"")</f>
        <v/>
      </c>
    </row>
    <row r="278" spans="2:10">
      <c r="B278" t="str">
        <f t="shared" si="27"/>
        <v>Zabór</v>
      </c>
      <c r="C278" t="str">
        <f t="shared" si="28"/>
        <v/>
      </c>
      <c r="D278" t="str">
        <f t="shared" si="15"/>
        <v/>
      </c>
      <c r="E278" t="str">
        <f t="shared" si="17"/>
        <v/>
      </c>
      <c r="F278" t="str">
        <f t="shared" si="18"/>
        <v/>
      </c>
      <c r="G278" t="str">
        <f>IF(E278&gt;"",MID(A282,FIND(":",A282)+2,60),"")</f>
        <v/>
      </c>
      <c r="H278" t="str">
        <f>IF(E278&gt;"",MID(A283,FIND("e-mail:",A283)+8,100),"")</f>
        <v/>
      </c>
      <c r="I278" t="str">
        <f>IF(E278&gt;"",IF(ISERR(FIND("DKK",A284)),"",A284),"")</f>
        <v/>
      </c>
      <c r="J278" t="str">
        <f>IF(E278&gt;"",IF(ISERR(FIND("DKK",#REF!)),"",#REF!),"")</f>
        <v/>
      </c>
    </row>
    <row r="279" spans="2:10">
      <c r="B279" t="str">
        <f t="shared" si="27"/>
        <v>Zabór</v>
      </c>
      <c r="C279" t="str">
        <f t="shared" si="28"/>
        <v/>
      </c>
      <c r="D279" t="str">
        <f t="shared" si="15"/>
        <v/>
      </c>
      <c r="E279" t="str">
        <f t="shared" si="17"/>
        <v/>
      </c>
      <c r="F279" t="str">
        <f t="shared" si="18"/>
        <v/>
      </c>
      <c r="G279" t="str">
        <f>IF(E279&gt;"",MID(A283,FIND(":",A283)+2,60),"")</f>
        <v/>
      </c>
      <c r="H279" t="str">
        <f>IF(E279&gt;"",MID(A284,FIND("e-mail:",A284)+8,100),"")</f>
        <v/>
      </c>
      <c r="I279" t="str">
        <f>IF(E279&gt;"",IF(ISERR(FIND("DKK",#REF!)),"",#REF!),"")</f>
        <v/>
      </c>
      <c r="J279" t="str">
        <f t="shared" ref="J279:J284" si="31">IF(E279&gt;"",IF(ISERR(FIND("DKK",A285)),"",A285),"")</f>
        <v/>
      </c>
    </row>
    <row r="280" spans="2:10">
      <c r="B280" t="str">
        <f t="shared" si="27"/>
        <v>Zabór</v>
      </c>
      <c r="C280" t="str">
        <f t="shared" si="28"/>
        <v/>
      </c>
      <c r="D280" t="str">
        <f t="shared" si="15"/>
        <v/>
      </c>
      <c r="E280" t="str">
        <f t="shared" si="17"/>
        <v/>
      </c>
      <c r="F280" t="str">
        <f t="shared" si="18"/>
        <v/>
      </c>
      <c r="G280" t="str">
        <f>IF(E280&gt;"",MID(A284,FIND(":",A284)+2,60),"")</f>
        <v/>
      </c>
      <c r="H280" t="str">
        <f>IF(E280&gt;"",MID(#REF!,FIND("e-mail:",#REF!)+8,100),"")</f>
        <v/>
      </c>
      <c r="I280" t="str">
        <f>IF(E280&gt;"",IF(ISERR(FIND("DKK",A285)),"",A285),"")</f>
        <v/>
      </c>
      <c r="J280" t="str">
        <f t="shared" si="31"/>
        <v/>
      </c>
    </row>
    <row r="281" spans="2:10">
      <c r="B281" t="str">
        <f t="shared" si="27"/>
        <v>Zabór</v>
      </c>
      <c r="C281" t="str">
        <f t="shared" si="28"/>
        <v/>
      </c>
      <c r="D281" t="str">
        <f t="shared" si="15"/>
        <v/>
      </c>
      <c r="E281" t="str">
        <f t="shared" si="17"/>
        <v/>
      </c>
      <c r="F281" t="str">
        <f t="shared" si="18"/>
        <v/>
      </c>
      <c r="G281" t="str">
        <f>IF(E281&gt;"",MID(#REF!,FIND(":",#REF!)+2,60),"")</f>
        <v/>
      </c>
      <c r="H281" t="str">
        <f>IF(E281&gt;"",MID(A285,FIND("e-mail:",A285)+8,100),"")</f>
        <v/>
      </c>
      <c r="I281" t="str">
        <f>IF(E281&gt;"",IF(ISERR(FIND("DKK",A286)),"",A286),"")</f>
        <v/>
      </c>
      <c r="J281" t="str">
        <f t="shared" si="31"/>
        <v/>
      </c>
    </row>
    <row r="282" spans="2:10">
      <c r="B282" t="str">
        <f t="shared" si="27"/>
        <v>Zabór</v>
      </c>
      <c r="C282" t="str">
        <f t="shared" si="28"/>
        <v/>
      </c>
      <c r="D282" t="str">
        <f t="shared" ref="D282:D344" si="32">IF(C282&gt;"",A283,"")</f>
        <v/>
      </c>
      <c r="E282" t="str">
        <f t="shared" ref="E282:E344" si="33">IF(C282&gt;"",A284,"")</f>
        <v/>
      </c>
      <c r="F282" t="str">
        <f>IF(E282&gt;"",MID(#REF!,FIND("tel.",#REF!)+4,15),"")</f>
        <v/>
      </c>
      <c r="G282" t="str">
        <f>IF(E282&gt;"",MID(A285,FIND(":",A285)+2,60),"")</f>
        <v/>
      </c>
      <c r="H282" t="str">
        <f>IF(E282&gt;"",MID(A286,FIND("e-mail:",A286)+8,100),"")</f>
        <v/>
      </c>
      <c r="I282" t="str">
        <f>IF(E282&gt;"",IF(ISERR(FIND("DKK",A287)),"",A287),"")</f>
        <v/>
      </c>
      <c r="J282" t="str">
        <f t="shared" si="31"/>
        <v/>
      </c>
    </row>
    <row r="283" spans="2:10">
      <c r="B283" t="str">
        <f t="shared" si="27"/>
        <v>Zabór</v>
      </c>
      <c r="C283" t="str">
        <f t="shared" ref="C283:C344" si="34">IF(ISERR(FIND($C$1,A283,1)),"",A283)</f>
        <v/>
      </c>
      <c r="D283" t="str">
        <f t="shared" si="32"/>
        <v/>
      </c>
      <c r="E283" t="str">
        <f>IF(C283&gt;"",#REF!,"")</f>
        <v/>
      </c>
      <c r="F283" t="str">
        <f>IF(E283&gt;"",MID(A285,FIND("tel.",A285)+4,15),"")</f>
        <v/>
      </c>
      <c r="G283" t="str">
        <f>IF(E283&gt;"",MID(A286,FIND(":",A286)+2,60),"")</f>
        <v/>
      </c>
      <c r="H283" t="str">
        <f>IF(E283&gt;"",MID(A287,FIND("e-mail:",A287)+8,100),"")</f>
        <v/>
      </c>
      <c r="I283" t="str">
        <f>IF(E283&gt;"",IF(ISERR(FIND("DKK",A288)),"",A288),"")</f>
        <v/>
      </c>
      <c r="J283" t="str">
        <f t="shared" si="31"/>
        <v/>
      </c>
    </row>
    <row r="284" spans="2:10">
      <c r="B284" t="str">
        <f t="shared" si="27"/>
        <v>Zabór</v>
      </c>
      <c r="C284" t="str">
        <f t="shared" si="34"/>
        <v/>
      </c>
      <c r="D284" t="str">
        <f>IF(C284&gt;"",#REF!,"")</f>
        <v/>
      </c>
      <c r="E284" t="str">
        <f>IF(C284&gt;"",A285,"")</f>
        <v/>
      </c>
      <c r="F284" t="str">
        <f>IF(E284&gt;"",MID(A286,FIND("tel.",A286)+4,15),"")</f>
        <v/>
      </c>
      <c r="G284" t="str">
        <f>IF(E284&gt;"",MID(A287,FIND(":",A287)+2,60),"")</f>
        <v/>
      </c>
      <c r="H284" t="str">
        <f>IF(E284&gt;"",MID(A288,FIND("e-mail:",A288)+8,100),"")</f>
        <v/>
      </c>
      <c r="I284" t="str">
        <f>IF(E284&gt;"",IF(ISERR(FIND("DKK",A289)),"",A289),"")</f>
        <v/>
      </c>
      <c r="J284" t="str">
        <f t="shared" si="31"/>
        <v/>
      </c>
    </row>
    <row r="285" spans="2:10">
      <c r="B285" t="str">
        <f t="shared" si="27"/>
        <v>Zabór</v>
      </c>
      <c r="C285" t="str">
        <f t="shared" si="34"/>
        <v/>
      </c>
      <c r="D285" t="str">
        <f t="shared" si="32"/>
        <v/>
      </c>
      <c r="E285" t="str">
        <f t="shared" si="33"/>
        <v/>
      </c>
      <c r="F285" t="str">
        <f t="shared" ref="F285:F344" si="35">IF(E285&gt;"",MID(A288,FIND("tel.",A288)+4,15),"")</f>
        <v/>
      </c>
      <c r="G285" t="str">
        <f t="shared" ref="G285:G344" si="36">IF(E285&gt;"",MID(A289,FIND(":",A289)+2,60),"")</f>
        <v/>
      </c>
      <c r="H285" t="str">
        <f t="shared" ref="H285:H344" si="37">IF(E285&gt;"",MID(A290,FIND("e-mail:",A290)+8,100),"")</f>
        <v/>
      </c>
      <c r="I285" t="str">
        <f t="shared" ref="I285:I344" si="38">IF(E285&gt;"",IF(ISERR(FIND("DKK",A291)),"",A291),"")</f>
        <v/>
      </c>
      <c r="J285" t="str">
        <f t="shared" ref="J285:J291" si="39">IF(E285&gt;"",IF(ISERR(FIND("DKK",A292)),"",A292),"")</f>
        <v/>
      </c>
    </row>
    <row r="286" spans="2:10">
      <c r="B286" t="str">
        <f t="shared" si="27"/>
        <v>Zabór</v>
      </c>
      <c r="C286" t="str">
        <f t="shared" si="34"/>
        <v/>
      </c>
      <c r="D286" t="str">
        <f t="shared" si="32"/>
        <v/>
      </c>
      <c r="E286" t="str">
        <f t="shared" si="33"/>
        <v/>
      </c>
      <c r="F286" t="str">
        <f t="shared" si="35"/>
        <v/>
      </c>
      <c r="G286" t="str">
        <f t="shared" si="36"/>
        <v/>
      </c>
      <c r="H286" t="str">
        <f t="shared" si="37"/>
        <v/>
      </c>
      <c r="I286" t="str">
        <f t="shared" si="38"/>
        <v/>
      </c>
      <c r="J286" t="str">
        <f t="shared" si="39"/>
        <v/>
      </c>
    </row>
    <row r="287" spans="2:10">
      <c r="B287" t="str">
        <f t="shared" si="27"/>
        <v>Zabór</v>
      </c>
      <c r="C287" t="str">
        <f t="shared" si="34"/>
        <v/>
      </c>
      <c r="D287" t="str">
        <f t="shared" si="32"/>
        <v/>
      </c>
      <c r="E287" t="str">
        <f t="shared" si="33"/>
        <v/>
      </c>
      <c r="F287" t="str">
        <f t="shared" si="35"/>
        <v/>
      </c>
      <c r="G287" t="str">
        <f t="shared" si="36"/>
        <v/>
      </c>
      <c r="H287" t="str">
        <f t="shared" si="37"/>
        <v/>
      </c>
      <c r="I287" t="str">
        <f t="shared" si="38"/>
        <v/>
      </c>
      <c r="J287" t="str">
        <f t="shared" si="39"/>
        <v/>
      </c>
    </row>
    <row r="288" spans="2:10">
      <c r="B288" t="str">
        <f t="shared" si="27"/>
        <v>Zabór</v>
      </c>
      <c r="C288" t="str">
        <f t="shared" si="34"/>
        <v/>
      </c>
      <c r="D288" t="str">
        <f t="shared" si="32"/>
        <v/>
      </c>
      <c r="E288" t="str">
        <f t="shared" si="33"/>
        <v/>
      </c>
      <c r="F288" t="str">
        <f t="shared" si="35"/>
        <v/>
      </c>
      <c r="G288" t="str">
        <f t="shared" si="36"/>
        <v/>
      </c>
      <c r="H288" t="str">
        <f t="shared" si="37"/>
        <v/>
      </c>
      <c r="I288" t="str">
        <f t="shared" si="38"/>
        <v/>
      </c>
      <c r="J288" t="str">
        <f t="shared" si="39"/>
        <v/>
      </c>
    </row>
    <row r="289" spans="2:10">
      <c r="B289" t="str">
        <f t="shared" si="27"/>
        <v>Zabór</v>
      </c>
      <c r="C289" t="str">
        <f t="shared" si="34"/>
        <v/>
      </c>
      <c r="D289" t="str">
        <f t="shared" si="32"/>
        <v/>
      </c>
      <c r="E289" t="str">
        <f t="shared" si="33"/>
        <v/>
      </c>
      <c r="F289" t="str">
        <f t="shared" si="35"/>
        <v/>
      </c>
      <c r="G289" t="str">
        <f t="shared" si="36"/>
        <v/>
      </c>
      <c r="H289" t="str">
        <f t="shared" si="37"/>
        <v/>
      </c>
      <c r="I289" t="str">
        <f t="shared" si="38"/>
        <v/>
      </c>
      <c r="J289" t="str">
        <f t="shared" si="39"/>
        <v/>
      </c>
    </row>
    <row r="290" spans="2:10">
      <c r="B290" t="str">
        <f t="shared" si="27"/>
        <v>Zabór</v>
      </c>
      <c r="C290" t="str">
        <f t="shared" si="34"/>
        <v/>
      </c>
      <c r="D290" t="str">
        <f t="shared" si="32"/>
        <v/>
      </c>
      <c r="E290" t="str">
        <f t="shared" si="33"/>
        <v/>
      </c>
      <c r="F290" t="str">
        <f t="shared" si="35"/>
        <v/>
      </c>
      <c r="G290" t="str">
        <f t="shared" si="36"/>
        <v/>
      </c>
      <c r="H290" t="str">
        <f t="shared" si="37"/>
        <v/>
      </c>
      <c r="I290" t="str">
        <f t="shared" si="38"/>
        <v/>
      </c>
      <c r="J290" t="str">
        <f t="shared" si="39"/>
        <v/>
      </c>
    </row>
    <row r="291" spans="2:10">
      <c r="B291" t="str">
        <f t="shared" si="27"/>
        <v>Zabór</v>
      </c>
      <c r="C291" t="str">
        <f t="shared" si="34"/>
        <v/>
      </c>
      <c r="D291" t="str">
        <f t="shared" si="32"/>
        <v/>
      </c>
      <c r="E291" t="str">
        <f t="shared" si="33"/>
        <v/>
      </c>
      <c r="F291" t="str">
        <f t="shared" si="35"/>
        <v/>
      </c>
      <c r="G291" t="str">
        <f t="shared" si="36"/>
        <v/>
      </c>
      <c r="H291" t="str">
        <f t="shared" si="37"/>
        <v/>
      </c>
      <c r="I291" t="str">
        <f t="shared" si="38"/>
        <v/>
      </c>
      <c r="J291" t="str">
        <f t="shared" si="39"/>
        <v/>
      </c>
    </row>
    <row r="292" spans="2:10">
      <c r="B292" t="str">
        <f t="shared" si="27"/>
        <v>Zabór</v>
      </c>
      <c r="C292" t="str">
        <f t="shared" si="34"/>
        <v/>
      </c>
      <c r="D292" t="str">
        <f t="shared" si="32"/>
        <v/>
      </c>
      <c r="E292" t="str">
        <f t="shared" si="33"/>
        <v/>
      </c>
      <c r="F292" t="str">
        <f t="shared" si="35"/>
        <v/>
      </c>
      <c r="G292" t="str">
        <f t="shared" si="36"/>
        <v/>
      </c>
      <c r="H292" t="str">
        <f t="shared" si="37"/>
        <v/>
      </c>
      <c r="I292" t="str">
        <f t="shared" si="38"/>
        <v/>
      </c>
      <c r="J292" t="str">
        <f t="shared" ref="J292:J298" si="40">IF(E292&gt;"",IF(ISERR(FIND("DKK",A300)),"",A300),"")</f>
        <v/>
      </c>
    </row>
    <row r="293" spans="2:10">
      <c r="B293" t="str">
        <f t="shared" si="27"/>
        <v>Zabór</v>
      </c>
      <c r="C293" t="str">
        <f t="shared" si="34"/>
        <v/>
      </c>
      <c r="D293" t="str">
        <f t="shared" si="32"/>
        <v/>
      </c>
      <c r="E293" t="str">
        <f t="shared" si="33"/>
        <v/>
      </c>
      <c r="F293" t="str">
        <f t="shared" si="35"/>
        <v/>
      </c>
      <c r="G293" t="str">
        <f t="shared" si="36"/>
        <v/>
      </c>
      <c r="H293" t="str">
        <f t="shared" si="37"/>
        <v/>
      </c>
      <c r="I293" t="str">
        <f t="shared" ref="I293:I298" si="41">IF(E293&gt;"",IF(ISERR(FIND("DKK",A300)),"",A300),"")</f>
        <v/>
      </c>
      <c r="J293" t="str">
        <f t="shared" si="40"/>
        <v/>
      </c>
    </row>
    <row r="294" spans="2:10">
      <c r="B294" t="str">
        <f t="shared" si="27"/>
        <v>Zabór</v>
      </c>
      <c r="C294" t="str">
        <f t="shared" si="34"/>
        <v/>
      </c>
      <c r="D294" t="str">
        <f t="shared" si="32"/>
        <v/>
      </c>
      <c r="E294" t="str">
        <f t="shared" si="33"/>
        <v/>
      </c>
      <c r="F294" t="str">
        <f t="shared" si="35"/>
        <v/>
      </c>
      <c r="G294" t="str">
        <f t="shared" si="36"/>
        <v/>
      </c>
      <c r="H294" t="str">
        <f>IF(E294&gt;"",MID(A300,FIND("e-mail:",A300)+8,100),"")</f>
        <v/>
      </c>
      <c r="I294" t="str">
        <f t="shared" si="41"/>
        <v/>
      </c>
      <c r="J294" t="str">
        <f t="shared" si="40"/>
        <v/>
      </c>
    </row>
    <row r="295" spans="2:10">
      <c r="B295" t="str">
        <f t="shared" si="27"/>
        <v>Zabór</v>
      </c>
      <c r="C295" t="str">
        <f t="shared" si="34"/>
        <v/>
      </c>
      <c r="D295" t="str">
        <f t="shared" si="32"/>
        <v/>
      </c>
      <c r="E295" t="str">
        <f t="shared" si="33"/>
        <v/>
      </c>
      <c r="F295" t="str">
        <f t="shared" si="35"/>
        <v/>
      </c>
      <c r="G295" t="str">
        <f>IF(E295&gt;"",MID(A300,FIND(":",A300)+2,60),"")</f>
        <v/>
      </c>
      <c r="H295" t="str">
        <f>IF(E295&gt;"",MID(A301,FIND("e-mail:",A301)+8,100),"")</f>
        <v/>
      </c>
      <c r="I295" t="str">
        <f t="shared" si="41"/>
        <v/>
      </c>
      <c r="J295" t="str">
        <f t="shared" si="40"/>
        <v/>
      </c>
    </row>
    <row r="296" spans="2:10">
      <c r="B296" t="str">
        <f t="shared" si="27"/>
        <v>Zabór</v>
      </c>
      <c r="C296" t="str">
        <f t="shared" si="34"/>
        <v/>
      </c>
      <c r="D296" t="str">
        <f t="shared" si="32"/>
        <v/>
      </c>
      <c r="E296" t="str">
        <f t="shared" si="33"/>
        <v/>
      </c>
      <c r="F296" t="str">
        <f>IF(E296&gt;"",MID(A300,FIND("tel.",A300)+4,15),"")</f>
        <v/>
      </c>
      <c r="G296" t="str">
        <f>IF(E296&gt;"",MID(A301,FIND(":",A301)+2,60),"")</f>
        <v/>
      </c>
      <c r="H296" t="str">
        <f>IF(E296&gt;"",MID(A302,FIND("e-mail:",A302)+8,100),"")</f>
        <v/>
      </c>
      <c r="I296" t="str">
        <f t="shared" si="41"/>
        <v/>
      </c>
      <c r="J296" t="str">
        <f t="shared" si="40"/>
        <v/>
      </c>
    </row>
    <row r="297" spans="2:10">
      <c r="B297" t="str">
        <f t="shared" si="27"/>
        <v>Zabór</v>
      </c>
      <c r="C297" t="str">
        <f t="shared" si="34"/>
        <v/>
      </c>
      <c r="D297" t="str">
        <f t="shared" si="32"/>
        <v/>
      </c>
      <c r="E297" t="str">
        <f>IF(C297&gt;"",A300,"")</f>
        <v/>
      </c>
      <c r="F297" t="str">
        <f>IF(E297&gt;"",MID(A301,FIND("tel.",A301)+4,15),"")</f>
        <v/>
      </c>
      <c r="G297" t="str">
        <f>IF(E297&gt;"",MID(A302,FIND(":",A302)+2,60),"")</f>
        <v/>
      </c>
      <c r="H297" t="str">
        <f>IF(E297&gt;"",MID(A303,FIND("e-mail:",A303)+8,100),"")</f>
        <v/>
      </c>
      <c r="I297" t="str">
        <f t="shared" si="41"/>
        <v/>
      </c>
      <c r="J297" t="str">
        <f t="shared" si="40"/>
        <v/>
      </c>
    </row>
    <row r="298" spans="2:10">
      <c r="B298" t="str">
        <f t="shared" si="27"/>
        <v>Zabór</v>
      </c>
      <c r="C298" t="str">
        <f t="shared" si="34"/>
        <v/>
      </c>
      <c r="D298" t="str">
        <f>IF(C298&gt;"",A300,"")</f>
        <v/>
      </c>
      <c r="E298" t="str">
        <f>IF(C298&gt;"",A301,"")</f>
        <v/>
      </c>
      <c r="F298" t="str">
        <f>IF(E298&gt;"",MID(A302,FIND("tel.",A302)+4,15),"")</f>
        <v/>
      </c>
      <c r="G298" t="str">
        <f>IF(E298&gt;"",MID(A303,FIND(":",A303)+2,60),"")</f>
        <v/>
      </c>
      <c r="H298" t="str">
        <f>IF(E298&gt;"",MID(A304,FIND("e-mail:",A304)+8,100),"")</f>
        <v/>
      </c>
      <c r="I298" t="str">
        <f t="shared" si="41"/>
        <v/>
      </c>
      <c r="J298" t="str">
        <f t="shared" si="40"/>
        <v/>
      </c>
    </row>
    <row r="299" spans="2:10">
      <c r="B299" t="str">
        <f t="shared" si="27"/>
        <v>Zabór</v>
      </c>
    </row>
    <row r="300" spans="2:10">
      <c r="B300" t="str">
        <f t="shared" si="27"/>
        <v>Zabór</v>
      </c>
      <c r="C300" t="str">
        <f t="shared" si="34"/>
        <v/>
      </c>
      <c r="D300" t="str">
        <f t="shared" si="32"/>
        <v/>
      </c>
      <c r="E300" t="str">
        <f t="shared" si="33"/>
        <v/>
      </c>
      <c r="F300" t="str">
        <f t="shared" si="35"/>
        <v/>
      </c>
      <c r="G300" t="str">
        <f t="shared" si="36"/>
        <v/>
      </c>
      <c r="H300" t="str">
        <f t="shared" si="37"/>
        <v/>
      </c>
      <c r="I300" t="str">
        <f t="shared" si="38"/>
        <v/>
      </c>
      <c r="J300" t="str">
        <f t="shared" ref="J300:J359" si="42">IF(E300&gt;"",IF(ISERR(FIND("DKK",A307)),"",A307),"")</f>
        <v/>
      </c>
    </row>
    <row r="301" spans="2:10">
      <c r="B301" t="str">
        <f t="shared" ref="B301:B364" si="43">+IF(AND(C301&gt;"",ISERR(FIND("DKK",A300))),A300,B300)</f>
        <v>Zabór</v>
      </c>
      <c r="C301" t="str">
        <f t="shared" si="34"/>
        <v/>
      </c>
      <c r="D301" t="str">
        <f t="shared" si="32"/>
        <v/>
      </c>
      <c r="E301" t="str">
        <f t="shared" si="33"/>
        <v/>
      </c>
      <c r="F301" t="str">
        <f t="shared" si="35"/>
        <v/>
      </c>
      <c r="G301" t="str">
        <f t="shared" si="36"/>
        <v/>
      </c>
      <c r="H301" t="str">
        <f t="shared" si="37"/>
        <v/>
      </c>
      <c r="I301" t="str">
        <f t="shared" si="38"/>
        <v/>
      </c>
      <c r="J301" t="str">
        <f t="shared" si="42"/>
        <v/>
      </c>
    </row>
    <row r="302" spans="2:10">
      <c r="B302" t="str">
        <f t="shared" si="43"/>
        <v>Zabór</v>
      </c>
      <c r="C302" t="str">
        <f t="shared" si="34"/>
        <v/>
      </c>
      <c r="D302" t="str">
        <f t="shared" si="32"/>
        <v/>
      </c>
      <c r="E302" t="str">
        <f t="shared" si="33"/>
        <v/>
      </c>
      <c r="F302" t="str">
        <f t="shared" si="35"/>
        <v/>
      </c>
      <c r="G302" t="str">
        <f t="shared" si="36"/>
        <v/>
      </c>
      <c r="H302" t="str">
        <f t="shared" si="37"/>
        <v/>
      </c>
      <c r="I302" t="str">
        <f t="shared" si="38"/>
        <v/>
      </c>
      <c r="J302" t="str">
        <f t="shared" si="42"/>
        <v/>
      </c>
    </row>
    <row r="303" spans="2:10">
      <c r="B303" t="str">
        <f t="shared" si="43"/>
        <v>Zabór</v>
      </c>
      <c r="C303" t="str">
        <f t="shared" si="34"/>
        <v/>
      </c>
      <c r="D303" t="str">
        <f t="shared" si="32"/>
        <v/>
      </c>
      <c r="E303" t="str">
        <f t="shared" si="33"/>
        <v/>
      </c>
      <c r="F303" t="str">
        <f t="shared" si="35"/>
        <v/>
      </c>
      <c r="G303" t="str">
        <f t="shared" si="36"/>
        <v/>
      </c>
      <c r="H303" t="str">
        <f t="shared" si="37"/>
        <v/>
      </c>
      <c r="I303" t="str">
        <f t="shared" si="38"/>
        <v/>
      </c>
      <c r="J303" t="str">
        <f t="shared" si="42"/>
        <v/>
      </c>
    </row>
    <row r="304" spans="2:10">
      <c r="B304" t="str">
        <f t="shared" si="43"/>
        <v>Zabór</v>
      </c>
      <c r="C304" t="str">
        <f t="shared" si="34"/>
        <v/>
      </c>
      <c r="D304" t="str">
        <f t="shared" si="32"/>
        <v/>
      </c>
      <c r="E304" t="str">
        <f t="shared" si="33"/>
        <v/>
      </c>
      <c r="F304" t="str">
        <f t="shared" si="35"/>
        <v/>
      </c>
      <c r="G304" t="str">
        <f t="shared" si="36"/>
        <v/>
      </c>
      <c r="H304" t="str">
        <f t="shared" si="37"/>
        <v/>
      </c>
      <c r="I304" t="str">
        <f t="shared" si="38"/>
        <v/>
      </c>
      <c r="J304" t="str">
        <f t="shared" si="42"/>
        <v/>
      </c>
    </row>
    <row r="305" spans="2:10">
      <c r="B305" t="str">
        <f t="shared" si="43"/>
        <v>Zabór</v>
      </c>
      <c r="C305" t="str">
        <f t="shared" si="34"/>
        <v/>
      </c>
      <c r="D305" t="str">
        <f t="shared" si="32"/>
        <v/>
      </c>
      <c r="E305" t="str">
        <f t="shared" si="33"/>
        <v/>
      </c>
      <c r="F305" t="str">
        <f t="shared" si="35"/>
        <v/>
      </c>
      <c r="G305" t="str">
        <f t="shared" si="36"/>
        <v/>
      </c>
      <c r="H305" t="str">
        <f t="shared" si="37"/>
        <v/>
      </c>
      <c r="I305" t="str">
        <f t="shared" si="38"/>
        <v/>
      </c>
      <c r="J305" t="str">
        <f t="shared" si="42"/>
        <v/>
      </c>
    </row>
    <row r="306" spans="2:10">
      <c r="B306" t="str">
        <f t="shared" si="43"/>
        <v>Zabór</v>
      </c>
      <c r="C306" t="str">
        <f t="shared" si="34"/>
        <v/>
      </c>
      <c r="D306" t="str">
        <f t="shared" si="32"/>
        <v/>
      </c>
      <c r="E306" t="str">
        <f t="shared" si="33"/>
        <v/>
      </c>
      <c r="F306" t="str">
        <f t="shared" si="35"/>
        <v/>
      </c>
      <c r="G306" t="str">
        <f t="shared" si="36"/>
        <v/>
      </c>
      <c r="H306" t="str">
        <f t="shared" si="37"/>
        <v/>
      </c>
      <c r="I306" t="str">
        <f t="shared" si="38"/>
        <v/>
      </c>
      <c r="J306" t="str">
        <f t="shared" si="42"/>
        <v/>
      </c>
    </row>
    <row r="307" spans="2:10">
      <c r="B307" t="str">
        <f t="shared" si="43"/>
        <v>Zabór</v>
      </c>
      <c r="C307" t="str">
        <f t="shared" si="34"/>
        <v/>
      </c>
      <c r="D307" t="str">
        <f t="shared" si="32"/>
        <v/>
      </c>
      <c r="E307" t="str">
        <f t="shared" si="33"/>
        <v/>
      </c>
      <c r="F307" t="str">
        <f t="shared" si="35"/>
        <v/>
      </c>
      <c r="G307" t="str">
        <f t="shared" si="36"/>
        <v/>
      </c>
      <c r="H307" t="str">
        <f t="shared" si="37"/>
        <v/>
      </c>
      <c r="I307" t="str">
        <f t="shared" si="38"/>
        <v/>
      </c>
      <c r="J307" t="str">
        <f t="shared" si="42"/>
        <v/>
      </c>
    </row>
    <row r="308" spans="2:10">
      <c r="B308" t="str">
        <f t="shared" si="43"/>
        <v>Zabór</v>
      </c>
      <c r="C308" t="str">
        <f t="shared" si="34"/>
        <v/>
      </c>
      <c r="D308" t="str">
        <f t="shared" si="32"/>
        <v/>
      </c>
      <c r="E308" t="str">
        <f t="shared" si="33"/>
        <v/>
      </c>
      <c r="F308" t="str">
        <f t="shared" si="35"/>
        <v/>
      </c>
      <c r="G308" t="str">
        <f t="shared" si="36"/>
        <v/>
      </c>
      <c r="H308" t="str">
        <f t="shared" si="37"/>
        <v/>
      </c>
      <c r="I308" t="str">
        <f t="shared" si="38"/>
        <v/>
      </c>
      <c r="J308" t="str">
        <f t="shared" si="42"/>
        <v/>
      </c>
    </row>
    <row r="309" spans="2:10">
      <c r="B309" t="str">
        <f t="shared" si="43"/>
        <v>Zabór</v>
      </c>
      <c r="C309" t="str">
        <f t="shared" si="34"/>
        <v/>
      </c>
      <c r="D309" t="str">
        <f t="shared" si="32"/>
        <v/>
      </c>
      <c r="E309" t="str">
        <f t="shared" si="33"/>
        <v/>
      </c>
      <c r="F309" t="str">
        <f t="shared" si="35"/>
        <v/>
      </c>
      <c r="G309" t="str">
        <f t="shared" si="36"/>
        <v/>
      </c>
      <c r="H309" t="str">
        <f t="shared" si="37"/>
        <v/>
      </c>
      <c r="I309" t="str">
        <f t="shared" si="38"/>
        <v/>
      </c>
      <c r="J309" t="str">
        <f t="shared" si="42"/>
        <v/>
      </c>
    </row>
    <row r="310" spans="2:10">
      <c r="B310" t="str">
        <f t="shared" si="43"/>
        <v>Zabór</v>
      </c>
      <c r="C310" t="str">
        <f t="shared" si="34"/>
        <v/>
      </c>
      <c r="D310" t="str">
        <f t="shared" si="32"/>
        <v/>
      </c>
      <c r="E310" t="str">
        <f t="shared" si="33"/>
        <v/>
      </c>
      <c r="F310" t="str">
        <f t="shared" si="35"/>
        <v/>
      </c>
      <c r="G310" t="str">
        <f t="shared" si="36"/>
        <v/>
      </c>
      <c r="H310" t="str">
        <f t="shared" si="37"/>
        <v/>
      </c>
      <c r="I310" t="str">
        <f t="shared" si="38"/>
        <v/>
      </c>
      <c r="J310" t="str">
        <f t="shared" si="42"/>
        <v/>
      </c>
    </row>
    <row r="311" spans="2:10">
      <c r="B311" t="str">
        <f t="shared" si="43"/>
        <v>Zabór</v>
      </c>
      <c r="C311" t="str">
        <f t="shared" si="34"/>
        <v/>
      </c>
      <c r="D311" t="str">
        <f t="shared" si="32"/>
        <v/>
      </c>
      <c r="E311" t="str">
        <f t="shared" si="33"/>
        <v/>
      </c>
      <c r="F311" t="str">
        <f t="shared" si="35"/>
        <v/>
      </c>
      <c r="G311" t="str">
        <f t="shared" si="36"/>
        <v/>
      </c>
      <c r="H311" t="str">
        <f t="shared" si="37"/>
        <v/>
      </c>
      <c r="I311" t="str">
        <f t="shared" si="38"/>
        <v/>
      </c>
      <c r="J311" t="str">
        <f t="shared" ref="J311:J317" si="44">IF(E311&gt;"",IF(ISERR(FIND("DKK",A318)),"",A318),"")</f>
        <v/>
      </c>
    </row>
    <row r="312" spans="2:10">
      <c r="B312" t="str">
        <f t="shared" si="43"/>
        <v>Zabór</v>
      </c>
      <c r="C312" t="str">
        <f t="shared" si="34"/>
        <v/>
      </c>
      <c r="D312" t="str">
        <f t="shared" si="32"/>
        <v/>
      </c>
      <c r="E312" t="str">
        <f t="shared" si="33"/>
        <v/>
      </c>
      <c r="F312" t="str">
        <f t="shared" si="35"/>
        <v/>
      </c>
      <c r="G312" t="str">
        <f t="shared" si="36"/>
        <v/>
      </c>
      <c r="H312" t="str">
        <f t="shared" si="37"/>
        <v/>
      </c>
      <c r="I312" t="str">
        <f>IF(E312&gt;"",IF(ISERR(FIND("DKK",#REF!)),"",#REF!),"")</f>
        <v/>
      </c>
      <c r="J312" t="str">
        <f t="shared" si="44"/>
        <v/>
      </c>
    </row>
    <row r="313" spans="2:10">
      <c r="B313" t="str">
        <f t="shared" si="43"/>
        <v>Zabór</v>
      </c>
      <c r="C313" t="str">
        <f t="shared" si="34"/>
        <v/>
      </c>
      <c r="D313" t="str">
        <f t="shared" si="32"/>
        <v/>
      </c>
      <c r="E313" t="str">
        <f t="shared" si="33"/>
        <v/>
      </c>
      <c r="F313" t="str">
        <f t="shared" si="35"/>
        <v/>
      </c>
      <c r="G313" t="str">
        <f t="shared" si="36"/>
        <v/>
      </c>
      <c r="H313" t="str">
        <f>IF(E313&gt;"",MID(#REF!,FIND("e-mail:",#REF!)+8,100),"")</f>
        <v/>
      </c>
      <c r="I313" t="str">
        <f>IF(E313&gt;"",IF(ISERR(FIND("DKK",A318)),"",A318),"")</f>
        <v/>
      </c>
      <c r="J313" t="str">
        <f t="shared" si="44"/>
        <v/>
      </c>
    </row>
    <row r="314" spans="2:10">
      <c r="B314" t="str">
        <f t="shared" si="43"/>
        <v>Zabór</v>
      </c>
      <c r="C314" t="str">
        <f t="shared" si="34"/>
        <v/>
      </c>
      <c r="D314" t="str">
        <f t="shared" si="32"/>
        <v/>
      </c>
      <c r="E314" t="str">
        <f t="shared" si="33"/>
        <v/>
      </c>
      <c r="F314" t="str">
        <f t="shared" si="35"/>
        <v/>
      </c>
      <c r="G314" t="str">
        <f>IF(E314&gt;"",MID(#REF!,FIND(":",#REF!)+2,60),"")</f>
        <v/>
      </c>
      <c r="H314" t="str">
        <f>IF(E314&gt;"",MID(A318,FIND("e-mail:",A318)+8,100),"")</f>
        <v/>
      </c>
      <c r="I314" t="str">
        <f>IF(E314&gt;"",IF(ISERR(FIND("DKK",A319)),"",A319),"")</f>
        <v/>
      </c>
      <c r="J314" t="str">
        <f t="shared" si="44"/>
        <v/>
      </c>
    </row>
    <row r="315" spans="2:10">
      <c r="B315" t="str">
        <f t="shared" si="43"/>
        <v>Zabór</v>
      </c>
      <c r="C315" t="str">
        <f t="shared" si="34"/>
        <v/>
      </c>
      <c r="D315" t="str">
        <f t="shared" si="32"/>
        <v/>
      </c>
      <c r="E315" t="str">
        <f t="shared" si="33"/>
        <v/>
      </c>
      <c r="F315" t="str">
        <f>IF(E315&gt;"",MID(#REF!,FIND("tel.",#REF!)+4,15),"")</f>
        <v/>
      </c>
      <c r="G315" t="str">
        <f>IF(E315&gt;"",MID(A318,FIND(":",A318)+2,60),"")</f>
        <v/>
      </c>
      <c r="H315" t="str">
        <f>IF(E315&gt;"",MID(A319,FIND("e-mail:",A319)+8,100),"")</f>
        <v/>
      </c>
      <c r="I315" t="str">
        <f>IF(E315&gt;"",IF(ISERR(FIND("DKK",A320)),"",A320),"")</f>
        <v/>
      </c>
      <c r="J315" t="str">
        <f t="shared" si="44"/>
        <v/>
      </c>
    </row>
    <row r="316" spans="2:10">
      <c r="B316" t="str">
        <f t="shared" si="43"/>
        <v>Zabór</v>
      </c>
      <c r="C316" t="str">
        <f t="shared" si="34"/>
        <v/>
      </c>
      <c r="D316" t="str">
        <f t="shared" si="32"/>
        <v/>
      </c>
      <c r="E316" t="str">
        <f>IF(C316&gt;"",#REF!,"")</f>
        <v/>
      </c>
      <c r="F316" t="str">
        <f>IF(E316&gt;"",MID(A318,FIND("tel.",A318)+4,15),"")</f>
        <v/>
      </c>
      <c r="G316" t="str">
        <f>IF(E316&gt;"",MID(A319,FIND(":",A319)+2,60),"")</f>
        <v/>
      </c>
      <c r="H316" t="str">
        <f>IF(E316&gt;"",MID(A320,FIND("e-mail:",A320)+8,100),"")</f>
        <v/>
      </c>
      <c r="I316" t="str">
        <f>IF(E316&gt;"",IF(ISERR(FIND("DKK",A321)),"",A321),"")</f>
        <v/>
      </c>
      <c r="J316" t="str">
        <f t="shared" si="44"/>
        <v/>
      </c>
    </row>
    <row r="317" spans="2:10">
      <c r="B317" t="str">
        <f t="shared" si="43"/>
        <v>Zabór</v>
      </c>
      <c r="C317" t="str">
        <f t="shared" si="34"/>
        <v/>
      </c>
      <c r="D317" t="str">
        <f>IF(C317&gt;"",#REF!,"")</f>
        <v/>
      </c>
      <c r="E317" t="str">
        <f>IF(C317&gt;"",A318,"")</f>
        <v/>
      </c>
      <c r="F317" t="str">
        <f>IF(E317&gt;"",MID(A319,FIND("tel.",A319)+4,15),"")</f>
        <v/>
      </c>
      <c r="G317" t="str">
        <f>IF(E317&gt;"",MID(A320,FIND(":",A320)+2,60),"")</f>
        <v/>
      </c>
      <c r="H317" t="str">
        <f>IF(E317&gt;"",MID(A321,FIND("e-mail:",A321)+8,100),"")</f>
        <v/>
      </c>
      <c r="I317" t="str">
        <f>IF(E317&gt;"",IF(ISERR(FIND("DKK",A322)),"",A322),"")</f>
        <v/>
      </c>
      <c r="J317" t="str">
        <f t="shared" si="44"/>
        <v/>
      </c>
    </row>
    <row r="318" spans="2:10">
      <c r="B318" t="str">
        <f t="shared" si="43"/>
        <v>Zabór</v>
      </c>
      <c r="C318" t="str">
        <f t="shared" si="34"/>
        <v/>
      </c>
      <c r="D318" t="str">
        <f t="shared" si="32"/>
        <v/>
      </c>
      <c r="E318" t="str">
        <f t="shared" si="33"/>
        <v/>
      </c>
      <c r="F318" t="str">
        <f t="shared" si="35"/>
        <v/>
      </c>
      <c r="G318" t="str">
        <f t="shared" si="36"/>
        <v/>
      </c>
      <c r="H318" t="str">
        <f t="shared" si="37"/>
        <v/>
      </c>
      <c r="I318" t="str">
        <f t="shared" si="38"/>
        <v/>
      </c>
      <c r="J318" t="str">
        <f t="shared" si="42"/>
        <v/>
      </c>
    </row>
    <row r="319" spans="2:10">
      <c r="B319" t="str">
        <f t="shared" si="43"/>
        <v>Zabór</v>
      </c>
      <c r="C319" t="str">
        <f t="shared" si="34"/>
        <v/>
      </c>
      <c r="D319" t="str">
        <f t="shared" si="32"/>
        <v/>
      </c>
      <c r="E319" t="str">
        <f t="shared" si="33"/>
        <v/>
      </c>
      <c r="F319" t="str">
        <f t="shared" si="35"/>
        <v/>
      </c>
      <c r="G319" t="str">
        <f t="shared" si="36"/>
        <v/>
      </c>
      <c r="H319" t="str">
        <f t="shared" si="37"/>
        <v/>
      </c>
      <c r="I319" t="str">
        <f t="shared" si="38"/>
        <v/>
      </c>
      <c r="J319" t="str">
        <f t="shared" si="42"/>
        <v/>
      </c>
    </row>
    <row r="320" spans="2:10">
      <c r="B320" t="str">
        <f t="shared" si="43"/>
        <v>Zabór</v>
      </c>
      <c r="C320" t="str">
        <f t="shared" si="34"/>
        <v/>
      </c>
      <c r="D320" t="str">
        <f t="shared" si="32"/>
        <v/>
      </c>
      <c r="E320" t="str">
        <f t="shared" si="33"/>
        <v/>
      </c>
      <c r="F320" t="str">
        <f t="shared" si="35"/>
        <v/>
      </c>
      <c r="G320" t="str">
        <f t="shared" si="36"/>
        <v/>
      </c>
      <c r="H320" t="str">
        <f t="shared" si="37"/>
        <v/>
      </c>
      <c r="I320" t="str">
        <f t="shared" si="38"/>
        <v/>
      </c>
      <c r="J320" t="str">
        <f t="shared" ref="J320:J326" si="45">IF(E320&gt;"",IF(ISERR(FIND("DKK",A328)),"",A328),"")</f>
        <v/>
      </c>
    </row>
    <row r="321" spans="2:10">
      <c r="B321" t="str">
        <f t="shared" si="43"/>
        <v>Zabór</v>
      </c>
      <c r="C321" t="str">
        <f t="shared" si="34"/>
        <v/>
      </c>
      <c r="D321" t="str">
        <f t="shared" si="32"/>
        <v/>
      </c>
      <c r="E321" t="str">
        <f t="shared" si="33"/>
        <v/>
      </c>
      <c r="F321" t="str">
        <f t="shared" si="35"/>
        <v/>
      </c>
      <c r="G321" t="str">
        <f t="shared" si="36"/>
        <v/>
      </c>
      <c r="H321" t="str">
        <f t="shared" si="37"/>
        <v/>
      </c>
      <c r="I321" t="str">
        <f t="shared" ref="I321:I326" si="46">IF(E321&gt;"",IF(ISERR(FIND("DKK",A328)),"",A328),"")</f>
        <v/>
      </c>
      <c r="J321" t="str">
        <f t="shared" si="45"/>
        <v/>
      </c>
    </row>
    <row r="322" spans="2:10">
      <c r="B322" t="str">
        <f t="shared" si="43"/>
        <v>Zabór</v>
      </c>
      <c r="C322" t="str">
        <f t="shared" si="34"/>
        <v/>
      </c>
      <c r="D322" t="str">
        <f t="shared" si="32"/>
        <v/>
      </c>
      <c r="E322" t="str">
        <f t="shared" si="33"/>
        <v/>
      </c>
      <c r="F322" t="str">
        <f t="shared" si="35"/>
        <v/>
      </c>
      <c r="G322" t="str">
        <f t="shared" si="36"/>
        <v/>
      </c>
      <c r="H322" t="str">
        <f>IF(E322&gt;"",MID(A328,FIND("e-mail:",A328)+8,100),"")</f>
        <v/>
      </c>
      <c r="I322" t="str">
        <f t="shared" si="46"/>
        <v/>
      </c>
      <c r="J322" t="str">
        <f t="shared" si="45"/>
        <v/>
      </c>
    </row>
    <row r="323" spans="2:10">
      <c r="B323" t="str">
        <f t="shared" si="43"/>
        <v>Zabór</v>
      </c>
      <c r="C323" t="str">
        <f t="shared" si="34"/>
        <v/>
      </c>
      <c r="D323" t="str">
        <f t="shared" si="32"/>
        <v/>
      </c>
      <c r="E323" t="str">
        <f t="shared" si="33"/>
        <v/>
      </c>
      <c r="F323" t="str">
        <f t="shared" si="35"/>
        <v/>
      </c>
      <c r="G323" t="str">
        <f>IF(E323&gt;"",MID(A328,FIND(":",A328)+2,60),"")</f>
        <v/>
      </c>
      <c r="H323" t="str">
        <f>IF(E323&gt;"",MID(A329,FIND("e-mail:",A329)+8,100),"")</f>
        <v/>
      </c>
      <c r="I323" t="str">
        <f t="shared" si="46"/>
        <v/>
      </c>
      <c r="J323" t="str">
        <f t="shared" si="45"/>
        <v/>
      </c>
    </row>
    <row r="324" spans="2:10">
      <c r="B324" t="str">
        <f t="shared" si="43"/>
        <v>Zabór</v>
      </c>
      <c r="C324" t="str">
        <f t="shared" si="34"/>
        <v/>
      </c>
      <c r="D324" t="str">
        <f t="shared" si="32"/>
        <v/>
      </c>
      <c r="E324" t="str">
        <f t="shared" si="33"/>
        <v/>
      </c>
      <c r="F324" t="str">
        <f>IF(E324&gt;"",MID(A328,FIND("tel.",A328)+4,15),"")</f>
        <v/>
      </c>
      <c r="G324" t="str">
        <f>IF(E324&gt;"",MID(A329,FIND(":",A329)+2,60),"")</f>
        <v/>
      </c>
      <c r="H324" t="str">
        <f>IF(E324&gt;"",MID(A330,FIND("e-mail:",A330)+8,100),"")</f>
        <v/>
      </c>
      <c r="I324" t="str">
        <f t="shared" si="46"/>
        <v/>
      </c>
      <c r="J324" t="str">
        <f t="shared" si="45"/>
        <v/>
      </c>
    </row>
    <row r="325" spans="2:10">
      <c r="B325" t="str">
        <f t="shared" si="43"/>
        <v>Zabór</v>
      </c>
      <c r="C325" t="str">
        <f t="shared" si="34"/>
        <v/>
      </c>
      <c r="D325" t="str">
        <f t="shared" si="32"/>
        <v/>
      </c>
      <c r="E325" t="str">
        <f>IF(C325&gt;"",A328,"")</f>
        <v/>
      </c>
      <c r="F325" t="str">
        <f>IF(E325&gt;"",MID(A329,FIND("tel.",A329)+4,15),"")</f>
        <v/>
      </c>
      <c r="G325" t="str">
        <f>IF(E325&gt;"",MID(A330,FIND(":",A330)+2,60),"")</f>
        <v/>
      </c>
      <c r="H325" t="str">
        <f>IF(E325&gt;"",MID(A331,FIND("e-mail:",A331)+8,100),"")</f>
        <v/>
      </c>
      <c r="I325" t="str">
        <f t="shared" si="46"/>
        <v/>
      </c>
      <c r="J325" t="str">
        <f t="shared" si="45"/>
        <v/>
      </c>
    </row>
    <row r="326" spans="2:10">
      <c r="B326" t="str">
        <f t="shared" si="43"/>
        <v>Zabór</v>
      </c>
      <c r="C326" t="str">
        <f t="shared" si="34"/>
        <v/>
      </c>
      <c r="D326" t="str">
        <f>IF(C326&gt;"",A328,"")</f>
        <v/>
      </c>
      <c r="E326" t="str">
        <f>IF(C326&gt;"",A329,"")</f>
        <v/>
      </c>
      <c r="F326" t="str">
        <f>IF(E326&gt;"",MID(A330,FIND("tel.",A330)+4,15),"")</f>
        <v/>
      </c>
      <c r="G326" t="str">
        <f>IF(E326&gt;"",MID(A331,FIND(":",A331)+2,60),"")</f>
        <v/>
      </c>
      <c r="H326" t="str">
        <f>IF(E326&gt;"",MID(A332,FIND("e-mail:",A332)+8,100),"")</f>
        <v/>
      </c>
      <c r="I326" t="str">
        <f t="shared" si="46"/>
        <v/>
      </c>
      <c r="J326" t="str">
        <f t="shared" si="45"/>
        <v/>
      </c>
    </row>
    <row r="327" spans="2:10">
      <c r="B327" t="str">
        <f t="shared" si="43"/>
        <v>Zabór</v>
      </c>
    </row>
    <row r="328" spans="2:10">
      <c r="B328" t="str">
        <f t="shared" si="43"/>
        <v>Zabór</v>
      </c>
      <c r="C328" t="str">
        <f t="shared" si="34"/>
        <v/>
      </c>
      <c r="D328" t="str">
        <f t="shared" si="32"/>
        <v/>
      </c>
      <c r="E328" t="str">
        <f t="shared" si="33"/>
        <v/>
      </c>
      <c r="F328" t="str">
        <f t="shared" si="35"/>
        <v/>
      </c>
      <c r="G328" t="str">
        <f t="shared" si="36"/>
        <v/>
      </c>
      <c r="H328" t="str">
        <f t="shared" si="37"/>
        <v/>
      </c>
      <c r="I328" t="str">
        <f t="shared" si="38"/>
        <v/>
      </c>
      <c r="J328" t="str">
        <f t="shared" si="42"/>
        <v/>
      </c>
    </row>
    <row r="329" spans="2:10">
      <c r="B329" t="str">
        <f t="shared" si="43"/>
        <v>Zabór</v>
      </c>
      <c r="C329" t="str">
        <f t="shared" si="34"/>
        <v/>
      </c>
      <c r="D329" t="str">
        <f t="shared" si="32"/>
        <v/>
      </c>
      <c r="E329" t="str">
        <f t="shared" si="33"/>
        <v/>
      </c>
      <c r="F329" t="str">
        <f t="shared" si="35"/>
        <v/>
      </c>
      <c r="G329" t="str">
        <f t="shared" si="36"/>
        <v/>
      </c>
      <c r="H329" t="str">
        <f t="shared" si="37"/>
        <v/>
      </c>
      <c r="I329" t="str">
        <f t="shared" si="38"/>
        <v/>
      </c>
      <c r="J329" t="str">
        <f>IF(E329&gt;"",IF(ISERR(FIND("DKK",#REF!)),"",#REF!),"")</f>
        <v/>
      </c>
    </row>
    <row r="330" spans="2:10">
      <c r="B330" t="str">
        <f t="shared" si="43"/>
        <v>Zabór</v>
      </c>
      <c r="C330" t="str">
        <f t="shared" si="34"/>
        <v/>
      </c>
      <c r="D330" t="str">
        <f t="shared" si="32"/>
        <v/>
      </c>
      <c r="E330" t="str">
        <f t="shared" si="33"/>
        <v/>
      </c>
      <c r="F330" t="str">
        <f t="shared" si="35"/>
        <v/>
      </c>
      <c r="G330" t="str">
        <f t="shared" si="36"/>
        <v/>
      </c>
      <c r="H330" t="str">
        <f t="shared" si="37"/>
        <v/>
      </c>
      <c r="I330" t="str">
        <f>IF(E330&gt;"",IF(ISERR(FIND("DKK",#REF!)),"",#REF!),"")</f>
        <v/>
      </c>
      <c r="J330" t="str">
        <f t="shared" ref="J330:J335" si="47">IF(E330&gt;"",IF(ISERR(FIND("DKK",A336)),"",A336),"")</f>
        <v/>
      </c>
    </row>
    <row r="331" spans="2:10">
      <c r="B331" t="str">
        <f t="shared" si="43"/>
        <v>Zabór</v>
      </c>
      <c r="C331" t="str">
        <f t="shared" si="34"/>
        <v/>
      </c>
      <c r="D331" t="str">
        <f t="shared" si="32"/>
        <v/>
      </c>
      <c r="E331" t="str">
        <f t="shared" si="33"/>
        <v/>
      </c>
      <c r="F331" t="str">
        <f t="shared" si="35"/>
        <v/>
      </c>
      <c r="G331" t="str">
        <f t="shared" si="36"/>
        <v/>
      </c>
      <c r="H331" t="str">
        <f>IF(E331&gt;"",MID(#REF!,FIND("e-mail:",#REF!)+8,100),"")</f>
        <v/>
      </c>
      <c r="I331" t="str">
        <f>IF(E331&gt;"",IF(ISERR(FIND("DKK",A336)),"",A336),"")</f>
        <v/>
      </c>
      <c r="J331" t="str">
        <f t="shared" si="47"/>
        <v/>
      </c>
    </row>
    <row r="332" spans="2:10">
      <c r="B332" t="str">
        <f t="shared" si="43"/>
        <v>Zabór</v>
      </c>
      <c r="C332" t="str">
        <f t="shared" si="34"/>
        <v/>
      </c>
      <c r="D332" t="str">
        <f t="shared" si="32"/>
        <v/>
      </c>
      <c r="E332" t="str">
        <f t="shared" si="33"/>
        <v/>
      </c>
      <c r="F332" t="str">
        <f t="shared" si="35"/>
        <v/>
      </c>
      <c r="G332" t="str">
        <f>IF(E332&gt;"",MID(#REF!,FIND(":",#REF!)+2,60),"")</f>
        <v/>
      </c>
      <c r="H332" t="str">
        <f>IF(E332&gt;"",MID(A336,FIND("e-mail:",A336)+8,100),"")</f>
        <v/>
      </c>
      <c r="I332" t="str">
        <f>IF(E332&gt;"",IF(ISERR(FIND("DKK",A337)),"",A337),"")</f>
        <v/>
      </c>
      <c r="J332" t="str">
        <f t="shared" si="47"/>
        <v/>
      </c>
    </row>
    <row r="333" spans="2:10">
      <c r="B333" t="str">
        <f t="shared" si="43"/>
        <v>Zabór</v>
      </c>
      <c r="C333" t="str">
        <f t="shared" si="34"/>
        <v/>
      </c>
      <c r="D333" t="str">
        <f t="shared" si="32"/>
        <v/>
      </c>
      <c r="E333" t="str">
        <f t="shared" si="33"/>
        <v/>
      </c>
      <c r="F333" t="str">
        <f>IF(E333&gt;"",MID(#REF!,FIND("tel.",#REF!)+4,15),"")</f>
        <v/>
      </c>
      <c r="G333" t="str">
        <f>IF(E333&gt;"",MID(A336,FIND(":",A336)+2,60),"")</f>
        <v/>
      </c>
      <c r="H333" t="str">
        <f>IF(E333&gt;"",MID(A337,FIND("e-mail:",A337)+8,100),"")</f>
        <v/>
      </c>
      <c r="I333" t="str">
        <f>IF(E333&gt;"",IF(ISERR(FIND("DKK",A338)),"",A338),"")</f>
        <v/>
      </c>
      <c r="J333" t="str">
        <f t="shared" si="47"/>
        <v/>
      </c>
    </row>
    <row r="334" spans="2:10">
      <c r="B334" t="str">
        <f t="shared" si="43"/>
        <v>Zabór</v>
      </c>
      <c r="C334" t="str">
        <f t="shared" si="34"/>
        <v/>
      </c>
      <c r="D334" t="str">
        <f t="shared" si="32"/>
        <v/>
      </c>
      <c r="E334" t="str">
        <f>IF(C334&gt;"",#REF!,"")</f>
        <v/>
      </c>
      <c r="F334" t="str">
        <f>IF(E334&gt;"",MID(A336,FIND("tel.",A336)+4,15),"")</f>
        <v/>
      </c>
      <c r="G334" t="str">
        <f>IF(E334&gt;"",MID(A337,FIND(":",A337)+2,60),"")</f>
        <v/>
      </c>
      <c r="H334" t="str">
        <f>IF(E334&gt;"",MID(A338,FIND("e-mail:",A338)+8,100),"")</f>
        <v/>
      </c>
      <c r="I334" t="str">
        <f>IF(E334&gt;"",IF(ISERR(FIND("DKK",A339)),"",A339),"")</f>
        <v/>
      </c>
      <c r="J334" t="str">
        <f t="shared" si="47"/>
        <v/>
      </c>
    </row>
    <row r="335" spans="2:10">
      <c r="B335" t="str">
        <f t="shared" si="43"/>
        <v>Zabór</v>
      </c>
      <c r="C335" t="str">
        <f t="shared" si="34"/>
        <v/>
      </c>
      <c r="D335" t="str">
        <f>IF(C335&gt;"",#REF!,"")</f>
        <v/>
      </c>
      <c r="E335" t="str">
        <f>IF(C335&gt;"",A336,"")</f>
        <v/>
      </c>
      <c r="F335" t="str">
        <f>IF(E335&gt;"",MID(A337,FIND("tel.",A337)+4,15),"")</f>
        <v/>
      </c>
      <c r="G335" t="str">
        <f>IF(E335&gt;"",MID(A338,FIND(":",A338)+2,60),"")</f>
        <v/>
      </c>
      <c r="H335" t="str">
        <f>IF(E335&gt;"",MID(A339,FIND("e-mail:",A339)+8,100),"")</f>
        <v/>
      </c>
      <c r="I335" t="str">
        <f>IF(E335&gt;"",IF(ISERR(FIND("DKK",A340)),"",A340),"")</f>
        <v/>
      </c>
      <c r="J335" t="str">
        <f t="shared" si="47"/>
        <v/>
      </c>
    </row>
    <row r="336" spans="2:10">
      <c r="B336" t="str">
        <f t="shared" si="43"/>
        <v>Zabór</v>
      </c>
      <c r="C336" t="str">
        <f t="shared" si="34"/>
        <v/>
      </c>
      <c r="D336" t="str">
        <f t="shared" si="32"/>
        <v/>
      </c>
      <c r="E336" t="str">
        <f t="shared" si="33"/>
        <v/>
      </c>
      <c r="F336" t="str">
        <f t="shared" si="35"/>
        <v/>
      </c>
      <c r="G336" t="str">
        <f t="shared" si="36"/>
        <v/>
      </c>
      <c r="H336" t="str">
        <f t="shared" si="37"/>
        <v/>
      </c>
      <c r="I336" t="str">
        <f t="shared" si="38"/>
        <v/>
      </c>
      <c r="J336" t="str">
        <f t="shared" si="42"/>
        <v/>
      </c>
    </row>
    <row r="337" spans="2:10">
      <c r="B337" t="str">
        <f t="shared" si="43"/>
        <v>Zabór</v>
      </c>
      <c r="C337" t="str">
        <f t="shared" si="34"/>
        <v/>
      </c>
      <c r="D337" t="str">
        <f t="shared" si="32"/>
        <v/>
      </c>
      <c r="E337" t="str">
        <f t="shared" si="33"/>
        <v/>
      </c>
      <c r="F337" t="str">
        <f t="shared" si="35"/>
        <v/>
      </c>
      <c r="G337" t="str">
        <f t="shared" si="36"/>
        <v/>
      </c>
      <c r="H337" t="str">
        <f t="shared" si="37"/>
        <v/>
      </c>
      <c r="I337" t="str">
        <f t="shared" si="38"/>
        <v/>
      </c>
      <c r="J337" t="str">
        <f t="shared" si="42"/>
        <v/>
      </c>
    </row>
    <row r="338" spans="2:10">
      <c r="B338" t="str">
        <f t="shared" si="43"/>
        <v>Zabór</v>
      </c>
      <c r="C338" t="str">
        <f t="shared" si="34"/>
        <v/>
      </c>
      <c r="D338" t="str">
        <f t="shared" si="32"/>
        <v/>
      </c>
      <c r="E338" t="str">
        <f t="shared" si="33"/>
        <v/>
      </c>
      <c r="F338" t="str">
        <f t="shared" si="35"/>
        <v/>
      </c>
      <c r="G338" t="str">
        <f t="shared" si="36"/>
        <v/>
      </c>
      <c r="H338" t="str">
        <f t="shared" si="37"/>
        <v/>
      </c>
      <c r="I338" t="str">
        <f t="shared" si="38"/>
        <v/>
      </c>
      <c r="J338" t="str">
        <f t="shared" si="42"/>
        <v/>
      </c>
    </row>
    <row r="339" spans="2:10">
      <c r="B339" t="str">
        <f t="shared" si="43"/>
        <v>Zabór</v>
      </c>
      <c r="C339" t="str">
        <f t="shared" si="34"/>
        <v/>
      </c>
      <c r="D339" t="str">
        <f t="shared" si="32"/>
        <v/>
      </c>
      <c r="E339" t="str">
        <f t="shared" si="33"/>
        <v/>
      </c>
      <c r="F339" t="str">
        <f t="shared" si="35"/>
        <v/>
      </c>
      <c r="G339" t="str">
        <f t="shared" si="36"/>
        <v/>
      </c>
      <c r="H339" t="str">
        <f t="shared" si="37"/>
        <v/>
      </c>
      <c r="I339" t="str">
        <f t="shared" si="38"/>
        <v/>
      </c>
      <c r="J339" t="str">
        <f t="shared" si="42"/>
        <v/>
      </c>
    </row>
    <row r="340" spans="2:10">
      <c r="B340" t="str">
        <f t="shared" si="43"/>
        <v>Zabór</v>
      </c>
      <c r="C340" t="str">
        <f t="shared" si="34"/>
        <v/>
      </c>
      <c r="D340" t="str">
        <f t="shared" si="32"/>
        <v/>
      </c>
      <c r="E340" t="str">
        <f t="shared" si="33"/>
        <v/>
      </c>
      <c r="F340" t="str">
        <f t="shared" si="35"/>
        <v/>
      </c>
      <c r="G340" t="str">
        <f t="shared" si="36"/>
        <v/>
      </c>
      <c r="H340" t="str">
        <f t="shared" si="37"/>
        <v/>
      </c>
      <c r="I340" t="str">
        <f t="shared" si="38"/>
        <v/>
      </c>
      <c r="J340" t="str">
        <f t="shared" si="42"/>
        <v/>
      </c>
    </row>
    <row r="341" spans="2:10">
      <c r="B341" t="str">
        <f t="shared" si="43"/>
        <v>Zabór</v>
      </c>
      <c r="C341" t="str">
        <f t="shared" si="34"/>
        <v/>
      </c>
      <c r="D341" t="str">
        <f t="shared" si="32"/>
        <v/>
      </c>
      <c r="E341" t="str">
        <f t="shared" si="33"/>
        <v/>
      </c>
      <c r="F341" t="str">
        <f t="shared" si="35"/>
        <v/>
      </c>
      <c r="G341" t="str">
        <f t="shared" si="36"/>
        <v/>
      </c>
      <c r="H341" t="str">
        <f t="shared" si="37"/>
        <v/>
      </c>
      <c r="I341" t="str">
        <f t="shared" si="38"/>
        <v/>
      </c>
      <c r="J341" t="str">
        <f t="shared" si="42"/>
        <v/>
      </c>
    </row>
    <row r="342" spans="2:10">
      <c r="B342" t="str">
        <f t="shared" si="43"/>
        <v>Zabór</v>
      </c>
      <c r="C342" t="str">
        <f t="shared" si="34"/>
        <v/>
      </c>
      <c r="D342" t="str">
        <f t="shared" si="32"/>
        <v/>
      </c>
      <c r="E342" t="str">
        <f t="shared" si="33"/>
        <v/>
      </c>
      <c r="F342" t="str">
        <f t="shared" si="35"/>
        <v/>
      </c>
      <c r="G342" t="str">
        <f t="shared" si="36"/>
        <v/>
      </c>
      <c r="H342" t="str">
        <f t="shared" si="37"/>
        <v/>
      </c>
      <c r="I342" t="str">
        <f t="shared" si="38"/>
        <v/>
      </c>
      <c r="J342" t="str">
        <f t="shared" si="42"/>
        <v/>
      </c>
    </row>
    <row r="343" spans="2:10">
      <c r="B343" t="str">
        <f t="shared" si="43"/>
        <v>Zabór</v>
      </c>
      <c r="C343" t="str">
        <f t="shared" si="34"/>
        <v/>
      </c>
      <c r="D343" t="str">
        <f t="shared" si="32"/>
        <v/>
      </c>
      <c r="E343" t="str">
        <f t="shared" si="33"/>
        <v/>
      </c>
      <c r="F343" t="str">
        <f t="shared" si="35"/>
        <v/>
      </c>
      <c r="G343" t="str">
        <f t="shared" si="36"/>
        <v/>
      </c>
      <c r="H343" t="str">
        <f t="shared" si="37"/>
        <v/>
      </c>
      <c r="I343" t="str">
        <f t="shared" si="38"/>
        <v/>
      </c>
      <c r="J343" t="str">
        <f t="shared" si="42"/>
        <v/>
      </c>
    </row>
    <row r="344" spans="2:10">
      <c r="B344" t="str">
        <f t="shared" si="43"/>
        <v>Zabór</v>
      </c>
      <c r="C344" t="str">
        <f t="shared" si="34"/>
        <v/>
      </c>
      <c r="D344" t="str">
        <f t="shared" si="32"/>
        <v/>
      </c>
      <c r="E344" t="str">
        <f t="shared" si="33"/>
        <v/>
      </c>
      <c r="F344" t="str">
        <f t="shared" si="35"/>
        <v/>
      </c>
      <c r="G344" t="str">
        <f t="shared" si="36"/>
        <v/>
      </c>
      <c r="H344" t="str">
        <f t="shared" si="37"/>
        <v/>
      </c>
      <c r="I344" t="str">
        <f t="shared" si="38"/>
        <v/>
      </c>
      <c r="J344" t="str">
        <f t="shared" si="42"/>
        <v/>
      </c>
    </row>
    <row r="345" spans="2:10">
      <c r="B345" t="str">
        <f t="shared" si="43"/>
        <v>Zabór</v>
      </c>
      <c r="C345" t="str">
        <f t="shared" ref="C345:C383" si="48">IF(ISERR(FIND($C$1,A345,1)),"",A345)</f>
        <v/>
      </c>
      <c r="D345" t="str">
        <f t="shared" ref="D345:D383" si="49">IF(C345&gt;"",A346,"")</f>
        <v/>
      </c>
      <c r="E345" t="str">
        <f t="shared" ref="E345:E383" si="50">IF(C345&gt;"",A347,"")</f>
        <v/>
      </c>
      <c r="F345" t="str">
        <f t="shared" ref="F345:F383" si="51">IF(E345&gt;"",MID(A348,FIND("tel.",A348)+4,15),"")</f>
        <v/>
      </c>
      <c r="G345" t="str">
        <f t="shared" ref="G345:G383" si="52">IF(E345&gt;"",MID(A349,FIND(":",A349)+2,60),"")</f>
        <v/>
      </c>
      <c r="H345" t="str">
        <f t="shared" ref="H345:H383" si="53">IF(E345&gt;"",MID(A350,FIND("e-mail:",A350)+8,100),"")</f>
        <v/>
      </c>
      <c r="I345" t="str">
        <f t="shared" ref="I345:I383" si="54">IF(E345&gt;"",IF(ISERR(FIND("DKK",A351)),"",A351),"")</f>
        <v/>
      </c>
      <c r="J345" t="str">
        <f t="shared" si="42"/>
        <v/>
      </c>
    </row>
    <row r="346" spans="2:10">
      <c r="B346" t="str">
        <f t="shared" si="43"/>
        <v>Zabór</v>
      </c>
      <c r="C346" t="str">
        <f t="shared" si="48"/>
        <v/>
      </c>
      <c r="D346" t="str">
        <f t="shared" si="49"/>
        <v/>
      </c>
      <c r="E346" t="str">
        <f t="shared" si="50"/>
        <v/>
      </c>
      <c r="F346" t="str">
        <f t="shared" si="51"/>
        <v/>
      </c>
      <c r="G346" t="str">
        <f t="shared" si="52"/>
        <v/>
      </c>
      <c r="H346" t="str">
        <f t="shared" si="53"/>
        <v/>
      </c>
      <c r="I346" t="str">
        <f t="shared" si="54"/>
        <v/>
      </c>
      <c r="J346" t="str">
        <f t="shared" si="42"/>
        <v/>
      </c>
    </row>
    <row r="347" spans="2:10">
      <c r="B347" t="str">
        <f t="shared" si="43"/>
        <v>Zabór</v>
      </c>
      <c r="C347" t="str">
        <f t="shared" si="48"/>
        <v/>
      </c>
      <c r="D347" t="str">
        <f t="shared" si="49"/>
        <v/>
      </c>
      <c r="E347" t="str">
        <f t="shared" si="50"/>
        <v/>
      </c>
      <c r="F347" t="str">
        <f t="shared" si="51"/>
        <v/>
      </c>
      <c r="G347" t="str">
        <f t="shared" si="52"/>
        <v/>
      </c>
      <c r="H347" t="str">
        <f t="shared" si="53"/>
        <v/>
      </c>
      <c r="I347" t="str">
        <f t="shared" si="54"/>
        <v/>
      </c>
      <c r="J347" t="str">
        <f t="shared" si="42"/>
        <v/>
      </c>
    </row>
    <row r="348" spans="2:10">
      <c r="B348" t="str">
        <f t="shared" si="43"/>
        <v>Zabór</v>
      </c>
      <c r="C348" t="str">
        <f t="shared" si="48"/>
        <v/>
      </c>
      <c r="D348" t="str">
        <f t="shared" si="49"/>
        <v/>
      </c>
      <c r="E348" t="str">
        <f t="shared" si="50"/>
        <v/>
      </c>
      <c r="F348" t="str">
        <f t="shared" si="51"/>
        <v/>
      </c>
      <c r="G348" t="str">
        <f t="shared" si="52"/>
        <v/>
      </c>
      <c r="H348" t="str">
        <f t="shared" si="53"/>
        <v/>
      </c>
      <c r="I348" t="str">
        <f t="shared" si="54"/>
        <v/>
      </c>
      <c r="J348" t="str">
        <f t="shared" si="42"/>
        <v/>
      </c>
    </row>
    <row r="349" spans="2:10">
      <c r="B349" t="str">
        <f t="shared" si="43"/>
        <v>Zabór</v>
      </c>
      <c r="C349" t="str">
        <f t="shared" si="48"/>
        <v/>
      </c>
      <c r="D349" t="str">
        <f t="shared" si="49"/>
        <v/>
      </c>
      <c r="E349" t="str">
        <f t="shared" si="50"/>
        <v/>
      </c>
      <c r="F349" t="str">
        <f t="shared" si="51"/>
        <v/>
      </c>
      <c r="G349" t="str">
        <f t="shared" si="52"/>
        <v/>
      </c>
      <c r="H349" t="str">
        <f t="shared" si="53"/>
        <v/>
      </c>
      <c r="I349" t="str">
        <f t="shared" si="54"/>
        <v/>
      </c>
      <c r="J349" t="str">
        <f t="shared" si="42"/>
        <v/>
      </c>
    </row>
    <row r="350" spans="2:10">
      <c r="B350" t="str">
        <f t="shared" si="43"/>
        <v>Zabór</v>
      </c>
      <c r="C350" t="str">
        <f t="shared" si="48"/>
        <v/>
      </c>
      <c r="D350" t="str">
        <f t="shared" si="49"/>
        <v/>
      </c>
      <c r="E350" t="str">
        <f t="shared" si="50"/>
        <v/>
      </c>
      <c r="F350" t="str">
        <f t="shared" si="51"/>
        <v/>
      </c>
      <c r="G350" t="str">
        <f t="shared" si="52"/>
        <v/>
      </c>
      <c r="H350" t="str">
        <f t="shared" si="53"/>
        <v/>
      </c>
      <c r="I350" t="str">
        <f t="shared" si="54"/>
        <v/>
      </c>
      <c r="J350" t="str">
        <f t="shared" si="42"/>
        <v/>
      </c>
    </row>
    <row r="351" spans="2:10">
      <c r="B351" t="str">
        <f t="shared" si="43"/>
        <v>Zabór</v>
      </c>
      <c r="C351" t="str">
        <f t="shared" si="48"/>
        <v/>
      </c>
      <c r="D351" t="str">
        <f t="shared" si="49"/>
        <v/>
      </c>
      <c r="E351" t="str">
        <f t="shared" si="50"/>
        <v/>
      </c>
      <c r="F351" t="str">
        <f t="shared" si="51"/>
        <v/>
      </c>
      <c r="G351" t="str">
        <f t="shared" si="52"/>
        <v/>
      </c>
      <c r="H351" t="str">
        <f t="shared" si="53"/>
        <v/>
      </c>
      <c r="I351" t="str">
        <f t="shared" si="54"/>
        <v/>
      </c>
      <c r="J351" t="str">
        <f t="shared" si="42"/>
        <v/>
      </c>
    </row>
    <row r="352" spans="2:10">
      <c r="B352" t="str">
        <f t="shared" si="43"/>
        <v>Zabór</v>
      </c>
      <c r="C352" t="str">
        <f t="shared" si="48"/>
        <v/>
      </c>
      <c r="D352" t="str">
        <f t="shared" si="49"/>
        <v/>
      </c>
      <c r="E352" t="str">
        <f t="shared" si="50"/>
        <v/>
      </c>
      <c r="F352" t="str">
        <f t="shared" si="51"/>
        <v/>
      </c>
      <c r="G352" t="str">
        <f t="shared" si="52"/>
        <v/>
      </c>
      <c r="H352" t="str">
        <f t="shared" si="53"/>
        <v/>
      </c>
      <c r="I352" t="str">
        <f t="shared" si="54"/>
        <v/>
      </c>
      <c r="J352" t="str">
        <f t="shared" si="42"/>
        <v/>
      </c>
    </row>
    <row r="353" spans="2:10">
      <c r="B353" t="str">
        <f t="shared" si="43"/>
        <v>Zabór</v>
      </c>
      <c r="C353" t="str">
        <f t="shared" si="48"/>
        <v/>
      </c>
      <c r="D353" t="str">
        <f t="shared" si="49"/>
        <v/>
      </c>
      <c r="E353" t="str">
        <f t="shared" si="50"/>
        <v/>
      </c>
      <c r="F353" t="str">
        <f t="shared" si="51"/>
        <v/>
      </c>
      <c r="G353" t="str">
        <f t="shared" si="52"/>
        <v/>
      </c>
      <c r="H353" t="str">
        <f t="shared" si="53"/>
        <v/>
      </c>
      <c r="I353" t="str">
        <f t="shared" si="54"/>
        <v/>
      </c>
      <c r="J353" t="str">
        <f t="shared" si="42"/>
        <v/>
      </c>
    </row>
    <row r="354" spans="2:10">
      <c r="B354" t="str">
        <f t="shared" si="43"/>
        <v>Zabór</v>
      </c>
      <c r="C354" t="str">
        <f t="shared" si="48"/>
        <v/>
      </c>
      <c r="D354" t="str">
        <f t="shared" si="49"/>
        <v/>
      </c>
      <c r="E354" t="str">
        <f t="shared" si="50"/>
        <v/>
      </c>
      <c r="F354" t="str">
        <f t="shared" si="51"/>
        <v/>
      </c>
      <c r="G354" t="str">
        <f t="shared" si="52"/>
        <v/>
      </c>
      <c r="H354" t="str">
        <f t="shared" si="53"/>
        <v/>
      </c>
      <c r="I354" t="str">
        <f t="shared" si="54"/>
        <v/>
      </c>
      <c r="J354" t="str">
        <f t="shared" si="42"/>
        <v/>
      </c>
    </row>
    <row r="355" spans="2:10">
      <c r="B355" t="str">
        <f t="shared" si="43"/>
        <v>Zabór</v>
      </c>
      <c r="C355" t="str">
        <f t="shared" si="48"/>
        <v/>
      </c>
      <c r="D355" t="str">
        <f t="shared" si="49"/>
        <v/>
      </c>
      <c r="E355" t="str">
        <f t="shared" si="50"/>
        <v/>
      </c>
      <c r="F355" t="str">
        <f t="shared" si="51"/>
        <v/>
      </c>
      <c r="G355" t="str">
        <f t="shared" si="52"/>
        <v/>
      </c>
      <c r="H355" t="str">
        <f t="shared" si="53"/>
        <v/>
      </c>
      <c r="I355" t="str">
        <f t="shared" si="54"/>
        <v/>
      </c>
      <c r="J355" t="str">
        <f t="shared" si="42"/>
        <v/>
      </c>
    </row>
    <row r="356" spans="2:10">
      <c r="B356" t="str">
        <f t="shared" si="43"/>
        <v>Zabór</v>
      </c>
      <c r="C356" t="str">
        <f t="shared" si="48"/>
        <v/>
      </c>
      <c r="D356" t="str">
        <f t="shared" si="49"/>
        <v/>
      </c>
      <c r="E356" t="str">
        <f t="shared" si="50"/>
        <v/>
      </c>
      <c r="F356" t="str">
        <f t="shared" si="51"/>
        <v/>
      </c>
      <c r="G356" t="str">
        <f t="shared" si="52"/>
        <v/>
      </c>
      <c r="H356" t="str">
        <f t="shared" si="53"/>
        <v/>
      </c>
      <c r="I356" t="str">
        <f t="shared" si="54"/>
        <v/>
      </c>
      <c r="J356" t="str">
        <f t="shared" si="42"/>
        <v/>
      </c>
    </row>
    <row r="357" spans="2:10">
      <c r="B357" t="str">
        <f t="shared" si="43"/>
        <v>Zabór</v>
      </c>
      <c r="C357" t="str">
        <f t="shared" si="48"/>
        <v/>
      </c>
      <c r="D357" t="str">
        <f t="shared" si="49"/>
        <v/>
      </c>
      <c r="E357" t="str">
        <f t="shared" si="50"/>
        <v/>
      </c>
      <c r="F357" t="str">
        <f t="shared" si="51"/>
        <v/>
      </c>
      <c r="G357" t="str">
        <f t="shared" si="52"/>
        <v/>
      </c>
      <c r="H357" t="str">
        <f t="shared" si="53"/>
        <v/>
      </c>
      <c r="I357" t="str">
        <f t="shared" si="54"/>
        <v/>
      </c>
      <c r="J357" t="str">
        <f t="shared" si="42"/>
        <v/>
      </c>
    </row>
    <row r="358" spans="2:10">
      <c r="B358" t="str">
        <f t="shared" si="43"/>
        <v>Zabór</v>
      </c>
      <c r="C358" t="str">
        <f t="shared" si="48"/>
        <v/>
      </c>
      <c r="D358" t="str">
        <f t="shared" si="49"/>
        <v/>
      </c>
      <c r="E358" t="str">
        <f t="shared" si="50"/>
        <v/>
      </c>
      <c r="F358" t="str">
        <f t="shared" si="51"/>
        <v/>
      </c>
      <c r="G358" t="str">
        <f t="shared" si="52"/>
        <v/>
      </c>
      <c r="H358" t="str">
        <f t="shared" si="53"/>
        <v/>
      </c>
      <c r="I358" t="str">
        <f t="shared" si="54"/>
        <v/>
      </c>
      <c r="J358" t="str">
        <f t="shared" si="42"/>
        <v/>
      </c>
    </row>
    <row r="359" spans="2:10">
      <c r="B359" t="str">
        <f t="shared" si="43"/>
        <v>Zabór</v>
      </c>
      <c r="C359" t="str">
        <f t="shared" si="48"/>
        <v/>
      </c>
      <c r="D359" t="str">
        <f t="shared" si="49"/>
        <v/>
      </c>
      <c r="E359" t="str">
        <f t="shared" si="50"/>
        <v/>
      </c>
      <c r="F359" t="str">
        <f t="shared" si="51"/>
        <v/>
      </c>
      <c r="G359" t="str">
        <f t="shared" si="52"/>
        <v/>
      </c>
      <c r="H359" t="str">
        <f t="shared" si="53"/>
        <v/>
      </c>
      <c r="I359" t="str">
        <f t="shared" si="54"/>
        <v/>
      </c>
      <c r="J359" t="str">
        <f t="shared" si="42"/>
        <v/>
      </c>
    </row>
    <row r="360" spans="2:10">
      <c r="B360" t="str">
        <f t="shared" si="43"/>
        <v>Zabór</v>
      </c>
      <c r="C360" t="str">
        <f t="shared" si="48"/>
        <v/>
      </c>
      <c r="D360" t="str">
        <f t="shared" si="49"/>
        <v/>
      </c>
      <c r="E360" t="str">
        <f t="shared" si="50"/>
        <v/>
      </c>
      <c r="F360" t="str">
        <f t="shared" si="51"/>
        <v/>
      </c>
      <c r="G360" t="str">
        <f t="shared" si="52"/>
        <v/>
      </c>
      <c r="H360" t="str">
        <f t="shared" si="53"/>
        <v/>
      </c>
      <c r="I360" t="str">
        <f t="shared" si="54"/>
        <v/>
      </c>
      <c r="J360" t="str">
        <f t="shared" ref="J360:J424" si="55">IF(E360&gt;"",IF(ISERR(FIND("DKK",A367)),"",A367),"")</f>
        <v/>
      </c>
    </row>
    <row r="361" spans="2:10">
      <c r="B361" t="str">
        <f t="shared" si="43"/>
        <v>Zabór</v>
      </c>
      <c r="C361" t="str">
        <f t="shared" si="48"/>
        <v/>
      </c>
      <c r="D361" t="str">
        <f t="shared" si="49"/>
        <v/>
      </c>
      <c r="E361" t="str">
        <f t="shared" si="50"/>
        <v/>
      </c>
      <c r="F361" t="str">
        <f t="shared" si="51"/>
        <v/>
      </c>
      <c r="G361" t="str">
        <f t="shared" si="52"/>
        <v/>
      </c>
      <c r="H361" t="str">
        <f t="shared" si="53"/>
        <v/>
      </c>
      <c r="I361" t="str">
        <f t="shared" si="54"/>
        <v/>
      </c>
      <c r="J361" t="str">
        <f t="shared" si="55"/>
        <v/>
      </c>
    </row>
    <row r="362" spans="2:10">
      <c r="B362" t="str">
        <f t="shared" si="43"/>
        <v>Zabór</v>
      </c>
      <c r="C362" t="str">
        <f t="shared" si="48"/>
        <v/>
      </c>
      <c r="D362" t="str">
        <f t="shared" si="49"/>
        <v/>
      </c>
      <c r="E362" t="str">
        <f t="shared" si="50"/>
        <v/>
      </c>
      <c r="F362" t="str">
        <f t="shared" si="51"/>
        <v/>
      </c>
      <c r="G362" t="str">
        <f t="shared" si="52"/>
        <v/>
      </c>
      <c r="H362" t="str">
        <f t="shared" si="53"/>
        <v/>
      </c>
      <c r="I362" t="str">
        <f t="shared" si="54"/>
        <v/>
      </c>
      <c r="J362" t="str">
        <f t="shared" si="55"/>
        <v/>
      </c>
    </row>
    <row r="363" spans="2:10">
      <c r="B363" t="str">
        <f t="shared" si="43"/>
        <v>Zabór</v>
      </c>
      <c r="C363" t="str">
        <f t="shared" si="48"/>
        <v/>
      </c>
      <c r="D363" t="str">
        <f t="shared" si="49"/>
        <v/>
      </c>
      <c r="E363" t="str">
        <f t="shared" si="50"/>
        <v/>
      </c>
      <c r="F363" t="str">
        <f t="shared" si="51"/>
        <v/>
      </c>
      <c r="G363" t="str">
        <f t="shared" si="52"/>
        <v/>
      </c>
      <c r="H363" t="str">
        <f t="shared" si="53"/>
        <v/>
      </c>
      <c r="I363" t="str">
        <f t="shared" si="54"/>
        <v/>
      </c>
      <c r="J363" t="str">
        <f t="shared" si="55"/>
        <v/>
      </c>
    </row>
    <row r="364" spans="2:10">
      <c r="B364" t="str">
        <f t="shared" si="43"/>
        <v>Zabór</v>
      </c>
      <c r="C364" t="str">
        <f t="shared" si="48"/>
        <v/>
      </c>
      <c r="D364" t="str">
        <f t="shared" si="49"/>
        <v/>
      </c>
      <c r="E364" t="str">
        <f t="shared" si="50"/>
        <v/>
      </c>
      <c r="F364" t="str">
        <f t="shared" si="51"/>
        <v/>
      </c>
      <c r="G364" t="str">
        <f t="shared" si="52"/>
        <v/>
      </c>
      <c r="H364" t="str">
        <f t="shared" si="53"/>
        <v/>
      </c>
      <c r="I364" t="str">
        <f t="shared" si="54"/>
        <v/>
      </c>
      <c r="J364" t="str">
        <f t="shared" si="55"/>
        <v/>
      </c>
    </row>
    <row r="365" spans="2:10">
      <c r="B365" t="str">
        <f t="shared" ref="B365:B369" si="56">+IF(AND(C365&gt;"",ISERR(FIND("DKK",A364))),A364,B364)</f>
        <v>Zabór</v>
      </c>
      <c r="C365" t="str">
        <f t="shared" si="48"/>
        <v/>
      </c>
      <c r="D365" t="str">
        <f t="shared" si="49"/>
        <v/>
      </c>
      <c r="E365" t="str">
        <f t="shared" si="50"/>
        <v/>
      </c>
      <c r="F365" t="str">
        <f t="shared" si="51"/>
        <v/>
      </c>
      <c r="G365" t="str">
        <f t="shared" si="52"/>
        <v/>
      </c>
      <c r="H365" t="str">
        <f t="shared" si="53"/>
        <v/>
      </c>
      <c r="I365" t="str">
        <f t="shared" si="54"/>
        <v/>
      </c>
      <c r="J365" t="str">
        <f t="shared" si="55"/>
        <v/>
      </c>
    </row>
    <row r="366" spans="2:10">
      <c r="B366" t="str">
        <f t="shared" si="56"/>
        <v>Zabór</v>
      </c>
      <c r="C366" t="str">
        <f t="shared" si="48"/>
        <v/>
      </c>
      <c r="D366" t="str">
        <f t="shared" si="49"/>
        <v/>
      </c>
      <c r="E366" t="str">
        <f t="shared" si="50"/>
        <v/>
      </c>
      <c r="F366" t="str">
        <f t="shared" si="51"/>
        <v/>
      </c>
      <c r="G366" t="str">
        <f t="shared" si="52"/>
        <v/>
      </c>
      <c r="H366" t="str">
        <f t="shared" si="53"/>
        <v/>
      </c>
      <c r="I366" t="str">
        <f t="shared" si="54"/>
        <v/>
      </c>
      <c r="J366" t="str">
        <f t="shared" ref="J366:J372" si="57">IF(E366&gt;"",IF(ISERR(FIND("DKK",A374)),"",A374),"")</f>
        <v/>
      </c>
    </row>
    <row r="367" spans="2:10">
      <c r="B367" t="str">
        <f t="shared" si="56"/>
        <v>Zabór</v>
      </c>
      <c r="C367" t="str">
        <f t="shared" si="48"/>
        <v/>
      </c>
      <c r="D367" t="str">
        <f t="shared" si="49"/>
        <v/>
      </c>
      <c r="E367" t="str">
        <f t="shared" si="50"/>
        <v/>
      </c>
      <c r="F367" t="str">
        <f t="shared" si="51"/>
        <v/>
      </c>
      <c r="G367" t="str">
        <f t="shared" si="52"/>
        <v/>
      </c>
      <c r="H367" t="str">
        <f t="shared" si="53"/>
        <v/>
      </c>
      <c r="I367" t="str">
        <f t="shared" ref="I367:I372" si="58">IF(E367&gt;"",IF(ISERR(FIND("DKK",A374)),"",A374),"")</f>
        <v/>
      </c>
      <c r="J367" t="str">
        <f t="shared" si="57"/>
        <v/>
      </c>
    </row>
    <row r="368" spans="2:10">
      <c r="B368" t="str">
        <f t="shared" si="56"/>
        <v>Zabór</v>
      </c>
      <c r="C368" t="str">
        <f t="shared" si="48"/>
        <v/>
      </c>
      <c r="D368" t="str">
        <f t="shared" si="49"/>
        <v/>
      </c>
      <c r="E368" t="str">
        <f t="shared" si="50"/>
        <v/>
      </c>
      <c r="F368" t="str">
        <f t="shared" si="51"/>
        <v/>
      </c>
      <c r="G368" t="str">
        <f t="shared" si="52"/>
        <v/>
      </c>
      <c r="H368" t="str">
        <f>IF(E368&gt;"",MID(A374,FIND("e-mail:",A374)+8,100),"")</f>
        <v/>
      </c>
      <c r="I368" t="str">
        <f t="shared" si="58"/>
        <v/>
      </c>
      <c r="J368" t="str">
        <f t="shared" si="57"/>
        <v/>
      </c>
    </row>
    <row r="369" spans="2:10">
      <c r="B369" t="str">
        <f t="shared" si="56"/>
        <v>Zabór</v>
      </c>
      <c r="C369" t="str">
        <f t="shared" si="48"/>
        <v/>
      </c>
      <c r="D369" t="str">
        <f t="shared" si="49"/>
        <v/>
      </c>
      <c r="E369" t="str">
        <f t="shared" si="50"/>
        <v/>
      </c>
      <c r="F369" t="str">
        <f t="shared" si="51"/>
        <v/>
      </c>
      <c r="G369" t="str">
        <f>IF(E369&gt;"",MID(A374,FIND(":",A374)+2,60),"")</f>
        <v/>
      </c>
      <c r="H369" t="str">
        <f>IF(E369&gt;"",MID(A375,FIND("e-mail:",A375)+8,100),"")</f>
        <v/>
      </c>
      <c r="I369" t="str">
        <f t="shared" si="58"/>
        <v/>
      </c>
      <c r="J369" t="str">
        <f t="shared" si="57"/>
        <v/>
      </c>
    </row>
    <row r="370" spans="2:10">
      <c r="B370" t="str">
        <f t="shared" ref="B370:B414" si="59">+IF(AND(C370&gt;"",ISERR(FIND("DKK",A369))),A369,B369)</f>
        <v>Zabór</v>
      </c>
      <c r="C370" t="str">
        <f t="shared" si="48"/>
        <v/>
      </c>
      <c r="D370" t="str">
        <f t="shared" si="49"/>
        <v/>
      </c>
      <c r="E370" t="str">
        <f t="shared" si="50"/>
        <v/>
      </c>
      <c r="F370" t="str">
        <f>IF(E370&gt;"",MID(A374,FIND("tel.",A374)+4,15),"")</f>
        <v/>
      </c>
      <c r="G370" t="str">
        <f>IF(E370&gt;"",MID(A375,FIND(":",A375)+2,60),"")</f>
        <v/>
      </c>
      <c r="H370" t="str">
        <f>IF(E370&gt;"",MID(A376,FIND("e-mail:",A376)+8,100),"")</f>
        <v/>
      </c>
      <c r="I370" t="str">
        <f t="shared" si="58"/>
        <v/>
      </c>
      <c r="J370" t="str">
        <f t="shared" si="57"/>
        <v/>
      </c>
    </row>
    <row r="371" spans="2:10">
      <c r="B371" t="str">
        <f t="shared" si="59"/>
        <v>Zabór</v>
      </c>
      <c r="C371" t="str">
        <f t="shared" si="48"/>
        <v/>
      </c>
      <c r="D371" t="str">
        <f t="shared" si="49"/>
        <v/>
      </c>
      <c r="E371" t="str">
        <f>IF(C371&gt;"",A374,"")</f>
        <v/>
      </c>
      <c r="F371" t="str">
        <f>IF(E371&gt;"",MID(A375,FIND("tel.",A375)+4,15),"")</f>
        <v/>
      </c>
      <c r="G371" t="str">
        <f>IF(E371&gt;"",MID(A376,FIND(":",A376)+2,60),"")</f>
        <v/>
      </c>
      <c r="H371" t="str">
        <f>IF(E371&gt;"",MID(A377,FIND("e-mail:",A377)+8,100),"")</f>
        <v/>
      </c>
      <c r="I371" t="str">
        <f t="shared" si="58"/>
        <v/>
      </c>
      <c r="J371" t="str">
        <f t="shared" si="57"/>
        <v/>
      </c>
    </row>
    <row r="372" spans="2:10">
      <c r="B372" t="str">
        <f t="shared" si="59"/>
        <v>Zabór</v>
      </c>
      <c r="C372" t="str">
        <f t="shared" si="48"/>
        <v/>
      </c>
      <c r="D372" t="str">
        <f>IF(C372&gt;"",A374,"")</f>
        <v/>
      </c>
      <c r="E372" t="str">
        <f>IF(C372&gt;"",A375,"")</f>
        <v/>
      </c>
      <c r="F372" t="str">
        <f>IF(E372&gt;"",MID(A376,FIND("tel.",A376)+4,15),"")</f>
        <v/>
      </c>
      <c r="G372" t="str">
        <f>IF(E372&gt;"",MID(A377,FIND(":",A377)+2,60),"")</f>
        <v/>
      </c>
      <c r="H372" t="str">
        <f>IF(E372&gt;"",MID(A378,FIND("e-mail:",A378)+8,100),"")</f>
        <v/>
      </c>
      <c r="I372" t="str">
        <f t="shared" si="58"/>
        <v/>
      </c>
      <c r="J372" t="str">
        <f t="shared" si="57"/>
        <v/>
      </c>
    </row>
    <row r="373" spans="2:10">
      <c r="B373" t="str">
        <f t="shared" si="59"/>
        <v>Zabór</v>
      </c>
    </row>
    <row r="374" spans="2:10">
      <c r="B374" t="str">
        <f t="shared" si="59"/>
        <v>Zabór</v>
      </c>
      <c r="C374" t="str">
        <f t="shared" si="48"/>
        <v/>
      </c>
      <c r="D374" t="str">
        <f t="shared" si="49"/>
        <v/>
      </c>
      <c r="E374" t="str">
        <f t="shared" si="50"/>
        <v/>
      </c>
      <c r="F374" t="str">
        <f t="shared" si="51"/>
        <v/>
      </c>
      <c r="G374" t="str">
        <f t="shared" si="52"/>
        <v/>
      </c>
      <c r="H374" t="str">
        <f t="shared" si="53"/>
        <v/>
      </c>
      <c r="I374" t="str">
        <f t="shared" si="54"/>
        <v/>
      </c>
      <c r="J374" t="str">
        <f t="shared" si="55"/>
        <v/>
      </c>
    </row>
    <row r="375" spans="2:10">
      <c r="B375" t="str">
        <f t="shared" si="59"/>
        <v>Zabór</v>
      </c>
      <c r="C375" t="str">
        <f t="shared" si="48"/>
        <v/>
      </c>
      <c r="D375" t="str">
        <f t="shared" si="49"/>
        <v/>
      </c>
      <c r="E375" t="str">
        <f t="shared" si="50"/>
        <v/>
      </c>
      <c r="F375" t="str">
        <f t="shared" si="51"/>
        <v/>
      </c>
      <c r="G375" t="str">
        <f t="shared" si="52"/>
        <v/>
      </c>
      <c r="H375" t="str">
        <f t="shared" si="53"/>
        <v/>
      </c>
      <c r="I375" t="str">
        <f t="shared" si="54"/>
        <v/>
      </c>
      <c r="J375" t="str">
        <f t="shared" si="55"/>
        <v/>
      </c>
    </row>
    <row r="376" spans="2:10">
      <c r="B376" t="str">
        <f t="shared" si="59"/>
        <v>Zabór</v>
      </c>
      <c r="C376" t="str">
        <f t="shared" si="48"/>
        <v/>
      </c>
      <c r="D376" t="str">
        <f t="shared" si="49"/>
        <v/>
      </c>
      <c r="E376" t="str">
        <f t="shared" si="50"/>
        <v/>
      </c>
      <c r="F376" t="str">
        <f t="shared" si="51"/>
        <v/>
      </c>
      <c r="G376" t="str">
        <f t="shared" si="52"/>
        <v/>
      </c>
      <c r="H376" t="str">
        <f t="shared" si="53"/>
        <v/>
      </c>
      <c r="I376" t="str">
        <f t="shared" si="54"/>
        <v/>
      </c>
      <c r="J376" t="str">
        <f t="shared" si="55"/>
        <v/>
      </c>
    </row>
    <row r="377" spans="2:10">
      <c r="B377" t="str">
        <f t="shared" si="59"/>
        <v>Zabór</v>
      </c>
      <c r="C377" t="str">
        <f t="shared" si="48"/>
        <v/>
      </c>
      <c r="D377" t="str">
        <f t="shared" si="49"/>
        <v/>
      </c>
      <c r="E377" t="str">
        <f t="shared" si="50"/>
        <v/>
      </c>
      <c r="F377" t="str">
        <f t="shared" si="51"/>
        <v/>
      </c>
      <c r="G377" t="str">
        <f t="shared" si="52"/>
        <v/>
      </c>
      <c r="H377" t="str">
        <f t="shared" si="53"/>
        <v/>
      </c>
      <c r="I377" t="str">
        <f t="shared" si="54"/>
        <v/>
      </c>
      <c r="J377" t="str">
        <f t="shared" si="55"/>
        <v/>
      </c>
    </row>
    <row r="378" spans="2:10">
      <c r="B378" t="str">
        <f t="shared" si="59"/>
        <v>Zabór</v>
      </c>
      <c r="C378" t="str">
        <f t="shared" si="48"/>
        <v/>
      </c>
      <c r="D378" t="str">
        <f t="shared" si="49"/>
        <v/>
      </c>
      <c r="E378" t="str">
        <f t="shared" si="50"/>
        <v/>
      </c>
      <c r="F378" t="str">
        <f t="shared" si="51"/>
        <v/>
      </c>
      <c r="G378" t="str">
        <f t="shared" si="52"/>
        <v/>
      </c>
      <c r="H378" t="str">
        <f t="shared" si="53"/>
        <v/>
      </c>
      <c r="I378" t="str">
        <f t="shared" si="54"/>
        <v/>
      </c>
      <c r="J378" t="str">
        <f t="shared" si="55"/>
        <v/>
      </c>
    </row>
    <row r="379" spans="2:10">
      <c r="B379" t="str">
        <f t="shared" si="59"/>
        <v>Zabór</v>
      </c>
      <c r="C379" t="str">
        <f t="shared" si="48"/>
        <v/>
      </c>
      <c r="D379" t="str">
        <f t="shared" si="49"/>
        <v/>
      </c>
      <c r="E379" t="str">
        <f t="shared" si="50"/>
        <v/>
      </c>
      <c r="F379" t="str">
        <f t="shared" si="51"/>
        <v/>
      </c>
      <c r="G379" t="str">
        <f t="shared" si="52"/>
        <v/>
      </c>
      <c r="H379" t="str">
        <f t="shared" si="53"/>
        <v/>
      </c>
      <c r="I379" t="str">
        <f t="shared" si="54"/>
        <v/>
      </c>
      <c r="J379" t="str">
        <f t="shared" si="55"/>
        <v/>
      </c>
    </row>
    <row r="380" spans="2:10">
      <c r="B380" t="str">
        <f t="shared" si="59"/>
        <v>Zabór</v>
      </c>
      <c r="C380" t="str">
        <f t="shared" si="48"/>
        <v/>
      </c>
      <c r="D380" t="str">
        <f t="shared" si="49"/>
        <v/>
      </c>
      <c r="E380" t="str">
        <f t="shared" si="50"/>
        <v/>
      </c>
      <c r="F380" t="str">
        <f t="shared" si="51"/>
        <v/>
      </c>
      <c r="G380" t="str">
        <f t="shared" si="52"/>
        <v/>
      </c>
      <c r="H380" t="str">
        <f t="shared" si="53"/>
        <v/>
      </c>
      <c r="I380" t="str">
        <f t="shared" si="54"/>
        <v/>
      </c>
      <c r="J380" t="str">
        <f t="shared" si="55"/>
        <v/>
      </c>
    </row>
    <row r="381" spans="2:10">
      <c r="B381" t="str">
        <f t="shared" si="59"/>
        <v>Zabór</v>
      </c>
      <c r="C381" t="str">
        <f t="shared" si="48"/>
        <v/>
      </c>
      <c r="D381" t="str">
        <f t="shared" si="49"/>
        <v/>
      </c>
      <c r="E381" t="str">
        <f t="shared" si="50"/>
        <v/>
      </c>
      <c r="F381" t="str">
        <f t="shared" si="51"/>
        <v/>
      </c>
      <c r="G381" t="str">
        <f t="shared" si="52"/>
        <v/>
      </c>
      <c r="H381" t="str">
        <f t="shared" si="53"/>
        <v/>
      </c>
      <c r="I381" t="str">
        <f t="shared" si="54"/>
        <v/>
      </c>
      <c r="J381" t="str">
        <f t="shared" si="55"/>
        <v/>
      </c>
    </row>
    <row r="382" spans="2:10">
      <c r="B382" t="str">
        <f t="shared" si="59"/>
        <v>Zabór</v>
      </c>
      <c r="C382" t="str">
        <f t="shared" si="48"/>
        <v/>
      </c>
      <c r="D382" t="str">
        <f t="shared" si="49"/>
        <v/>
      </c>
      <c r="E382" t="str">
        <f t="shared" si="50"/>
        <v/>
      </c>
      <c r="F382" t="str">
        <f t="shared" si="51"/>
        <v/>
      </c>
      <c r="G382" t="str">
        <f t="shared" si="52"/>
        <v/>
      </c>
      <c r="H382" t="str">
        <f t="shared" si="53"/>
        <v/>
      </c>
      <c r="I382" t="str">
        <f t="shared" si="54"/>
        <v/>
      </c>
      <c r="J382" t="str">
        <f t="shared" si="55"/>
        <v/>
      </c>
    </row>
    <row r="383" spans="2:10">
      <c r="B383" t="str">
        <f t="shared" si="59"/>
        <v>Zabór</v>
      </c>
      <c r="C383" t="str">
        <f t="shared" si="48"/>
        <v/>
      </c>
      <c r="D383" t="str">
        <f t="shared" si="49"/>
        <v/>
      </c>
      <c r="E383" t="str">
        <f t="shared" si="50"/>
        <v/>
      </c>
      <c r="F383" t="str">
        <f t="shared" si="51"/>
        <v/>
      </c>
      <c r="G383" t="str">
        <f t="shared" si="52"/>
        <v/>
      </c>
      <c r="H383" t="str">
        <f t="shared" si="53"/>
        <v/>
      </c>
      <c r="I383" t="str">
        <f t="shared" si="54"/>
        <v/>
      </c>
      <c r="J383" t="str">
        <f t="shared" si="55"/>
        <v/>
      </c>
    </row>
    <row r="384" spans="2:10">
      <c r="B384" t="str">
        <f t="shared" si="59"/>
        <v>Zabór</v>
      </c>
      <c r="C384" t="str">
        <f t="shared" ref="C384:C424" si="60">IF(ISERR(FIND($C$1,A384,1)),"",A384)</f>
        <v/>
      </c>
      <c r="D384" t="str">
        <f t="shared" ref="D384:D424" si="61">IF(C384&gt;"",A385,"")</f>
        <v/>
      </c>
      <c r="E384" t="str">
        <f t="shared" ref="E384:E424" si="62">IF(C384&gt;"",A386,"")</f>
        <v/>
      </c>
      <c r="F384" t="str">
        <f t="shared" ref="F384:F424" si="63">IF(E384&gt;"",MID(A387,FIND("tel.",A387)+4,15),"")</f>
        <v/>
      </c>
      <c r="G384" t="str">
        <f t="shared" ref="G384:G424" si="64">IF(E384&gt;"",MID(A388,FIND(":",A388)+2,60),"")</f>
        <v/>
      </c>
      <c r="H384" t="str">
        <f t="shared" ref="H384:H424" si="65">IF(E384&gt;"",MID(A389,FIND("e-mail:",A389)+8,100),"")</f>
        <v/>
      </c>
      <c r="I384" t="str">
        <f t="shared" ref="I384:I424" si="66">IF(E384&gt;"",IF(ISERR(FIND("DKK",A390)),"",A390),"")</f>
        <v/>
      </c>
      <c r="J384" t="str">
        <f t="shared" si="55"/>
        <v/>
      </c>
    </row>
    <row r="385" spans="2:10">
      <c r="B385" t="str">
        <f t="shared" si="59"/>
        <v>Zabór</v>
      </c>
      <c r="C385" t="str">
        <f t="shared" si="60"/>
        <v/>
      </c>
      <c r="D385" t="str">
        <f t="shared" si="61"/>
        <v/>
      </c>
      <c r="E385" t="str">
        <f t="shared" si="62"/>
        <v/>
      </c>
      <c r="F385" t="str">
        <f t="shared" si="63"/>
        <v/>
      </c>
      <c r="G385" t="str">
        <f t="shared" si="64"/>
        <v/>
      </c>
      <c r="H385" t="str">
        <f t="shared" si="65"/>
        <v/>
      </c>
      <c r="I385" t="str">
        <f t="shared" si="66"/>
        <v/>
      </c>
      <c r="J385" t="str">
        <f t="shared" si="55"/>
        <v/>
      </c>
    </row>
    <row r="386" spans="2:10">
      <c r="B386" t="str">
        <f t="shared" si="59"/>
        <v>Zabór</v>
      </c>
      <c r="C386" t="str">
        <f t="shared" si="60"/>
        <v/>
      </c>
      <c r="D386" t="str">
        <f t="shared" si="61"/>
        <v/>
      </c>
      <c r="E386" t="str">
        <f t="shared" si="62"/>
        <v/>
      </c>
      <c r="F386" t="str">
        <f t="shared" si="63"/>
        <v/>
      </c>
      <c r="G386" t="str">
        <f t="shared" si="64"/>
        <v/>
      </c>
      <c r="H386" t="str">
        <f t="shared" si="65"/>
        <v/>
      </c>
      <c r="I386" t="str">
        <f t="shared" si="66"/>
        <v/>
      </c>
      <c r="J386" t="str">
        <f t="shared" si="55"/>
        <v/>
      </c>
    </row>
    <row r="387" spans="2:10">
      <c r="B387" t="str">
        <f t="shared" si="59"/>
        <v>Zabór</v>
      </c>
      <c r="C387" t="str">
        <f t="shared" si="60"/>
        <v/>
      </c>
      <c r="D387" t="str">
        <f t="shared" si="61"/>
        <v/>
      </c>
      <c r="E387" t="str">
        <f t="shared" si="62"/>
        <v/>
      </c>
      <c r="F387" t="str">
        <f t="shared" si="63"/>
        <v/>
      </c>
      <c r="G387" t="str">
        <f t="shared" si="64"/>
        <v/>
      </c>
      <c r="H387" t="str">
        <f t="shared" si="65"/>
        <v/>
      </c>
      <c r="I387" t="str">
        <f t="shared" si="66"/>
        <v/>
      </c>
      <c r="J387" t="str">
        <f t="shared" si="55"/>
        <v/>
      </c>
    </row>
    <row r="388" spans="2:10">
      <c r="B388" t="str">
        <f t="shared" si="59"/>
        <v>Zabór</v>
      </c>
      <c r="C388" t="str">
        <f t="shared" si="60"/>
        <v/>
      </c>
      <c r="D388" t="str">
        <f t="shared" si="61"/>
        <v/>
      </c>
      <c r="E388" t="str">
        <f t="shared" si="62"/>
        <v/>
      </c>
      <c r="F388" t="str">
        <f t="shared" si="63"/>
        <v/>
      </c>
      <c r="G388" t="str">
        <f t="shared" si="64"/>
        <v/>
      </c>
      <c r="H388" t="str">
        <f t="shared" si="65"/>
        <v/>
      </c>
      <c r="I388" t="str">
        <f t="shared" si="66"/>
        <v/>
      </c>
      <c r="J388" t="str">
        <f t="shared" si="55"/>
        <v/>
      </c>
    </row>
    <row r="389" spans="2:10">
      <c r="B389" t="str">
        <f t="shared" si="59"/>
        <v>Zabór</v>
      </c>
      <c r="C389" t="str">
        <f t="shared" si="60"/>
        <v/>
      </c>
      <c r="D389" t="str">
        <f t="shared" si="61"/>
        <v/>
      </c>
      <c r="E389" t="str">
        <f t="shared" si="62"/>
        <v/>
      </c>
      <c r="F389" t="str">
        <f t="shared" si="63"/>
        <v/>
      </c>
      <c r="G389" t="str">
        <f t="shared" si="64"/>
        <v/>
      </c>
      <c r="H389" t="str">
        <f t="shared" si="65"/>
        <v/>
      </c>
      <c r="I389" t="str">
        <f t="shared" si="66"/>
        <v/>
      </c>
      <c r="J389" t="str">
        <f t="shared" si="55"/>
        <v/>
      </c>
    </row>
    <row r="390" spans="2:10">
      <c r="B390" t="str">
        <f t="shared" si="59"/>
        <v>Zabór</v>
      </c>
      <c r="C390" t="str">
        <f t="shared" si="60"/>
        <v/>
      </c>
      <c r="D390" t="str">
        <f t="shared" si="61"/>
        <v/>
      </c>
      <c r="E390" t="str">
        <f t="shared" si="62"/>
        <v/>
      </c>
      <c r="F390" t="str">
        <f t="shared" si="63"/>
        <v/>
      </c>
      <c r="G390" t="str">
        <f t="shared" si="64"/>
        <v/>
      </c>
      <c r="H390" t="str">
        <f t="shared" si="65"/>
        <v/>
      </c>
      <c r="I390" t="str">
        <f t="shared" si="66"/>
        <v/>
      </c>
      <c r="J390" t="str">
        <f t="shared" si="55"/>
        <v/>
      </c>
    </row>
    <row r="391" spans="2:10">
      <c r="B391" t="str">
        <f t="shared" si="59"/>
        <v>Zabór</v>
      </c>
      <c r="C391" t="str">
        <f t="shared" si="60"/>
        <v/>
      </c>
      <c r="D391" t="str">
        <f t="shared" si="61"/>
        <v/>
      </c>
      <c r="E391" t="str">
        <f t="shared" si="62"/>
        <v/>
      </c>
      <c r="F391" t="str">
        <f t="shared" si="63"/>
        <v/>
      </c>
      <c r="G391" t="str">
        <f t="shared" si="64"/>
        <v/>
      </c>
      <c r="H391" t="str">
        <f t="shared" si="65"/>
        <v/>
      </c>
      <c r="I391" t="str">
        <f t="shared" si="66"/>
        <v/>
      </c>
      <c r="J391" t="str">
        <f t="shared" si="55"/>
        <v/>
      </c>
    </row>
    <row r="392" spans="2:10">
      <c r="B392" t="str">
        <f t="shared" si="59"/>
        <v>Zabór</v>
      </c>
      <c r="C392" t="str">
        <f t="shared" si="60"/>
        <v/>
      </c>
      <c r="D392" t="str">
        <f t="shared" si="61"/>
        <v/>
      </c>
      <c r="E392" t="str">
        <f t="shared" si="62"/>
        <v/>
      </c>
      <c r="F392" t="str">
        <f t="shared" si="63"/>
        <v/>
      </c>
      <c r="G392" t="str">
        <f t="shared" si="64"/>
        <v/>
      </c>
      <c r="H392" t="str">
        <f t="shared" si="65"/>
        <v/>
      </c>
      <c r="I392" t="str">
        <f t="shared" si="66"/>
        <v/>
      </c>
      <c r="J392" t="str">
        <f t="shared" si="55"/>
        <v/>
      </c>
    </row>
    <row r="393" spans="2:10">
      <c r="B393" t="str">
        <f t="shared" si="59"/>
        <v>Zabór</v>
      </c>
      <c r="C393" t="str">
        <f t="shared" si="60"/>
        <v/>
      </c>
      <c r="D393" t="str">
        <f t="shared" si="61"/>
        <v/>
      </c>
      <c r="E393" t="str">
        <f t="shared" si="62"/>
        <v/>
      </c>
      <c r="F393" t="str">
        <f t="shared" si="63"/>
        <v/>
      </c>
      <c r="G393" t="str">
        <f t="shared" si="64"/>
        <v/>
      </c>
      <c r="H393" t="str">
        <f t="shared" si="65"/>
        <v/>
      </c>
      <c r="I393" t="str">
        <f t="shared" si="66"/>
        <v/>
      </c>
      <c r="J393" t="str">
        <f t="shared" si="55"/>
        <v/>
      </c>
    </row>
    <row r="394" spans="2:10">
      <c r="B394" t="str">
        <f t="shared" si="59"/>
        <v>Zabór</v>
      </c>
      <c r="C394" t="str">
        <f t="shared" si="60"/>
        <v/>
      </c>
      <c r="D394" t="str">
        <f t="shared" si="61"/>
        <v/>
      </c>
      <c r="E394" t="str">
        <f t="shared" si="62"/>
        <v/>
      </c>
      <c r="F394" t="str">
        <f t="shared" si="63"/>
        <v/>
      </c>
      <c r="G394" t="str">
        <f t="shared" si="64"/>
        <v/>
      </c>
      <c r="H394" t="str">
        <f t="shared" si="65"/>
        <v/>
      </c>
      <c r="I394" t="str">
        <f t="shared" si="66"/>
        <v/>
      </c>
      <c r="J394" t="str">
        <f t="shared" si="55"/>
        <v/>
      </c>
    </row>
    <row r="395" spans="2:10">
      <c r="B395" t="str">
        <f t="shared" si="59"/>
        <v>Zabór</v>
      </c>
      <c r="C395" t="str">
        <f t="shared" si="60"/>
        <v/>
      </c>
      <c r="D395" t="str">
        <f t="shared" si="61"/>
        <v/>
      </c>
      <c r="E395" t="str">
        <f t="shared" si="62"/>
        <v/>
      </c>
      <c r="F395" t="str">
        <f t="shared" si="63"/>
        <v/>
      </c>
      <c r="G395" t="str">
        <f t="shared" si="64"/>
        <v/>
      </c>
      <c r="H395" t="str">
        <f t="shared" si="65"/>
        <v/>
      </c>
      <c r="I395" t="str">
        <f t="shared" si="66"/>
        <v/>
      </c>
      <c r="J395" t="str">
        <f t="shared" si="55"/>
        <v/>
      </c>
    </row>
    <row r="396" spans="2:10">
      <c r="B396" t="str">
        <f t="shared" si="59"/>
        <v>Zabór</v>
      </c>
      <c r="C396" t="str">
        <f t="shared" si="60"/>
        <v/>
      </c>
      <c r="D396" t="str">
        <f t="shared" si="61"/>
        <v/>
      </c>
      <c r="E396" t="str">
        <f t="shared" si="62"/>
        <v/>
      </c>
      <c r="F396" t="str">
        <f t="shared" si="63"/>
        <v/>
      </c>
      <c r="G396" t="str">
        <f t="shared" si="64"/>
        <v/>
      </c>
      <c r="H396" t="str">
        <f t="shared" si="65"/>
        <v/>
      </c>
      <c r="I396" t="str">
        <f t="shared" si="66"/>
        <v/>
      </c>
      <c r="J396" t="str">
        <f t="shared" si="55"/>
        <v/>
      </c>
    </row>
    <row r="397" spans="2:10">
      <c r="B397" t="str">
        <f t="shared" si="59"/>
        <v>Zabór</v>
      </c>
      <c r="C397" t="str">
        <f t="shared" si="60"/>
        <v/>
      </c>
      <c r="D397" t="str">
        <f t="shared" si="61"/>
        <v/>
      </c>
      <c r="E397" t="str">
        <f t="shared" si="62"/>
        <v/>
      </c>
      <c r="F397" t="str">
        <f t="shared" si="63"/>
        <v/>
      </c>
      <c r="G397" t="str">
        <f t="shared" si="64"/>
        <v/>
      </c>
      <c r="H397" t="str">
        <f t="shared" si="65"/>
        <v/>
      </c>
      <c r="I397" t="str">
        <f t="shared" si="66"/>
        <v/>
      </c>
      <c r="J397" t="str">
        <f t="shared" si="55"/>
        <v/>
      </c>
    </row>
    <row r="398" spans="2:10">
      <c r="B398" t="str">
        <f t="shared" si="59"/>
        <v>Zabór</v>
      </c>
      <c r="C398" t="str">
        <f t="shared" si="60"/>
        <v/>
      </c>
      <c r="D398" t="str">
        <f t="shared" si="61"/>
        <v/>
      </c>
      <c r="E398" t="str">
        <f t="shared" si="62"/>
        <v/>
      </c>
      <c r="F398" t="str">
        <f t="shared" si="63"/>
        <v/>
      </c>
      <c r="G398" t="str">
        <f t="shared" si="64"/>
        <v/>
      </c>
      <c r="H398" t="str">
        <f t="shared" si="65"/>
        <v/>
      </c>
      <c r="I398" t="str">
        <f t="shared" si="66"/>
        <v/>
      </c>
      <c r="J398" t="str">
        <f t="shared" si="55"/>
        <v/>
      </c>
    </row>
    <row r="399" spans="2:10">
      <c r="B399" t="str">
        <f t="shared" si="59"/>
        <v>Zabór</v>
      </c>
      <c r="C399" t="str">
        <f t="shared" si="60"/>
        <v/>
      </c>
      <c r="D399" t="str">
        <f t="shared" si="61"/>
        <v/>
      </c>
      <c r="E399" t="str">
        <f t="shared" si="62"/>
        <v/>
      </c>
      <c r="F399" t="str">
        <f t="shared" si="63"/>
        <v/>
      </c>
      <c r="G399" t="str">
        <f t="shared" si="64"/>
        <v/>
      </c>
      <c r="H399" t="str">
        <f t="shared" si="65"/>
        <v/>
      </c>
      <c r="I399" t="str">
        <f t="shared" si="66"/>
        <v/>
      </c>
      <c r="J399" t="str">
        <f t="shared" si="55"/>
        <v/>
      </c>
    </row>
    <row r="400" spans="2:10">
      <c r="B400" t="str">
        <f t="shared" si="59"/>
        <v>Zabór</v>
      </c>
      <c r="C400" t="str">
        <f t="shared" si="60"/>
        <v/>
      </c>
      <c r="D400" t="str">
        <f t="shared" si="61"/>
        <v/>
      </c>
      <c r="E400" t="str">
        <f t="shared" si="62"/>
        <v/>
      </c>
      <c r="F400" t="str">
        <f t="shared" si="63"/>
        <v/>
      </c>
      <c r="G400" t="str">
        <f t="shared" si="64"/>
        <v/>
      </c>
      <c r="H400" t="str">
        <f t="shared" si="65"/>
        <v/>
      </c>
      <c r="I400" t="str">
        <f t="shared" si="66"/>
        <v/>
      </c>
      <c r="J400" t="str">
        <f t="shared" si="55"/>
        <v/>
      </c>
    </row>
    <row r="401" spans="2:10">
      <c r="B401" t="str">
        <f t="shared" si="59"/>
        <v>Zabór</v>
      </c>
      <c r="C401" t="str">
        <f t="shared" si="60"/>
        <v/>
      </c>
      <c r="D401" t="str">
        <f t="shared" si="61"/>
        <v/>
      </c>
      <c r="E401" t="str">
        <f t="shared" si="62"/>
        <v/>
      </c>
      <c r="F401" t="str">
        <f t="shared" si="63"/>
        <v/>
      </c>
      <c r="G401" t="str">
        <f t="shared" si="64"/>
        <v/>
      </c>
      <c r="H401" t="str">
        <f t="shared" si="65"/>
        <v/>
      </c>
      <c r="I401" t="str">
        <f t="shared" si="66"/>
        <v/>
      </c>
      <c r="J401" t="str">
        <f t="shared" si="55"/>
        <v/>
      </c>
    </row>
    <row r="402" spans="2:10">
      <c r="B402" t="str">
        <f t="shared" si="59"/>
        <v>Zabór</v>
      </c>
      <c r="C402" t="str">
        <f t="shared" si="60"/>
        <v/>
      </c>
      <c r="D402" t="str">
        <f t="shared" si="61"/>
        <v/>
      </c>
      <c r="E402" t="str">
        <f t="shared" si="62"/>
        <v/>
      </c>
      <c r="F402" t="str">
        <f t="shared" si="63"/>
        <v/>
      </c>
      <c r="G402" t="str">
        <f t="shared" si="64"/>
        <v/>
      </c>
      <c r="H402" t="str">
        <f t="shared" si="65"/>
        <v/>
      </c>
      <c r="I402" t="str">
        <f t="shared" si="66"/>
        <v/>
      </c>
      <c r="J402" t="str">
        <f t="shared" si="55"/>
        <v/>
      </c>
    </row>
    <row r="403" spans="2:10">
      <c r="B403" t="str">
        <f t="shared" si="59"/>
        <v>Zabór</v>
      </c>
      <c r="C403" t="str">
        <f t="shared" si="60"/>
        <v/>
      </c>
      <c r="D403" t="str">
        <f t="shared" si="61"/>
        <v/>
      </c>
      <c r="E403" t="str">
        <f t="shared" si="62"/>
        <v/>
      </c>
      <c r="F403" t="str">
        <f t="shared" si="63"/>
        <v/>
      </c>
      <c r="G403" t="str">
        <f t="shared" si="64"/>
        <v/>
      </c>
      <c r="H403" t="str">
        <f t="shared" si="65"/>
        <v/>
      </c>
      <c r="I403" t="str">
        <f t="shared" si="66"/>
        <v/>
      </c>
      <c r="J403" t="str">
        <f t="shared" si="55"/>
        <v/>
      </c>
    </row>
    <row r="404" spans="2:10">
      <c r="B404" t="str">
        <f t="shared" si="59"/>
        <v>Zabór</v>
      </c>
      <c r="C404" t="str">
        <f t="shared" si="60"/>
        <v/>
      </c>
      <c r="D404" t="str">
        <f t="shared" si="61"/>
        <v/>
      </c>
      <c r="E404" t="str">
        <f t="shared" si="62"/>
        <v/>
      </c>
      <c r="F404" t="str">
        <f t="shared" si="63"/>
        <v/>
      </c>
      <c r="G404" t="str">
        <f t="shared" si="64"/>
        <v/>
      </c>
      <c r="H404" t="str">
        <f t="shared" si="65"/>
        <v/>
      </c>
      <c r="I404" t="str">
        <f t="shared" si="66"/>
        <v/>
      </c>
      <c r="J404" t="str">
        <f t="shared" si="55"/>
        <v/>
      </c>
    </row>
    <row r="405" spans="2:10">
      <c r="B405" t="str">
        <f t="shared" si="59"/>
        <v>Zabór</v>
      </c>
      <c r="C405" t="str">
        <f t="shared" si="60"/>
        <v/>
      </c>
      <c r="D405" t="str">
        <f t="shared" si="61"/>
        <v/>
      </c>
      <c r="E405" t="str">
        <f t="shared" si="62"/>
        <v/>
      </c>
      <c r="F405" t="str">
        <f t="shared" si="63"/>
        <v/>
      </c>
      <c r="G405" t="str">
        <f t="shared" si="64"/>
        <v/>
      </c>
      <c r="H405" t="str">
        <f t="shared" si="65"/>
        <v/>
      </c>
      <c r="I405" t="str">
        <f t="shared" si="66"/>
        <v/>
      </c>
      <c r="J405" t="str">
        <f t="shared" si="55"/>
        <v/>
      </c>
    </row>
    <row r="406" spans="2:10">
      <c r="B406" t="str">
        <f t="shared" si="59"/>
        <v>Zabór</v>
      </c>
      <c r="C406" t="str">
        <f t="shared" si="60"/>
        <v/>
      </c>
      <c r="D406" t="str">
        <f t="shared" si="61"/>
        <v/>
      </c>
      <c r="E406" t="str">
        <f t="shared" si="62"/>
        <v/>
      </c>
      <c r="F406" t="str">
        <f t="shared" si="63"/>
        <v/>
      </c>
      <c r="G406" t="str">
        <f t="shared" si="64"/>
        <v/>
      </c>
      <c r="H406" t="str">
        <f t="shared" si="65"/>
        <v/>
      </c>
      <c r="I406" t="str">
        <f t="shared" si="66"/>
        <v/>
      </c>
      <c r="J406" t="str">
        <f t="shared" si="55"/>
        <v/>
      </c>
    </row>
    <row r="407" spans="2:10">
      <c r="B407" t="str">
        <f t="shared" si="59"/>
        <v>Zabór</v>
      </c>
      <c r="C407" t="str">
        <f t="shared" si="60"/>
        <v/>
      </c>
      <c r="D407" t="str">
        <f t="shared" si="61"/>
        <v/>
      </c>
      <c r="E407" t="str">
        <f t="shared" si="62"/>
        <v/>
      </c>
      <c r="F407" t="str">
        <f t="shared" si="63"/>
        <v/>
      </c>
      <c r="G407" t="str">
        <f t="shared" si="64"/>
        <v/>
      </c>
      <c r="H407" t="str">
        <f t="shared" si="65"/>
        <v/>
      </c>
      <c r="I407" t="str">
        <f t="shared" si="66"/>
        <v/>
      </c>
      <c r="J407" t="str">
        <f t="shared" si="55"/>
        <v/>
      </c>
    </row>
    <row r="408" spans="2:10">
      <c r="B408" t="str">
        <f t="shared" si="59"/>
        <v>Zabór</v>
      </c>
      <c r="C408" t="str">
        <f t="shared" si="60"/>
        <v/>
      </c>
      <c r="D408" t="str">
        <f t="shared" si="61"/>
        <v/>
      </c>
      <c r="E408" t="str">
        <f t="shared" si="62"/>
        <v/>
      </c>
      <c r="F408" t="str">
        <f t="shared" si="63"/>
        <v/>
      </c>
      <c r="G408" t="str">
        <f t="shared" si="64"/>
        <v/>
      </c>
      <c r="H408" t="str">
        <f t="shared" si="65"/>
        <v/>
      </c>
      <c r="I408" t="str">
        <f t="shared" si="66"/>
        <v/>
      </c>
      <c r="J408" t="str">
        <f t="shared" si="55"/>
        <v/>
      </c>
    </row>
    <row r="409" spans="2:10">
      <c r="B409" t="str">
        <f t="shared" si="59"/>
        <v>Zabór</v>
      </c>
      <c r="C409" t="str">
        <f t="shared" si="60"/>
        <v/>
      </c>
      <c r="D409" t="str">
        <f t="shared" si="61"/>
        <v/>
      </c>
      <c r="E409" t="str">
        <f t="shared" si="62"/>
        <v/>
      </c>
      <c r="F409" t="str">
        <f t="shared" si="63"/>
        <v/>
      </c>
      <c r="G409" t="str">
        <f t="shared" si="64"/>
        <v/>
      </c>
      <c r="H409" t="str">
        <f t="shared" si="65"/>
        <v/>
      </c>
      <c r="I409" t="str">
        <f t="shared" si="66"/>
        <v/>
      </c>
      <c r="J409" t="str">
        <f t="shared" si="55"/>
        <v/>
      </c>
    </row>
    <row r="410" spans="2:10">
      <c r="B410" t="str">
        <f t="shared" si="59"/>
        <v>Zabór</v>
      </c>
      <c r="C410" t="str">
        <f t="shared" si="60"/>
        <v/>
      </c>
      <c r="D410" t="str">
        <f t="shared" si="61"/>
        <v/>
      </c>
      <c r="E410" t="str">
        <f t="shared" si="62"/>
        <v/>
      </c>
      <c r="F410" t="str">
        <f t="shared" si="63"/>
        <v/>
      </c>
      <c r="G410" t="str">
        <f t="shared" si="64"/>
        <v/>
      </c>
      <c r="H410" t="str">
        <f t="shared" si="65"/>
        <v/>
      </c>
      <c r="I410" t="str">
        <f t="shared" si="66"/>
        <v/>
      </c>
      <c r="J410" t="str">
        <f t="shared" si="55"/>
        <v/>
      </c>
    </row>
    <row r="411" spans="2:10">
      <c r="B411" t="str">
        <f t="shared" si="59"/>
        <v>Zabór</v>
      </c>
      <c r="C411" t="str">
        <f t="shared" si="60"/>
        <v/>
      </c>
      <c r="D411" t="str">
        <f t="shared" si="61"/>
        <v/>
      </c>
      <c r="E411" t="str">
        <f t="shared" si="62"/>
        <v/>
      </c>
      <c r="F411" t="str">
        <f t="shared" si="63"/>
        <v/>
      </c>
      <c r="G411" t="str">
        <f t="shared" si="64"/>
        <v/>
      </c>
      <c r="H411" t="str">
        <f t="shared" si="65"/>
        <v/>
      </c>
      <c r="I411" t="str">
        <f t="shared" si="66"/>
        <v/>
      </c>
      <c r="J411" t="str">
        <f t="shared" si="55"/>
        <v/>
      </c>
    </row>
    <row r="412" spans="2:10">
      <c r="B412" t="str">
        <f t="shared" si="59"/>
        <v>Zabór</v>
      </c>
      <c r="C412" t="str">
        <f t="shared" si="60"/>
        <v/>
      </c>
      <c r="D412" t="str">
        <f t="shared" si="61"/>
        <v/>
      </c>
      <c r="E412" t="str">
        <f t="shared" si="62"/>
        <v/>
      </c>
      <c r="F412" t="str">
        <f t="shared" si="63"/>
        <v/>
      </c>
      <c r="G412" t="str">
        <f t="shared" si="64"/>
        <v/>
      </c>
      <c r="H412" t="str">
        <f t="shared" si="65"/>
        <v/>
      </c>
      <c r="I412" t="str">
        <f t="shared" si="66"/>
        <v/>
      </c>
      <c r="J412" t="str">
        <f t="shared" si="55"/>
        <v/>
      </c>
    </row>
    <row r="413" spans="2:10">
      <c r="B413" t="str">
        <f t="shared" si="59"/>
        <v>Zabór</v>
      </c>
      <c r="C413" t="str">
        <f t="shared" si="60"/>
        <v/>
      </c>
      <c r="D413" t="str">
        <f t="shared" si="61"/>
        <v/>
      </c>
      <c r="E413" t="str">
        <f t="shared" si="62"/>
        <v/>
      </c>
      <c r="F413" t="str">
        <f t="shared" si="63"/>
        <v/>
      </c>
      <c r="G413" t="str">
        <f t="shared" si="64"/>
        <v/>
      </c>
      <c r="H413" t="str">
        <f t="shared" si="65"/>
        <v/>
      </c>
      <c r="I413" t="str">
        <f t="shared" si="66"/>
        <v/>
      </c>
      <c r="J413" t="str">
        <f t="shared" si="55"/>
        <v/>
      </c>
    </row>
    <row r="414" spans="2:10">
      <c r="B414" t="str">
        <f t="shared" si="59"/>
        <v>Zabór</v>
      </c>
      <c r="C414" t="str">
        <f t="shared" si="60"/>
        <v/>
      </c>
      <c r="D414" t="str">
        <f t="shared" si="61"/>
        <v/>
      </c>
      <c r="E414" t="str">
        <f t="shared" si="62"/>
        <v/>
      </c>
      <c r="F414" t="str">
        <f t="shared" si="63"/>
        <v/>
      </c>
      <c r="G414" t="str">
        <f t="shared" si="64"/>
        <v/>
      </c>
      <c r="H414" t="str">
        <f t="shared" si="65"/>
        <v/>
      </c>
      <c r="I414" t="str">
        <f t="shared" si="66"/>
        <v/>
      </c>
      <c r="J414" t="str">
        <f t="shared" si="55"/>
        <v/>
      </c>
    </row>
    <row r="415" spans="2:10">
      <c r="B415" t="str">
        <f t="shared" ref="B415:B478" si="67">+IF(AND(C415&gt;"",ISERR(FIND("DKK",A414))),A414,B414)</f>
        <v>Zabór</v>
      </c>
      <c r="C415" t="str">
        <f t="shared" si="60"/>
        <v/>
      </c>
      <c r="D415" t="str">
        <f t="shared" si="61"/>
        <v/>
      </c>
      <c r="E415" t="str">
        <f t="shared" si="62"/>
        <v/>
      </c>
      <c r="F415" t="str">
        <f t="shared" si="63"/>
        <v/>
      </c>
      <c r="G415" t="str">
        <f t="shared" si="64"/>
        <v/>
      </c>
      <c r="H415" t="str">
        <f t="shared" si="65"/>
        <v/>
      </c>
      <c r="I415" t="str">
        <f t="shared" si="66"/>
        <v/>
      </c>
      <c r="J415" t="str">
        <f t="shared" si="55"/>
        <v/>
      </c>
    </row>
    <row r="416" spans="2:10">
      <c r="B416" t="str">
        <f t="shared" si="67"/>
        <v>Zabór</v>
      </c>
      <c r="C416" t="str">
        <f t="shared" si="60"/>
        <v/>
      </c>
      <c r="D416" t="str">
        <f t="shared" si="61"/>
        <v/>
      </c>
      <c r="E416" t="str">
        <f t="shared" si="62"/>
        <v/>
      </c>
      <c r="F416" t="str">
        <f t="shared" si="63"/>
        <v/>
      </c>
      <c r="G416" t="str">
        <f t="shared" si="64"/>
        <v/>
      </c>
      <c r="H416" t="str">
        <f t="shared" si="65"/>
        <v/>
      </c>
      <c r="I416" t="str">
        <f t="shared" si="66"/>
        <v/>
      </c>
      <c r="J416" t="str">
        <f t="shared" si="55"/>
        <v/>
      </c>
    </row>
    <row r="417" spans="2:10">
      <c r="B417" t="str">
        <f t="shared" si="67"/>
        <v>Zabór</v>
      </c>
      <c r="C417" t="str">
        <f t="shared" si="60"/>
        <v/>
      </c>
      <c r="D417" t="str">
        <f t="shared" si="61"/>
        <v/>
      </c>
      <c r="E417" t="str">
        <f t="shared" si="62"/>
        <v/>
      </c>
      <c r="F417" t="str">
        <f t="shared" si="63"/>
        <v/>
      </c>
      <c r="G417" t="str">
        <f t="shared" si="64"/>
        <v/>
      </c>
      <c r="H417" t="str">
        <f t="shared" si="65"/>
        <v/>
      </c>
      <c r="I417" t="str">
        <f t="shared" si="66"/>
        <v/>
      </c>
      <c r="J417" t="str">
        <f t="shared" si="55"/>
        <v/>
      </c>
    </row>
    <row r="418" spans="2:10">
      <c r="B418" t="str">
        <f t="shared" si="67"/>
        <v>Zabór</v>
      </c>
      <c r="C418" t="str">
        <f t="shared" si="60"/>
        <v/>
      </c>
      <c r="D418" t="str">
        <f t="shared" si="61"/>
        <v/>
      </c>
      <c r="E418" t="str">
        <f t="shared" si="62"/>
        <v/>
      </c>
      <c r="F418" t="str">
        <f t="shared" si="63"/>
        <v/>
      </c>
      <c r="G418" t="str">
        <f t="shared" si="64"/>
        <v/>
      </c>
      <c r="H418" t="str">
        <f t="shared" si="65"/>
        <v/>
      </c>
      <c r="I418" t="str">
        <f t="shared" si="66"/>
        <v/>
      </c>
      <c r="J418" t="str">
        <f t="shared" si="55"/>
        <v/>
      </c>
    </row>
    <row r="419" spans="2:10">
      <c r="B419" t="str">
        <f t="shared" si="67"/>
        <v>Zabór</v>
      </c>
      <c r="C419" t="str">
        <f t="shared" si="60"/>
        <v/>
      </c>
      <c r="D419" t="str">
        <f t="shared" si="61"/>
        <v/>
      </c>
      <c r="E419" t="str">
        <f t="shared" si="62"/>
        <v/>
      </c>
      <c r="F419" t="str">
        <f t="shared" si="63"/>
        <v/>
      </c>
      <c r="G419" t="str">
        <f t="shared" si="64"/>
        <v/>
      </c>
      <c r="H419" t="str">
        <f t="shared" si="65"/>
        <v/>
      </c>
      <c r="I419" t="str">
        <f t="shared" si="66"/>
        <v/>
      </c>
      <c r="J419" t="str">
        <f t="shared" si="55"/>
        <v/>
      </c>
    </row>
    <row r="420" spans="2:10">
      <c r="B420" t="str">
        <f t="shared" si="67"/>
        <v>Zabór</v>
      </c>
      <c r="C420" t="str">
        <f t="shared" si="60"/>
        <v/>
      </c>
      <c r="D420" t="str">
        <f t="shared" si="61"/>
        <v/>
      </c>
      <c r="E420" t="str">
        <f t="shared" si="62"/>
        <v/>
      </c>
      <c r="F420" t="str">
        <f t="shared" si="63"/>
        <v/>
      </c>
      <c r="G420" t="str">
        <f t="shared" si="64"/>
        <v/>
      </c>
      <c r="H420" t="str">
        <f t="shared" si="65"/>
        <v/>
      </c>
      <c r="I420" t="str">
        <f t="shared" si="66"/>
        <v/>
      </c>
      <c r="J420" t="str">
        <f t="shared" si="55"/>
        <v/>
      </c>
    </row>
    <row r="421" spans="2:10">
      <c r="B421" t="str">
        <f t="shared" si="67"/>
        <v>Zabór</v>
      </c>
      <c r="C421" t="str">
        <f t="shared" si="60"/>
        <v/>
      </c>
      <c r="D421" t="str">
        <f t="shared" si="61"/>
        <v/>
      </c>
      <c r="E421" t="str">
        <f t="shared" si="62"/>
        <v/>
      </c>
      <c r="F421" t="str">
        <f t="shared" si="63"/>
        <v/>
      </c>
      <c r="G421" t="str">
        <f t="shared" si="64"/>
        <v/>
      </c>
      <c r="H421" t="str">
        <f t="shared" si="65"/>
        <v/>
      </c>
      <c r="I421" t="str">
        <f t="shared" si="66"/>
        <v/>
      </c>
      <c r="J421" t="str">
        <f t="shared" si="55"/>
        <v/>
      </c>
    </row>
    <row r="422" spans="2:10">
      <c r="B422" t="str">
        <f t="shared" si="67"/>
        <v>Zabór</v>
      </c>
      <c r="C422" t="str">
        <f t="shared" si="60"/>
        <v/>
      </c>
      <c r="D422" t="str">
        <f t="shared" si="61"/>
        <v/>
      </c>
      <c r="E422" t="str">
        <f t="shared" si="62"/>
        <v/>
      </c>
      <c r="F422" t="str">
        <f t="shared" si="63"/>
        <v/>
      </c>
      <c r="G422" t="str">
        <f t="shared" si="64"/>
        <v/>
      </c>
      <c r="H422" t="str">
        <f t="shared" si="65"/>
        <v/>
      </c>
      <c r="I422" t="str">
        <f t="shared" si="66"/>
        <v/>
      </c>
      <c r="J422" t="str">
        <f t="shared" si="55"/>
        <v/>
      </c>
    </row>
    <row r="423" spans="2:10">
      <c r="B423" t="str">
        <f t="shared" si="67"/>
        <v>Zabór</v>
      </c>
      <c r="C423" t="str">
        <f t="shared" si="60"/>
        <v/>
      </c>
      <c r="D423" t="str">
        <f t="shared" si="61"/>
        <v/>
      </c>
      <c r="E423" t="str">
        <f t="shared" si="62"/>
        <v/>
      </c>
      <c r="F423" t="str">
        <f t="shared" si="63"/>
        <v/>
      </c>
      <c r="G423" t="str">
        <f t="shared" si="64"/>
        <v/>
      </c>
      <c r="H423" t="str">
        <f t="shared" si="65"/>
        <v/>
      </c>
      <c r="I423" t="str">
        <f t="shared" si="66"/>
        <v/>
      </c>
      <c r="J423" t="str">
        <f t="shared" si="55"/>
        <v/>
      </c>
    </row>
    <row r="424" spans="2:10">
      <c r="B424" t="str">
        <f t="shared" si="67"/>
        <v>Zabór</v>
      </c>
      <c r="C424" t="str">
        <f t="shared" si="60"/>
        <v/>
      </c>
      <c r="D424" t="str">
        <f t="shared" si="61"/>
        <v/>
      </c>
      <c r="E424" t="str">
        <f t="shared" si="62"/>
        <v/>
      </c>
      <c r="F424" t="str">
        <f t="shared" si="63"/>
        <v/>
      </c>
      <c r="G424" t="str">
        <f t="shared" si="64"/>
        <v/>
      </c>
      <c r="H424" t="str">
        <f t="shared" si="65"/>
        <v/>
      </c>
      <c r="I424" t="str">
        <f t="shared" si="66"/>
        <v/>
      </c>
      <c r="J424" t="str">
        <f t="shared" si="55"/>
        <v/>
      </c>
    </row>
    <row r="425" spans="2:10">
      <c r="B425" t="str">
        <f t="shared" si="67"/>
        <v>Zabór</v>
      </c>
      <c r="C425" t="str">
        <f t="shared" ref="C425:C489" si="68">IF(ISERR(FIND($C$1,A425,1)),"",A425)</f>
        <v/>
      </c>
      <c r="D425" t="str">
        <f t="shared" ref="D425:D489" si="69">IF(C425&gt;"",A426,"")</f>
        <v/>
      </c>
      <c r="E425" t="str">
        <f t="shared" ref="E425:E489" si="70">IF(C425&gt;"",A427,"")</f>
        <v/>
      </c>
      <c r="F425" t="str">
        <f t="shared" ref="F425:F489" si="71">IF(E425&gt;"",MID(A428,FIND("tel.",A428)+4,15),"")</f>
        <v/>
      </c>
      <c r="G425" t="str">
        <f t="shared" ref="G425:G489" si="72">IF(E425&gt;"",MID(A429,FIND(":",A429)+2,60),"")</f>
        <v/>
      </c>
      <c r="H425" t="str">
        <f t="shared" ref="H425:H489" si="73">IF(E425&gt;"",MID(A430,FIND("e-mail:",A430)+8,100),"")</f>
        <v/>
      </c>
      <c r="I425" t="str">
        <f t="shared" ref="I425:I489" si="74">IF(E425&gt;"",IF(ISERR(FIND("DKK",A431)),"",A431),"")</f>
        <v/>
      </c>
      <c r="J425" t="str">
        <f t="shared" ref="J425:J489" si="75">IF(E425&gt;"",IF(ISERR(FIND("DKK",A432)),"",A432),"")</f>
        <v/>
      </c>
    </row>
    <row r="426" spans="2:10">
      <c r="B426" t="str">
        <f t="shared" si="67"/>
        <v>Zabór</v>
      </c>
      <c r="C426" t="str">
        <f t="shared" si="68"/>
        <v/>
      </c>
      <c r="D426" t="str">
        <f t="shared" si="69"/>
        <v/>
      </c>
      <c r="E426" t="str">
        <f t="shared" si="70"/>
        <v/>
      </c>
      <c r="F426" t="str">
        <f t="shared" si="71"/>
        <v/>
      </c>
      <c r="G426" t="str">
        <f t="shared" si="72"/>
        <v/>
      </c>
      <c r="H426" t="str">
        <f t="shared" si="73"/>
        <v/>
      </c>
      <c r="I426" t="str">
        <f t="shared" si="74"/>
        <v/>
      </c>
      <c r="J426" t="str">
        <f t="shared" si="75"/>
        <v/>
      </c>
    </row>
    <row r="427" spans="2:10">
      <c r="B427" t="str">
        <f t="shared" si="67"/>
        <v>Zabór</v>
      </c>
      <c r="C427" t="str">
        <f t="shared" si="68"/>
        <v/>
      </c>
      <c r="D427" t="str">
        <f t="shared" si="69"/>
        <v/>
      </c>
      <c r="E427" t="str">
        <f t="shared" si="70"/>
        <v/>
      </c>
      <c r="F427" t="str">
        <f t="shared" si="71"/>
        <v/>
      </c>
      <c r="G427" t="str">
        <f t="shared" si="72"/>
        <v/>
      </c>
      <c r="H427" t="str">
        <f t="shared" si="73"/>
        <v/>
      </c>
      <c r="I427" t="str">
        <f t="shared" si="74"/>
        <v/>
      </c>
      <c r="J427" t="str">
        <f t="shared" si="75"/>
        <v/>
      </c>
    </row>
    <row r="428" spans="2:10">
      <c r="B428" t="str">
        <f t="shared" si="67"/>
        <v>Zabór</v>
      </c>
      <c r="C428" t="str">
        <f t="shared" si="68"/>
        <v/>
      </c>
      <c r="D428" t="str">
        <f t="shared" si="69"/>
        <v/>
      </c>
      <c r="E428" t="str">
        <f t="shared" si="70"/>
        <v/>
      </c>
      <c r="F428" t="str">
        <f t="shared" si="71"/>
        <v/>
      </c>
      <c r="G428" t="str">
        <f t="shared" si="72"/>
        <v/>
      </c>
      <c r="H428" t="str">
        <f t="shared" si="73"/>
        <v/>
      </c>
      <c r="I428" t="str">
        <f t="shared" si="74"/>
        <v/>
      </c>
      <c r="J428" t="str">
        <f t="shared" si="75"/>
        <v/>
      </c>
    </row>
    <row r="429" spans="2:10">
      <c r="B429" t="str">
        <f t="shared" si="67"/>
        <v>Zabór</v>
      </c>
      <c r="C429" t="str">
        <f t="shared" si="68"/>
        <v/>
      </c>
      <c r="D429" t="str">
        <f t="shared" si="69"/>
        <v/>
      </c>
      <c r="E429" t="str">
        <f t="shared" si="70"/>
        <v/>
      </c>
      <c r="F429" t="str">
        <f t="shared" si="71"/>
        <v/>
      </c>
      <c r="G429" t="str">
        <f t="shared" si="72"/>
        <v/>
      </c>
      <c r="H429" t="str">
        <f t="shared" si="73"/>
        <v/>
      </c>
      <c r="I429" t="str">
        <f t="shared" si="74"/>
        <v/>
      </c>
      <c r="J429" t="str">
        <f t="shared" si="75"/>
        <v/>
      </c>
    </row>
    <row r="430" spans="2:10">
      <c r="B430" t="str">
        <f t="shared" si="67"/>
        <v>Zabór</v>
      </c>
      <c r="C430" t="str">
        <f t="shared" si="68"/>
        <v/>
      </c>
      <c r="D430" t="str">
        <f t="shared" si="69"/>
        <v/>
      </c>
      <c r="E430" t="str">
        <f t="shared" si="70"/>
        <v/>
      </c>
      <c r="F430" t="str">
        <f t="shared" si="71"/>
        <v/>
      </c>
      <c r="G430" t="str">
        <f t="shared" si="72"/>
        <v/>
      </c>
      <c r="H430" t="str">
        <f t="shared" si="73"/>
        <v/>
      </c>
      <c r="I430" t="str">
        <f t="shared" si="74"/>
        <v/>
      </c>
      <c r="J430" t="str">
        <f t="shared" si="75"/>
        <v/>
      </c>
    </row>
    <row r="431" spans="2:10">
      <c r="B431" t="str">
        <f t="shared" si="67"/>
        <v>Zabór</v>
      </c>
      <c r="C431" t="str">
        <f t="shared" si="68"/>
        <v/>
      </c>
      <c r="D431" t="str">
        <f t="shared" si="69"/>
        <v/>
      </c>
      <c r="E431" t="str">
        <f t="shared" si="70"/>
        <v/>
      </c>
      <c r="F431" t="str">
        <f t="shared" si="71"/>
        <v/>
      </c>
      <c r="G431" t="str">
        <f t="shared" si="72"/>
        <v/>
      </c>
      <c r="H431" t="str">
        <f t="shared" si="73"/>
        <v/>
      </c>
      <c r="I431" t="str">
        <f t="shared" si="74"/>
        <v/>
      </c>
      <c r="J431" t="str">
        <f t="shared" si="75"/>
        <v/>
      </c>
    </row>
    <row r="432" spans="2:10">
      <c r="B432" t="str">
        <f t="shared" si="67"/>
        <v>Zabór</v>
      </c>
      <c r="C432" t="str">
        <f t="shared" si="68"/>
        <v/>
      </c>
      <c r="D432" t="str">
        <f t="shared" si="69"/>
        <v/>
      </c>
      <c r="E432" t="str">
        <f t="shared" si="70"/>
        <v/>
      </c>
      <c r="F432" t="str">
        <f t="shared" si="71"/>
        <v/>
      </c>
      <c r="G432" t="str">
        <f t="shared" si="72"/>
        <v/>
      </c>
      <c r="H432" t="str">
        <f t="shared" si="73"/>
        <v/>
      </c>
      <c r="I432" t="str">
        <f t="shared" si="74"/>
        <v/>
      </c>
      <c r="J432" t="str">
        <f t="shared" si="75"/>
        <v/>
      </c>
    </row>
    <row r="433" spans="2:10">
      <c r="B433" t="str">
        <f t="shared" si="67"/>
        <v>Zabór</v>
      </c>
      <c r="C433" t="str">
        <f t="shared" si="68"/>
        <v/>
      </c>
      <c r="D433" t="str">
        <f t="shared" si="69"/>
        <v/>
      </c>
      <c r="E433" t="str">
        <f t="shared" si="70"/>
        <v/>
      </c>
      <c r="F433" t="str">
        <f t="shared" si="71"/>
        <v/>
      </c>
      <c r="G433" t="str">
        <f t="shared" si="72"/>
        <v/>
      </c>
      <c r="H433" t="str">
        <f t="shared" si="73"/>
        <v/>
      </c>
      <c r="I433" t="str">
        <f t="shared" si="74"/>
        <v/>
      </c>
      <c r="J433" t="str">
        <f t="shared" si="75"/>
        <v/>
      </c>
    </row>
    <row r="434" spans="2:10">
      <c r="B434" t="str">
        <f t="shared" si="67"/>
        <v>Zabór</v>
      </c>
      <c r="C434" t="str">
        <f t="shared" si="68"/>
        <v/>
      </c>
      <c r="D434" t="str">
        <f t="shared" si="69"/>
        <v/>
      </c>
      <c r="E434" t="str">
        <f t="shared" si="70"/>
        <v/>
      </c>
      <c r="F434" t="str">
        <f t="shared" si="71"/>
        <v/>
      </c>
      <c r="G434" t="str">
        <f t="shared" si="72"/>
        <v/>
      </c>
      <c r="H434" t="str">
        <f t="shared" si="73"/>
        <v/>
      </c>
      <c r="I434" t="str">
        <f t="shared" si="74"/>
        <v/>
      </c>
      <c r="J434" t="str">
        <f t="shared" si="75"/>
        <v/>
      </c>
    </row>
    <row r="435" spans="2:10">
      <c r="B435" t="str">
        <f t="shared" si="67"/>
        <v>Zabór</v>
      </c>
      <c r="C435" t="str">
        <f t="shared" si="68"/>
        <v/>
      </c>
      <c r="D435" t="str">
        <f t="shared" si="69"/>
        <v/>
      </c>
      <c r="E435" t="str">
        <f t="shared" si="70"/>
        <v/>
      </c>
      <c r="F435" t="str">
        <f t="shared" si="71"/>
        <v/>
      </c>
      <c r="G435" t="str">
        <f t="shared" si="72"/>
        <v/>
      </c>
      <c r="H435" t="str">
        <f t="shared" si="73"/>
        <v/>
      </c>
      <c r="I435" t="str">
        <f t="shared" si="74"/>
        <v/>
      </c>
      <c r="J435" t="str">
        <f t="shared" si="75"/>
        <v/>
      </c>
    </row>
    <row r="436" spans="2:10">
      <c r="B436" t="str">
        <f t="shared" si="67"/>
        <v>Zabór</v>
      </c>
      <c r="C436" t="str">
        <f t="shared" si="68"/>
        <v/>
      </c>
      <c r="D436" t="str">
        <f t="shared" si="69"/>
        <v/>
      </c>
      <c r="E436" t="str">
        <f t="shared" si="70"/>
        <v/>
      </c>
      <c r="F436" t="str">
        <f t="shared" si="71"/>
        <v/>
      </c>
      <c r="G436" t="str">
        <f t="shared" si="72"/>
        <v/>
      </c>
      <c r="H436" t="str">
        <f t="shared" si="73"/>
        <v/>
      </c>
      <c r="I436" t="str">
        <f t="shared" si="74"/>
        <v/>
      </c>
      <c r="J436" t="str">
        <f t="shared" si="75"/>
        <v/>
      </c>
    </row>
    <row r="437" spans="2:10">
      <c r="B437" t="str">
        <f t="shared" si="67"/>
        <v>Zabór</v>
      </c>
      <c r="C437" t="str">
        <f t="shared" si="68"/>
        <v/>
      </c>
      <c r="D437" t="str">
        <f t="shared" si="69"/>
        <v/>
      </c>
      <c r="E437" t="str">
        <f t="shared" si="70"/>
        <v/>
      </c>
      <c r="F437" t="str">
        <f t="shared" si="71"/>
        <v/>
      </c>
      <c r="G437" t="str">
        <f t="shared" si="72"/>
        <v/>
      </c>
      <c r="H437" t="str">
        <f t="shared" si="73"/>
        <v/>
      </c>
      <c r="I437" t="str">
        <f t="shared" si="74"/>
        <v/>
      </c>
      <c r="J437" t="str">
        <f t="shared" si="75"/>
        <v/>
      </c>
    </row>
    <row r="438" spans="2:10">
      <c r="B438" t="str">
        <f t="shared" si="67"/>
        <v>Zabór</v>
      </c>
      <c r="C438" t="str">
        <f t="shared" si="68"/>
        <v/>
      </c>
      <c r="D438" t="str">
        <f t="shared" si="69"/>
        <v/>
      </c>
      <c r="E438" t="str">
        <f t="shared" si="70"/>
        <v/>
      </c>
      <c r="F438" t="str">
        <f t="shared" si="71"/>
        <v/>
      </c>
      <c r="G438" t="str">
        <f t="shared" si="72"/>
        <v/>
      </c>
      <c r="H438" t="str">
        <f t="shared" si="73"/>
        <v/>
      </c>
      <c r="I438" t="str">
        <f t="shared" si="74"/>
        <v/>
      </c>
      <c r="J438" t="str">
        <f t="shared" si="75"/>
        <v/>
      </c>
    </row>
    <row r="439" spans="2:10">
      <c r="B439" t="str">
        <f t="shared" si="67"/>
        <v>Zabór</v>
      </c>
      <c r="C439" t="str">
        <f t="shared" si="68"/>
        <v/>
      </c>
      <c r="D439" t="str">
        <f t="shared" si="69"/>
        <v/>
      </c>
      <c r="E439" t="str">
        <f t="shared" si="70"/>
        <v/>
      </c>
      <c r="F439" t="str">
        <f t="shared" si="71"/>
        <v/>
      </c>
      <c r="G439" t="str">
        <f t="shared" si="72"/>
        <v/>
      </c>
      <c r="H439" t="str">
        <f t="shared" si="73"/>
        <v/>
      </c>
      <c r="I439" t="str">
        <f t="shared" si="74"/>
        <v/>
      </c>
      <c r="J439" t="str">
        <f t="shared" si="75"/>
        <v/>
      </c>
    </row>
    <row r="440" spans="2:10">
      <c r="B440" t="str">
        <f t="shared" si="67"/>
        <v>Zabór</v>
      </c>
      <c r="C440" t="str">
        <f t="shared" si="68"/>
        <v/>
      </c>
      <c r="D440" t="str">
        <f t="shared" si="69"/>
        <v/>
      </c>
      <c r="E440" t="str">
        <f t="shared" si="70"/>
        <v/>
      </c>
      <c r="F440" t="str">
        <f t="shared" si="71"/>
        <v/>
      </c>
      <c r="G440" t="str">
        <f t="shared" si="72"/>
        <v/>
      </c>
      <c r="H440" t="str">
        <f t="shared" si="73"/>
        <v/>
      </c>
      <c r="I440" t="str">
        <f t="shared" si="74"/>
        <v/>
      </c>
      <c r="J440" t="str">
        <f t="shared" ref="J440:J446" si="76">IF(E440&gt;"",IF(ISERR(FIND("DKK",A448)),"",A448),"")</f>
        <v/>
      </c>
    </row>
    <row r="441" spans="2:10">
      <c r="B441" t="str">
        <f t="shared" si="67"/>
        <v>Zabór</v>
      </c>
      <c r="C441" t="str">
        <f t="shared" si="68"/>
        <v/>
      </c>
      <c r="D441" t="str">
        <f t="shared" si="69"/>
        <v/>
      </c>
      <c r="E441" t="str">
        <f t="shared" si="70"/>
        <v/>
      </c>
      <c r="F441" t="str">
        <f t="shared" si="71"/>
        <v/>
      </c>
      <c r="G441" t="str">
        <f t="shared" si="72"/>
        <v/>
      </c>
      <c r="H441" t="str">
        <f t="shared" si="73"/>
        <v/>
      </c>
      <c r="I441" t="str">
        <f t="shared" ref="I441:I446" si="77">IF(E441&gt;"",IF(ISERR(FIND("DKK",A448)),"",A448),"")</f>
        <v/>
      </c>
      <c r="J441" t="str">
        <f t="shared" si="76"/>
        <v/>
      </c>
    </row>
    <row r="442" spans="2:10">
      <c r="B442" t="str">
        <f t="shared" si="67"/>
        <v>Zabór</v>
      </c>
      <c r="C442" t="str">
        <f t="shared" si="68"/>
        <v/>
      </c>
      <c r="D442" t="str">
        <f t="shared" si="69"/>
        <v/>
      </c>
      <c r="E442" t="str">
        <f t="shared" si="70"/>
        <v/>
      </c>
      <c r="F442" t="str">
        <f t="shared" si="71"/>
        <v/>
      </c>
      <c r="G442" t="str">
        <f t="shared" si="72"/>
        <v/>
      </c>
      <c r="H442" t="str">
        <f>IF(E442&gt;"",MID(A448,FIND("e-mail:",A448)+8,100),"")</f>
        <v/>
      </c>
      <c r="I442" t="str">
        <f t="shared" si="77"/>
        <v/>
      </c>
      <c r="J442" t="str">
        <f t="shared" si="76"/>
        <v/>
      </c>
    </row>
    <row r="443" spans="2:10">
      <c r="B443" t="str">
        <f t="shared" si="67"/>
        <v>Zabór</v>
      </c>
      <c r="C443" t="str">
        <f t="shared" si="68"/>
        <v/>
      </c>
      <c r="D443" t="str">
        <f t="shared" si="69"/>
        <v/>
      </c>
      <c r="E443" t="str">
        <f t="shared" si="70"/>
        <v/>
      </c>
      <c r="F443" t="str">
        <f t="shared" si="71"/>
        <v/>
      </c>
      <c r="G443" t="str">
        <f>IF(E443&gt;"",MID(A448,FIND(":",A448)+2,60),"")</f>
        <v/>
      </c>
      <c r="H443" t="str">
        <f>IF(E443&gt;"",MID(A449,FIND("e-mail:",A449)+8,100),"")</f>
        <v/>
      </c>
      <c r="I443" t="str">
        <f t="shared" si="77"/>
        <v/>
      </c>
      <c r="J443" t="str">
        <f t="shared" si="76"/>
        <v/>
      </c>
    </row>
    <row r="444" spans="2:10">
      <c r="B444" t="str">
        <f t="shared" si="67"/>
        <v>Zabór</v>
      </c>
      <c r="C444" t="str">
        <f t="shared" si="68"/>
        <v/>
      </c>
      <c r="D444" t="str">
        <f t="shared" si="69"/>
        <v/>
      </c>
      <c r="E444" t="str">
        <f t="shared" si="70"/>
        <v/>
      </c>
      <c r="F444" t="str">
        <f>IF(E444&gt;"",MID(A448,FIND("tel.",A448)+4,15),"")</f>
        <v/>
      </c>
      <c r="G444" t="str">
        <f>IF(E444&gt;"",MID(A449,FIND(":",A449)+2,60),"")</f>
        <v/>
      </c>
      <c r="H444" t="str">
        <f>IF(E444&gt;"",MID(A450,FIND("e-mail:",A450)+8,100),"")</f>
        <v/>
      </c>
      <c r="I444" t="str">
        <f t="shared" si="77"/>
        <v/>
      </c>
      <c r="J444" t="str">
        <f t="shared" si="76"/>
        <v/>
      </c>
    </row>
    <row r="445" spans="2:10">
      <c r="B445" t="str">
        <f t="shared" si="67"/>
        <v>Zabór</v>
      </c>
      <c r="C445" t="str">
        <f t="shared" si="68"/>
        <v/>
      </c>
      <c r="D445" t="str">
        <f t="shared" si="69"/>
        <v/>
      </c>
      <c r="E445" t="str">
        <f>IF(C445&gt;"",A448,"")</f>
        <v/>
      </c>
      <c r="F445" t="str">
        <f>IF(E445&gt;"",MID(A449,FIND("tel.",A449)+4,15),"")</f>
        <v/>
      </c>
      <c r="G445" t="str">
        <f>IF(E445&gt;"",MID(A450,FIND(":",A450)+2,60),"")</f>
        <v/>
      </c>
      <c r="H445" t="str">
        <f>IF(E445&gt;"",MID(A451,FIND("e-mail:",A451)+8,100),"")</f>
        <v/>
      </c>
      <c r="I445" t="str">
        <f t="shared" si="77"/>
        <v/>
      </c>
      <c r="J445" t="str">
        <f t="shared" si="76"/>
        <v/>
      </c>
    </row>
    <row r="446" spans="2:10">
      <c r="B446" t="str">
        <f t="shared" si="67"/>
        <v>Zabór</v>
      </c>
      <c r="C446" t="str">
        <f t="shared" si="68"/>
        <v/>
      </c>
      <c r="D446" t="str">
        <f>IF(C446&gt;"",A448,"")</f>
        <v/>
      </c>
      <c r="E446" t="str">
        <f>IF(C446&gt;"",A449,"")</f>
        <v/>
      </c>
      <c r="F446" t="str">
        <f>IF(E446&gt;"",MID(A450,FIND("tel.",A450)+4,15),"")</f>
        <v/>
      </c>
      <c r="G446" t="str">
        <f>IF(E446&gt;"",MID(A451,FIND(":",A451)+2,60),"")</f>
        <v/>
      </c>
      <c r="H446" t="str">
        <f>IF(E446&gt;"",MID(A452,FIND("e-mail:",A452)+8,100),"")</f>
        <v/>
      </c>
      <c r="I446" t="str">
        <f t="shared" si="77"/>
        <v/>
      </c>
      <c r="J446" t="str">
        <f t="shared" si="76"/>
        <v/>
      </c>
    </row>
    <row r="447" spans="2:10">
      <c r="B447" t="str">
        <f t="shared" si="67"/>
        <v>Zabór</v>
      </c>
    </row>
    <row r="448" spans="2:10">
      <c r="B448" t="str">
        <f t="shared" si="67"/>
        <v>Zabór</v>
      </c>
      <c r="C448" t="str">
        <f t="shared" si="68"/>
        <v/>
      </c>
      <c r="D448" t="str">
        <f t="shared" si="69"/>
        <v/>
      </c>
      <c r="E448" t="str">
        <f t="shared" si="70"/>
        <v/>
      </c>
      <c r="F448" t="str">
        <f t="shared" si="71"/>
        <v/>
      </c>
      <c r="G448" t="str">
        <f t="shared" si="72"/>
        <v/>
      </c>
      <c r="H448" t="str">
        <f t="shared" si="73"/>
        <v/>
      </c>
      <c r="I448" t="str">
        <f t="shared" si="74"/>
        <v/>
      </c>
      <c r="J448" t="str">
        <f t="shared" si="75"/>
        <v/>
      </c>
    </row>
    <row r="449" spans="2:10">
      <c r="B449" t="str">
        <f t="shared" si="67"/>
        <v>Zabór</v>
      </c>
      <c r="C449" t="str">
        <f t="shared" si="68"/>
        <v/>
      </c>
      <c r="D449" t="str">
        <f t="shared" si="69"/>
        <v/>
      </c>
      <c r="E449" t="str">
        <f t="shared" si="70"/>
        <v/>
      </c>
      <c r="F449" t="str">
        <f t="shared" si="71"/>
        <v/>
      </c>
      <c r="G449" t="str">
        <f t="shared" si="72"/>
        <v/>
      </c>
      <c r="H449" t="str">
        <f t="shared" si="73"/>
        <v/>
      </c>
      <c r="I449" t="str">
        <f t="shared" si="74"/>
        <v/>
      </c>
      <c r="J449" t="str">
        <f t="shared" si="75"/>
        <v/>
      </c>
    </row>
    <row r="450" spans="2:10">
      <c r="B450" t="str">
        <f t="shared" si="67"/>
        <v>Zabór</v>
      </c>
      <c r="C450" t="str">
        <f t="shared" si="68"/>
        <v/>
      </c>
      <c r="D450" t="str">
        <f t="shared" si="69"/>
        <v/>
      </c>
      <c r="E450" t="str">
        <f t="shared" si="70"/>
        <v/>
      </c>
      <c r="F450" t="str">
        <f t="shared" si="71"/>
        <v/>
      </c>
      <c r="G450" t="str">
        <f t="shared" si="72"/>
        <v/>
      </c>
      <c r="H450" t="str">
        <f t="shared" si="73"/>
        <v/>
      </c>
      <c r="I450" t="str">
        <f t="shared" si="74"/>
        <v/>
      </c>
      <c r="J450" t="str">
        <f t="shared" si="75"/>
        <v/>
      </c>
    </row>
    <row r="451" spans="2:10">
      <c r="B451" t="str">
        <f t="shared" si="67"/>
        <v>Zabór</v>
      </c>
      <c r="C451" t="str">
        <f t="shared" si="68"/>
        <v/>
      </c>
      <c r="D451" t="str">
        <f t="shared" si="69"/>
        <v/>
      </c>
      <c r="E451" t="str">
        <f t="shared" si="70"/>
        <v/>
      </c>
      <c r="F451" t="str">
        <f t="shared" si="71"/>
        <v/>
      </c>
      <c r="G451" t="str">
        <f t="shared" si="72"/>
        <v/>
      </c>
      <c r="H451" t="str">
        <f t="shared" si="73"/>
        <v/>
      </c>
      <c r="I451" t="str">
        <f t="shared" si="74"/>
        <v/>
      </c>
      <c r="J451" t="str">
        <f t="shared" si="75"/>
        <v/>
      </c>
    </row>
    <row r="452" spans="2:10">
      <c r="B452" t="str">
        <f t="shared" si="67"/>
        <v>Zabór</v>
      </c>
      <c r="C452" t="str">
        <f t="shared" si="68"/>
        <v/>
      </c>
      <c r="D452" t="str">
        <f t="shared" si="69"/>
        <v/>
      </c>
      <c r="E452" t="str">
        <f t="shared" si="70"/>
        <v/>
      </c>
      <c r="F452" t="str">
        <f t="shared" si="71"/>
        <v/>
      </c>
      <c r="G452" t="str">
        <f t="shared" si="72"/>
        <v/>
      </c>
      <c r="H452" t="str">
        <f t="shared" si="73"/>
        <v/>
      </c>
      <c r="I452" t="str">
        <f t="shared" si="74"/>
        <v/>
      </c>
      <c r="J452" t="str">
        <f t="shared" si="75"/>
        <v/>
      </c>
    </row>
    <row r="453" spans="2:10">
      <c r="B453" t="str">
        <f t="shared" si="67"/>
        <v>Zabór</v>
      </c>
      <c r="C453" t="str">
        <f t="shared" si="68"/>
        <v/>
      </c>
      <c r="D453" t="str">
        <f t="shared" si="69"/>
        <v/>
      </c>
      <c r="E453" t="str">
        <f t="shared" si="70"/>
        <v/>
      </c>
      <c r="F453" t="str">
        <f t="shared" si="71"/>
        <v/>
      </c>
      <c r="G453" t="str">
        <f t="shared" si="72"/>
        <v/>
      </c>
      <c r="H453" t="str">
        <f t="shared" si="73"/>
        <v/>
      </c>
      <c r="I453" t="str">
        <f t="shared" si="74"/>
        <v/>
      </c>
      <c r="J453" t="str">
        <f t="shared" si="75"/>
        <v/>
      </c>
    </row>
    <row r="454" spans="2:10">
      <c r="B454" t="str">
        <f t="shared" si="67"/>
        <v>Zabór</v>
      </c>
      <c r="C454" t="str">
        <f t="shared" si="68"/>
        <v/>
      </c>
      <c r="D454" t="str">
        <f t="shared" si="69"/>
        <v/>
      </c>
      <c r="E454" t="str">
        <f t="shared" si="70"/>
        <v/>
      </c>
      <c r="F454" t="str">
        <f t="shared" si="71"/>
        <v/>
      </c>
      <c r="G454" t="str">
        <f t="shared" si="72"/>
        <v/>
      </c>
      <c r="H454" t="str">
        <f t="shared" si="73"/>
        <v/>
      </c>
      <c r="I454" t="str">
        <f t="shared" si="74"/>
        <v/>
      </c>
      <c r="J454" t="str">
        <f t="shared" si="75"/>
        <v/>
      </c>
    </row>
    <row r="455" spans="2:10">
      <c r="B455" t="str">
        <f t="shared" si="67"/>
        <v>Zabór</v>
      </c>
      <c r="C455" t="str">
        <f t="shared" si="68"/>
        <v/>
      </c>
      <c r="D455" t="str">
        <f t="shared" si="69"/>
        <v/>
      </c>
      <c r="E455" t="str">
        <f t="shared" si="70"/>
        <v/>
      </c>
      <c r="F455" t="str">
        <f t="shared" si="71"/>
        <v/>
      </c>
      <c r="G455" t="str">
        <f t="shared" si="72"/>
        <v/>
      </c>
      <c r="H455" t="str">
        <f t="shared" si="73"/>
        <v/>
      </c>
      <c r="I455" t="str">
        <f t="shared" si="74"/>
        <v/>
      </c>
      <c r="J455" t="str">
        <f t="shared" si="75"/>
        <v/>
      </c>
    </row>
    <row r="456" spans="2:10">
      <c r="B456" t="str">
        <f t="shared" si="67"/>
        <v>Zabór</v>
      </c>
      <c r="C456" t="str">
        <f t="shared" si="68"/>
        <v/>
      </c>
      <c r="D456" t="str">
        <f t="shared" si="69"/>
        <v/>
      </c>
      <c r="E456" t="str">
        <f t="shared" si="70"/>
        <v/>
      </c>
      <c r="F456" t="str">
        <f t="shared" si="71"/>
        <v/>
      </c>
      <c r="G456" t="str">
        <f t="shared" si="72"/>
        <v/>
      </c>
      <c r="H456" t="str">
        <f t="shared" si="73"/>
        <v/>
      </c>
      <c r="I456" t="str">
        <f t="shared" si="74"/>
        <v/>
      </c>
      <c r="J456" t="str">
        <f t="shared" si="75"/>
        <v/>
      </c>
    </row>
    <row r="457" spans="2:10">
      <c r="B457" t="str">
        <f t="shared" si="67"/>
        <v>Zabór</v>
      </c>
      <c r="C457" t="str">
        <f t="shared" si="68"/>
        <v/>
      </c>
      <c r="D457" t="str">
        <f t="shared" si="69"/>
        <v/>
      </c>
      <c r="E457" t="str">
        <f t="shared" si="70"/>
        <v/>
      </c>
      <c r="F457" t="str">
        <f t="shared" si="71"/>
        <v/>
      </c>
      <c r="G457" t="str">
        <f t="shared" si="72"/>
        <v/>
      </c>
      <c r="H457" t="str">
        <f t="shared" si="73"/>
        <v/>
      </c>
      <c r="I457" t="str">
        <f t="shared" si="74"/>
        <v/>
      </c>
      <c r="J457" t="str">
        <f t="shared" si="75"/>
        <v/>
      </c>
    </row>
    <row r="458" spans="2:10">
      <c r="B458" t="str">
        <f t="shared" si="67"/>
        <v>Zabór</v>
      </c>
      <c r="C458" t="str">
        <f t="shared" si="68"/>
        <v/>
      </c>
      <c r="D458" t="str">
        <f t="shared" si="69"/>
        <v/>
      </c>
      <c r="E458" t="str">
        <f t="shared" si="70"/>
        <v/>
      </c>
      <c r="F458" t="str">
        <f t="shared" si="71"/>
        <v/>
      </c>
      <c r="G458" t="str">
        <f t="shared" si="72"/>
        <v/>
      </c>
      <c r="H458" t="str">
        <f t="shared" si="73"/>
        <v/>
      </c>
      <c r="I458" t="str">
        <f t="shared" si="74"/>
        <v/>
      </c>
      <c r="J458" t="str">
        <f t="shared" si="75"/>
        <v/>
      </c>
    </row>
    <row r="459" spans="2:10">
      <c r="B459" t="str">
        <f t="shared" si="67"/>
        <v>Zabór</v>
      </c>
      <c r="C459" t="str">
        <f t="shared" si="68"/>
        <v/>
      </c>
      <c r="D459" t="str">
        <f t="shared" si="69"/>
        <v/>
      </c>
      <c r="E459" t="str">
        <f t="shared" si="70"/>
        <v/>
      </c>
      <c r="F459" t="str">
        <f t="shared" si="71"/>
        <v/>
      </c>
      <c r="G459" t="str">
        <f t="shared" si="72"/>
        <v/>
      </c>
      <c r="H459" t="str">
        <f t="shared" si="73"/>
        <v/>
      </c>
      <c r="I459" t="str">
        <f t="shared" si="74"/>
        <v/>
      </c>
      <c r="J459" t="str">
        <f t="shared" si="75"/>
        <v/>
      </c>
    </row>
    <row r="460" spans="2:10">
      <c r="B460" t="str">
        <f t="shared" si="67"/>
        <v>Zabór</v>
      </c>
      <c r="C460" t="str">
        <f t="shared" si="68"/>
        <v/>
      </c>
      <c r="D460" t="str">
        <f t="shared" si="69"/>
        <v/>
      </c>
      <c r="E460" t="str">
        <f t="shared" si="70"/>
        <v/>
      </c>
      <c r="F460" t="str">
        <f t="shared" si="71"/>
        <v/>
      </c>
      <c r="G460" t="str">
        <f t="shared" si="72"/>
        <v/>
      </c>
      <c r="H460" t="str">
        <f t="shared" si="73"/>
        <v/>
      </c>
      <c r="I460" t="str">
        <f t="shared" si="74"/>
        <v/>
      </c>
      <c r="J460" t="str">
        <f t="shared" si="75"/>
        <v/>
      </c>
    </row>
    <row r="461" spans="2:10">
      <c r="B461" t="str">
        <f t="shared" si="67"/>
        <v>Zabór</v>
      </c>
      <c r="C461" t="str">
        <f t="shared" si="68"/>
        <v/>
      </c>
      <c r="D461" t="str">
        <f t="shared" si="69"/>
        <v/>
      </c>
      <c r="E461" t="str">
        <f t="shared" si="70"/>
        <v/>
      </c>
      <c r="F461" t="str">
        <f t="shared" si="71"/>
        <v/>
      </c>
      <c r="G461" t="str">
        <f t="shared" si="72"/>
        <v/>
      </c>
      <c r="H461" t="str">
        <f t="shared" si="73"/>
        <v/>
      </c>
      <c r="I461" t="str">
        <f t="shared" si="74"/>
        <v/>
      </c>
      <c r="J461" t="str">
        <f t="shared" si="75"/>
        <v/>
      </c>
    </row>
    <row r="462" spans="2:10">
      <c r="B462" t="str">
        <f t="shared" si="67"/>
        <v>Zabór</v>
      </c>
      <c r="C462" t="str">
        <f t="shared" si="68"/>
        <v/>
      </c>
      <c r="D462" t="str">
        <f t="shared" si="69"/>
        <v/>
      </c>
      <c r="E462" t="str">
        <f t="shared" si="70"/>
        <v/>
      </c>
      <c r="F462" t="str">
        <f t="shared" si="71"/>
        <v/>
      </c>
      <c r="G462" t="str">
        <f t="shared" si="72"/>
        <v/>
      </c>
      <c r="H462" t="str">
        <f t="shared" si="73"/>
        <v/>
      </c>
      <c r="I462" t="str">
        <f t="shared" si="74"/>
        <v/>
      </c>
      <c r="J462" t="str">
        <f t="shared" si="75"/>
        <v/>
      </c>
    </row>
    <row r="463" spans="2:10">
      <c r="B463" t="str">
        <f t="shared" si="67"/>
        <v>Zabór</v>
      </c>
      <c r="C463" t="str">
        <f t="shared" si="68"/>
        <v/>
      </c>
      <c r="D463" t="str">
        <f t="shared" si="69"/>
        <v/>
      </c>
      <c r="E463" t="str">
        <f t="shared" si="70"/>
        <v/>
      </c>
      <c r="F463" t="str">
        <f t="shared" si="71"/>
        <v/>
      </c>
      <c r="G463" t="str">
        <f t="shared" si="72"/>
        <v/>
      </c>
      <c r="H463" t="str">
        <f t="shared" si="73"/>
        <v/>
      </c>
      <c r="I463" t="str">
        <f t="shared" si="74"/>
        <v/>
      </c>
      <c r="J463" t="str">
        <f t="shared" si="75"/>
        <v/>
      </c>
    </row>
    <row r="464" spans="2:10">
      <c r="B464" t="str">
        <f t="shared" si="67"/>
        <v>Zabór</v>
      </c>
      <c r="C464" t="str">
        <f t="shared" si="68"/>
        <v/>
      </c>
      <c r="D464" t="str">
        <f t="shared" si="69"/>
        <v/>
      </c>
      <c r="E464" t="str">
        <f t="shared" si="70"/>
        <v/>
      </c>
      <c r="F464" t="str">
        <f t="shared" si="71"/>
        <v/>
      </c>
      <c r="G464" t="str">
        <f t="shared" si="72"/>
        <v/>
      </c>
      <c r="H464" t="str">
        <f t="shared" si="73"/>
        <v/>
      </c>
      <c r="I464" t="str">
        <f t="shared" si="74"/>
        <v/>
      </c>
      <c r="J464" t="str">
        <f t="shared" si="75"/>
        <v/>
      </c>
    </row>
    <row r="465" spans="2:10">
      <c r="B465" t="str">
        <f t="shared" si="67"/>
        <v>Zabór</v>
      </c>
      <c r="C465" t="str">
        <f t="shared" si="68"/>
        <v/>
      </c>
      <c r="D465" t="str">
        <f t="shared" si="69"/>
        <v/>
      </c>
      <c r="E465" t="str">
        <f t="shared" si="70"/>
        <v/>
      </c>
      <c r="F465" t="str">
        <f t="shared" si="71"/>
        <v/>
      </c>
      <c r="G465" t="str">
        <f t="shared" si="72"/>
        <v/>
      </c>
      <c r="H465" t="str">
        <f t="shared" si="73"/>
        <v/>
      </c>
      <c r="I465" t="str">
        <f t="shared" si="74"/>
        <v/>
      </c>
      <c r="J465" t="str">
        <f t="shared" si="75"/>
        <v/>
      </c>
    </row>
    <row r="466" spans="2:10">
      <c r="B466" t="str">
        <f t="shared" si="67"/>
        <v>Zabór</v>
      </c>
      <c r="C466" t="str">
        <f t="shared" si="68"/>
        <v/>
      </c>
      <c r="D466" t="str">
        <f t="shared" si="69"/>
        <v/>
      </c>
      <c r="E466" t="str">
        <f t="shared" si="70"/>
        <v/>
      </c>
      <c r="F466" t="str">
        <f t="shared" si="71"/>
        <v/>
      </c>
      <c r="G466" t="str">
        <f t="shared" si="72"/>
        <v/>
      </c>
      <c r="H466" t="str">
        <f t="shared" si="73"/>
        <v/>
      </c>
      <c r="I466" t="str">
        <f t="shared" si="74"/>
        <v/>
      </c>
      <c r="J466" t="str">
        <f t="shared" si="75"/>
        <v/>
      </c>
    </row>
    <row r="467" spans="2:10">
      <c r="B467" t="str">
        <f t="shared" si="67"/>
        <v>Zabór</v>
      </c>
      <c r="C467" t="str">
        <f t="shared" si="68"/>
        <v/>
      </c>
      <c r="D467" t="str">
        <f t="shared" si="69"/>
        <v/>
      </c>
      <c r="E467" t="str">
        <f t="shared" si="70"/>
        <v/>
      </c>
      <c r="F467" t="str">
        <f t="shared" si="71"/>
        <v/>
      </c>
      <c r="G467" t="str">
        <f t="shared" si="72"/>
        <v/>
      </c>
      <c r="H467" t="str">
        <f t="shared" si="73"/>
        <v/>
      </c>
      <c r="I467" t="str">
        <f t="shared" si="74"/>
        <v/>
      </c>
      <c r="J467" t="str">
        <f t="shared" si="75"/>
        <v/>
      </c>
    </row>
    <row r="468" spans="2:10">
      <c r="B468" t="str">
        <f t="shared" si="67"/>
        <v>Zabór</v>
      </c>
      <c r="C468" t="str">
        <f t="shared" si="68"/>
        <v/>
      </c>
      <c r="D468" t="str">
        <f t="shared" si="69"/>
        <v/>
      </c>
      <c r="E468" t="str">
        <f t="shared" si="70"/>
        <v/>
      </c>
      <c r="F468" t="str">
        <f t="shared" si="71"/>
        <v/>
      </c>
      <c r="G468" t="str">
        <f t="shared" si="72"/>
        <v/>
      </c>
      <c r="H468" t="str">
        <f t="shared" si="73"/>
        <v/>
      </c>
      <c r="I468" t="str">
        <f t="shared" si="74"/>
        <v/>
      </c>
      <c r="J468" t="str">
        <f t="shared" si="75"/>
        <v/>
      </c>
    </row>
    <row r="469" spans="2:10">
      <c r="B469" t="str">
        <f t="shared" si="67"/>
        <v>Zabór</v>
      </c>
      <c r="C469" t="str">
        <f t="shared" si="68"/>
        <v/>
      </c>
      <c r="D469" t="str">
        <f t="shared" si="69"/>
        <v/>
      </c>
      <c r="E469" t="str">
        <f t="shared" si="70"/>
        <v/>
      </c>
      <c r="F469" t="str">
        <f t="shared" si="71"/>
        <v/>
      </c>
      <c r="G469" t="str">
        <f t="shared" si="72"/>
        <v/>
      </c>
      <c r="H469" t="str">
        <f t="shared" si="73"/>
        <v/>
      </c>
      <c r="I469" t="str">
        <f t="shared" si="74"/>
        <v/>
      </c>
      <c r="J469" t="str">
        <f t="shared" si="75"/>
        <v/>
      </c>
    </row>
    <row r="470" spans="2:10">
      <c r="B470" t="str">
        <f t="shared" si="67"/>
        <v>Zabór</v>
      </c>
      <c r="C470" t="str">
        <f t="shared" si="68"/>
        <v/>
      </c>
      <c r="D470" t="str">
        <f t="shared" si="69"/>
        <v/>
      </c>
      <c r="E470" t="str">
        <f t="shared" si="70"/>
        <v/>
      </c>
      <c r="F470" t="str">
        <f t="shared" si="71"/>
        <v/>
      </c>
      <c r="G470" t="str">
        <f t="shared" si="72"/>
        <v/>
      </c>
      <c r="H470" t="str">
        <f t="shared" si="73"/>
        <v/>
      </c>
      <c r="I470" t="str">
        <f t="shared" si="74"/>
        <v/>
      </c>
      <c r="J470" t="str">
        <f t="shared" si="75"/>
        <v/>
      </c>
    </row>
    <row r="471" spans="2:10">
      <c r="B471" t="str">
        <f t="shared" si="67"/>
        <v>Zabór</v>
      </c>
      <c r="C471" t="str">
        <f t="shared" si="68"/>
        <v/>
      </c>
      <c r="D471" t="str">
        <f t="shared" si="69"/>
        <v/>
      </c>
      <c r="E471" t="str">
        <f t="shared" si="70"/>
        <v/>
      </c>
      <c r="F471" t="str">
        <f t="shared" si="71"/>
        <v/>
      </c>
      <c r="G471" t="str">
        <f t="shared" si="72"/>
        <v/>
      </c>
      <c r="H471" t="str">
        <f t="shared" si="73"/>
        <v/>
      </c>
      <c r="I471" t="str">
        <f t="shared" si="74"/>
        <v/>
      </c>
      <c r="J471" t="str">
        <f t="shared" si="75"/>
        <v/>
      </c>
    </row>
    <row r="472" spans="2:10">
      <c r="B472" t="str">
        <f t="shared" si="67"/>
        <v>Zabór</v>
      </c>
      <c r="C472" t="str">
        <f t="shared" si="68"/>
        <v/>
      </c>
      <c r="D472" t="str">
        <f t="shared" si="69"/>
        <v/>
      </c>
      <c r="E472" t="str">
        <f t="shared" si="70"/>
        <v/>
      </c>
      <c r="F472" t="str">
        <f t="shared" si="71"/>
        <v/>
      </c>
      <c r="G472" t="str">
        <f t="shared" si="72"/>
        <v/>
      </c>
      <c r="H472" t="str">
        <f t="shared" si="73"/>
        <v/>
      </c>
      <c r="I472" t="str">
        <f t="shared" si="74"/>
        <v/>
      </c>
      <c r="J472" t="str">
        <f t="shared" si="75"/>
        <v/>
      </c>
    </row>
    <row r="473" spans="2:10">
      <c r="B473" t="str">
        <f t="shared" si="67"/>
        <v>Zabór</v>
      </c>
      <c r="C473" t="str">
        <f t="shared" si="68"/>
        <v/>
      </c>
      <c r="D473" t="str">
        <f t="shared" si="69"/>
        <v/>
      </c>
      <c r="E473" t="str">
        <f t="shared" si="70"/>
        <v/>
      </c>
      <c r="F473" t="str">
        <f t="shared" si="71"/>
        <v/>
      </c>
      <c r="G473" t="str">
        <f t="shared" si="72"/>
        <v/>
      </c>
      <c r="H473" t="str">
        <f t="shared" si="73"/>
        <v/>
      </c>
      <c r="I473" t="str">
        <f t="shared" si="74"/>
        <v/>
      </c>
      <c r="J473" t="str">
        <f t="shared" si="75"/>
        <v/>
      </c>
    </row>
    <row r="474" spans="2:10">
      <c r="B474" t="str">
        <f t="shared" si="67"/>
        <v>Zabór</v>
      </c>
      <c r="C474" t="str">
        <f t="shared" si="68"/>
        <v/>
      </c>
      <c r="D474" t="str">
        <f t="shared" si="69"/>
        <v/>
      </c>
      <c r="E474" t="str">
        <f t="shared" si="70"/>
        <v/>
      </c>
      <c r="F474" t="str">
        <f t="shared" si="71"/>
        <v/>
      </c>
      <c r="G474" t="str">
        <f t="shared" si="72"/>
        <v/>
      </c>
      <c r="H474" t="str">
        <f t="shared" si="73"/>
        <v/>
      </c>
      <c r="I474" t="str">
        <f t="shared" si="74"/>
        <v/>
      </c>
      <c r="J474" t="str">
        <f t="shared" si="75"/>
        <v/>
      </c>
    </row>
    <row r="475" spans="2:10">
      <c r="B475" t="str">
        <f t="shared" si="67"/>
        <v>Zabór</v>
      </c>
      <c r="C475" t="str">
        <f t="shared" si="68"/>
        <v/>
      </c>
      <c r="D475" t="str">
        <f t="shared" si="69"/>
        <v/>
      </c>
      <c r="E475" t="str">
        <f t="shared" si="70"/>
        <v/>
      </c>
      <c r="F475" t="str">
        <f t="shared" si="71"/>
        <v/>
      </c>
      <c r="G475" t="str">
        <f t="shared" si="72"/>
        <v/>
      </c>
      <c r="H475" t="str">
        <f t="shared" si="73"/>
        <v/>
      </c>
      <c r="I475" t="str">
        <f t="shared" si="74"/>
        <v/>
      </c>
      <c r="J475" t="str">
        <f t="shared" si="75"/>
        <v/>
      </c>
    </row>
    <row r="476" spans="2:10">
      <c r="B476" t="str">
        <f t="shared" si="67"/>
        <v>Zabór</v>
      </c>
      <c r="C476" t="str">
        <f t="shared" si="68"/>
        <v/>
      </c>
      <c r="D476" t="str">
        <f t="shared" si="69"/>
        <v/>
      </c>
      <c r="E476" t="str">
        <f t="shared" si="70"/>
        <v/>
      </c>
      <c r="F476" t="str">
        <f t="shared" si="71"/>
        <v/>
      </c>
      <c r="G476" t="str">
        <f t="shared" si="72"/>
        <v/>
      </c>
      <c r="H476" t="str">
        <f t="shared" si="73"/>
        <v/>
      </c>
      <c r="I476" t="str">
        <f t="shared" si="74"/>
        <v/>
      </c>
      <c r="J476" t="str">
        <f t="shared" si="75"/>
        <v/>
      </c>
    </row>
    <row r="477" spans="2:10">
      <c r="B477" t="str">
        <f t="shared" si="67"/>
        <v>Zabór</v>
      </c>
      <c r="C477" t="str">
        <f t="shared" si="68"/>
        <v/>
      </c>
      <c r="D477" t="str">
        <f t="shared" si="69"/>
        <v/>
      </c>
      <c r="E477" t="str">
        <f t="shared" si="70"/>
        <v/>
      </c>
      <c r="F477" t="str">
        <f t="shared" si="71"/>
        <v/>
      </c>
      <c r="G477" t="str">
        <f t="shared" si="72"/>
        <v/>
      </c>
      <c r="H477" t="str">
        <f t="shared" si="73"/>
        <v/>
      </c>
      <c r="I477" t="str">
        <f t="shared" si="74"/>
        <v/>
      </c>
      <c r="J477" t="str">
        <f t="shared" si="75"/>
        <v/>
      </c>
    </row>
    <row r="478" spans="2:10">
      <c r="B478" t="str">
        <f t="shared" si="67"/>
        <v>Zabór</v>
      </c>
      <c r="C478" t="str">
        <f t="shared" si="68"/>
        <v/>
      </c>
      <c r="D478" t="str">
        <f t="shared" si="69"/>
        <v/>
      </c>
      <c r="E478" t="str">
        <f t="shared" si="70"/>
        <v/>
      </c>
      <c r="F478" t="str">
        <f t="shared" si="71"/>
        <v/>
      </c>
      <c r="G478" t="str">
        <f t="shared" si="72"/>
        <v/>
      </c>
      <c r="H478" t="str">
        <f t="shared" si="73"/>
        <v/>
      </c>
      <c r="I478" t="str">
        <f t="shared" si="74"/>
        <v/>
      </c>
      <c r="J478" t="str">
        <f t="shared" si="75"/>
        <v/>
      </c>
    </row>
    <row r="479" spans="2:10">
      <c r="B479" t="str">
        <f t="shared" ref="B479:B542" si="78">+IF(AND(C479&gt;"",ISERR(FIND("DKK",A478))),A478,B478)</f>
        <v>Zabór</v>
      </c>
      <c r="C479" t="str">
        <f t="shared" si="68"/>
        <v/>
      </c>
      <c r="D479" t="str">
        <f t="shared" si="69"/>
        <v/>
      </c>
      <c r="E479" t="str">
        <f t="shared" si="70"/>
        <v/>
      </c>
      <c r="F479" t="str">
        <f t="shared" si="71"/>
        <v/>
      </c>
      <c r="G479" t="str">
        <f t="shared" si="72"/>
        <v/>
      </c>
      <c r="H479" t="str">
        <f t="shared" si="73"/>
        <v/>
      </c>
      <c r="I479" t="str">
        <f t="shared" si="74"/>
        <v/>
      </c>
      <c r="J479" t="str">
        <f t="shared" si="75"/>
        <v/>
      </c>
    </row>
    <row r="480" spans="2:10">
      <c r="B480" t="str">
        <f t="shared" si="78"/>
        <v>Zabór</v>
      </c>
      <c r="C480" t="str">
        <f t="shared" si="68"/>
        <v/>
      </c>
      <c r="D480" t="str">
        <f t="shared" si="69"/>
        <v/>
      </c>
      <c r="E480" t="str">
        <f t="shared" si="70"/>
        <v/>
      </c>
      <c r="F480" t="str">
        <f t="shared" si="71"/>
        <v/>
      </c>
      <c r="G480" t="str">
        <f t="shared" si="72"/>
        <v/>
      </c>
      <c r="H480" t="str">
        <f t="shared" si="73"/>
        <v/>
      </c>
      <c r="I480" t="str">
        <f t="shared" si="74"/>
        <v/>
      </c>
      <c r="J480" t="str">
        <f t="shared" si="75"/>
        <v/>
      </c>
    </row>
    <row r="481" spans="2:10">
      <c r="B481" t="str">
        <f t="shared" si="78"/>
        <v>Zabór</v>
      </c>
      <c r="C481" t="str">
        <f t="shared" si="68"/>
        <v/>
      </c>
      <c r="D481" t="str">
        <f t="shared" si="69"/>
        <v/>
      </c>
      <c r="E481" t="str">
        <f t="shared" si="70"/>
        <v/>
      </c>
      <c r="F481" t="str">
        <f t="shared" si="71"/>
        <v/>
      </c>
      <c r="G481" t="str">
        <f t="shared" si="72"/>
        <v/>
      </c>
      <c r="H481" t="str">
        <f t="shared" si="73"/>
        <v/>
      </c>
      <c r="I481" t="str">
        <f t="shared" si="74"/>
        <v/>
      </c>
      <c r="J481" t="str">
        <f t="shared" si="75"/>
        <v/>
      </c>
    </row>
    <row r="482" spans="2:10">
      <c r="B482" t="str">
        <f t="shared" si="78"/>
        <v>Zabór</v>
      </c>
      <c r="C482" t="str">
        <f t="shared" si="68"/>
        <v/>
      </c>
      <c r="D482" t="str">
        <f t="shared" si="69"/>
        <v/>
      </c>
      <c r="E482" t="str">
        <f t="shared" si="70"/>
        <v/>
      </c>
      <c r="F482" t="str">
        <f t="shared" si="71"/>
        <v/>
      </c>
      <c r="G482" t="str">
        <f t="shared" si="72"/>
        <v/>
      </c>
      <c r="H482" t="str">
        <f t="shared" si="73"/>
        <v/>
      </c>
      <c r="I482" t="str">
        <f t="shared" si="74"/>
        <v/>
      </c>
      <c r="J482" t="str">
        <f t="shared" si="75"/>
        <v/>
      </c>
    </row>
    <row r="483" spans="2:10">
      <c r="B483" t="str">
        <f t="shared" si="78"/>
        <v>Zabór</v>
      </c>
      <c r="C483" t="str">
        <f t="shared" si="68"/>
        <v/>
      </c>
      <c r="D483" t="str">
        <f t="shared" si="69"/>
        <v/>
      </c>
      <c r="E483" t="str">
        <f t="shared" si="70"/>
        <v/>
      </c>
      <c r="F483" t="str">
        <f t="shared" si="71"/>
        <v/>
      </c>
      <c r="G483" t="str">
        <f t="shared" si="72"/>
        <v/>
      </c>
      <c r="H483" t="str">
        <f t="shared" si="73"/>
        <v/>
      </c>
      <c r="I483" t="str">
        <f t="shared" si="74"/>
        <v/>
      </c>
      <c r="J483" t="str">
        <f t="shared" si="75"/>
        <v/>
      </c>
    </row>
    <row r="484" spans="2:10">
      <c r="B484" t="str">
        <f t="shared" si="78"/>
        <v>Zabór</v>
      </c>
      <c r="C484" t="str">
        <f t="shared" si="68"/>
        <v/>
      </c>
      <c r="D484" t="str">
        <f t="shared" si="69"/>
        <v/>
      </c>
      <c r="E484" t="str">
        <f t="shared" si="70"/>
        <v/>
      </c>
      <c r="F484" t="str">
        <f t="shared" si="71"/>
        <v/>
      </c>
      <c r="G484" t="str">
        <f t="shared" si="72"/>
        <v/>
      </c>
      <c r="H484" t="str">
        <f t="shared" si="73"/>
        <v/>
      </c>
      <c r="I484" t="str">
        <f t="shared" si="74"/>
        <v/>
      </c>
      <c r="J484" t="str">
        <f t="shared" si="75"/>
        <v/>
      </c>
    </row>
    <row r="485" spans="2:10">
      <c r="B485" t="str">
        <f t="shared" si="78"/>
        <v>Zabór</v>
      </c>
      <c r="C485" t="str">
        <f t="shared" si="68"/>
        <v/>
      </c>
      <c r="D485" t="str">
        <f t="shared" si="69"/>
        <v/>
      </c>
      <c r="E485" t="str">
        <f t="shared" si="70"/>
        <v/>
      </c>
      <c r="F485" t="str">
        <f t="shared" si="71"/>
        <v/>
      </c>
      <c r="G485" t="str">
        <f t="shared" si="72"/>
        <v/>
      </c>
      <c r="H485" t="str">
        <f t="shared" si="73"/>
        <v/>
      </c>
      <c r="I485" t="str">
        <f t="shared" si="74"/>
        <v/>
      </c>
      <c r="J485" t="str">
        <f t="shared" si="75"/>
        <v/>
      </c>
    </row>
    <row r="486" spans="2:10">
      <c r="B486" t="str">
        <f t="shared" si="78"/>
        <v>Zabór</v>
      </c>
      <c r="C486" t="str">
        <f t="shared" si="68"/>
        <v/>
      </c>
      <c r="D486" t="str">
        <f t="shared" si="69"/>
        <v/>
      </c>
      <c r="E486" t="str">
        <f t="shared" si="70"/>
        <v/>
      </c>
      <c r="F486" t="str">
        <f t="shared" si="71"/>
        <v/>
      </c>
      <c r="G486" t="str">
        <f t="shared" si="72"/>
        <v/>
      </c>
      <c r="H486" t="str">
        <f t="shared" si="73"/>
        <v/>
      </c>
      <c r="I486" t="str">
        <f t="shared" si="74"/>
        <v/>
      </c>
      <c r="J486" t="str">
        <f t="shared" si="75"/>
        <v/>
      </c>
    </row>
    <row r="487" spans="2:10">
      <c r="B487" t="str">
        <f t="shared" si="78"/>
        <v>Zabór</v>
      </c>
      <c r="C487" t="str">
        <f t="shared" si="68"/>
        <v/>
      </c>
      <c r="D487" t="str">
        <f t="shared" si="69"/>
        <v/>
      </c>
      <c r="E487" t="str">
        <f t="shared" si="70"/>
        <v/>
      </c>
      <c r="F487" t="str">
        <f t="shared" si="71"/>
        <v/>
      </c>
      <c r="G487" t="str">
        <f t="shared" si="72"/>
        <v/>
      </c>
      <c r="H487" t="str">
        <f t="shared" si="73"/>
        <v/>
      </c>
      <c r="I487" t="str">
        <f t="shared" si="74"/>
        <v/>
      </c>
      <c r="J487" t="str">
        <f t="shared" si="75"/>
        <v/>
      </c>
    </row>
    <row r="488" spans="2:10">
      <c r="B488" t="str">
        <f t="shared" si="78"/>
        <v>Zabór</v>
      </c>
      <c r="C488" t="str">
        <f t="shared" si="68"/>
        <v/>
      </c>
      <c r="D488" t="str">
        <f t="shared" si="69"/>
        <v/>
      </c>
      <c r="E488" t="str">
        <f t="shared" si="70"/>
        <v/>
      </c>
      <c r="F488" t="str">
        <f t="shared" si="71"/>
        <v/>
      </c>
      <c r="G488" t="str">
        <f t="shared" si="72"/>
        <v/>
      </c>
      <c r="H488" t="str">
        <f t="shared" si="73"/>
        <v/>
      </c>
      <c r="I488" t="str">
        <f t="shared" si="74"/>
        <v/>
      </c>
      <c r="J488" t="str">
        <f t="shared" si="75"/>
        <v/>
      </c>
    </row>
    <row r="489" spans="2:10">
      <c r="B489" t="str">
        <f t="shared" si="78"/>
        <v>Zabór</v>
      </c>
      <c r="C489" t="str">
        <f t="shared" si="68"/>
        <v/>
      </c>
      <c r="D489" t="str">
        <f t="shared" si="69"/>
        <v/>
      </c>
      <c r="E489" t="str">
        <f t="shared" si="70"/>
        <v/>
      </c>
      <c r="F489" t="str">
        <f t="shared" si="71"/>
        <v/>
      </c>
      <c r="G489" t="str">
        <f t="shared" si="72"/>
        <v/>
      </c>
      <c r="H489" t="str">
        <f t="shared" si="73"/>
        <v/>
      </c>
      <c r="I489" t="str">
        <f t="shared" si="74"/>
        <v/>
      </c>
      <c r="J489" t="str">
        <f t="shared" si="75"/>
        <v/>
      </c>
    </row>
    <row r="490" spans="2:10">
      <c r="B490" t="str">
        <f t="shared" si="78"/>
        <v>Zabór</v>
      </c>
      <c r="C490" t="str">
        <f t="shared" ref="C490:C516" si="79">IF(ISERR(FIND($C$1,A490,1)),"",A490)</f>
        <v/>
      </c>
      <c r="D490" t="str">
        <f t="shared" ref="D490:D553" si="80">IF(C490&gt;"",A491,"")</f>
        <v/>
      </c>
      <c r="E490" t="str">
        <f t="shared" ref="E490:E516" si="81">IF(C490&gt;"",A492,"")</f>
        <v/>
      </c>
      <c r="F490" t="str">
        <f t="shared" ref="F490:F516" si="82">IF(E490&gt;"",MID(A493,FIND("tel.",A493)+4,15),"")</f>
        <v/>
      </c>
      <c r="G490" t="str">
        <f t="shared" ref="G490:G516" si="83">IF(E490&gt;"",MID(A494,FIND(":",A494)+2,60),"")</f>
        <v/>
      </c>
      <c r="H490" t="str">
        <f t="shared" ref="H490:H516" si="84">IF(E490&gt;"",MID(A495,FIND("e-mail:",A495)+8,100),"")</f>
        <v/>
      </c>
      <c r="I490" t="str">
        <f t="shared" ref="I490:I516" si="85">IF(E490&gt;"",IF(ISERR(FIND("DKK",A496)),"",A496),"")</f>
        <v/>
      </c>
      <c r="J490" t="str">
        <f t="shared" ref="J490:J516" si="86">IF(E490&gt;"",IF(ISERR(FIND("DKK",A497)),"",A497),"")</f>
        <v/>
      </c>
    </row>
    <row r="491" spans="2:10">
      <c r="B491" t="str">
        <f t="shared" si="78"/>
        <v>Zabór</v>
      </c>
      <c r="C491" t="str">
        <f t="shared" si="79"/>
        <v/>
      </c>
      <c r="D491" t="str">
        <f t="shared" si="80"/>
        <v/>
      </c>
      <c r="E491" t="str">
        <f t="shared" si="81"/>
        <v/>
      </c>
      <c r="F491" t="str">
        <f t="shared" si="82"/>
        <v/>
      </c>
      <c r="G491" t="str">
        <f t="shared" si="83"/>
        <v/>
      </c>
      <c r="H491" t="str">
        <f t="shared" si="84"/>
        <v/>
      </c>
      <c r="I491" t="str">
        <f t="shared" si="85"/>
        <v/>
      </c>
      <c r="J491" t="str">
        <f t="shared" si="86"/>
        <v/>
      </c>
    </row>
    <row r="492" spans="2:10">
      <c r="B492" t="str">
        <f t="shared" si="78"/>
        <v>Zabór</v>
      </c>
      <c r="C492" t="str">
        <f t="shared" si="79"/>
        <v/>
      </c>
      <c r="D492" t="str">
        <f t="shared" si="80"/>
        <v/>
      </c>
      <c r="E492" t="str">
        <f t="shared" si="81"/>
        <v/>
      </c>
      <c r="F492" t="str">
        <f t="shared" si="82"/>
        <v/>
      </c>
      <c r="G492" t="str">
        <f t="shared" si="83"/>
        <v/>
      </c>
      <c r="H492" t="str">
        <f t="shared" si="84"/>
        <v/>
      </c>
      <c r="I492" t="str">
        <f t="shared" si="85"/>
        <v/>
      </c>
      <c r="J492" t="str">
        <f t="shared" si="86"/>
        <v/>
      </c>
    </row>
    <row r="493" spans="2:10">
      <c r="B493" t="str">
        <f t="shared" si="78"/>
        <v>Zabór</v>
      </c>
      <c r="C493" t="str">
        <f t="shared" si="79"/>
        <v/>
      </c>
      <c r="D493" t="str">
        <f t="shared" si="80"/>
        <v/>
      </c>
      <c r="E493" t="str">
        <f t="shared" si="81"/>
        <v/>
      </c>
      <c r="F493" t="str">
        <f t="shared" si="82"/>
        <v/>
      </c>
      <c r="G493" t="str">
        <f t="shared" si="83"/>
        <v/>
      </c>
      <c r="H493" t="str">
        <f t="shared" si="84"/>
        <v/>
      </c>
      <c r="I493" t="str">
        <f t="shared" si="85"/>
        <v/>
      </c>
      <c r="J493" t="str">
        <f t="shared" si="86"/>
        <v/>
      </c>
    </row>
    <row r="494" spans="2:10">
      <c r="B494" t="str">
        <f t="shared" si="78"/>
        <v>Zabór</v>
      </c>
      <c r="C494" t="str">
        <f t="shared" si="79"/>
        <v/>
      </c>
      <c r="D494" t="str">
        <f t="shared" si="80"/>
        <v/>
      </c>
      <c r="E494" t="str">
        <f t="shared" si="81"/>
        <v/>
      </c>
      <c r="F494" t="str">
        <f t="shared" si="82"/>
        <v/>
      </c>
      <c r="G494" t="str">
        <f t="shared" si="83"/>
        <v/>
      </c>
      <c r="H494" t="str">
        <f t="shared" si="84"/>
        <v/>
      </c>
      <c r="I494" t="str">
        <f t="shared" si="85"/>
        <v/>
      </c>
      <c r="J494" t="str">
        <f t="shared" si="86"/>
        <v/>
      </c>
    </row>
    <row r="495" spans="2:10">
      <c r="B495" t="str">
        <f t="shared" si="78"/>
        <v>Zabór</v>
      </c>
      <c r="C495" t="str">
        <f t="shared" si="79"/>
        <v/>
      </c>
      <c r="D495" t="str">
        <f t="shared" si="80"/>
        <v/>
      </c>
      <c r="E495" t="str">
        <f t="shared" si="81"/>
        <v/>
      </c>
      <c r="F495" t="str">
        <f t="shared" si="82"/>
        <v/>
      </c>
      <c r="G495" t="str">
        <f t="shared" si="83"/>
        <v/>
      </c>
      <c r="H495" t="str">
        <f t="shared" si="84"/>
        <v/>
      </c>
      <c r="I495" t="str">
        <f t="shared" si="85"/>
        <v/>
      </c>
      <c r="J495" t="str">
        <f t="shared" si="86"/>
        <v/>
      </c>
    </row>
    <row r="496" spans="2:10">
      <c r="B496" t="str">
        <f t="shared" si="78"/>
        <v>Zabór</v>
      </c>
      <c r="C496" t="str">
        <f t="shared" si="79"/>
        <v/>
      </c>
      <c r="D496" t="str">
        <f t="shared" si="80"/>
        <v/>
      </c>
      <c r="E496" t="str">
        <f t="shared" si="81"/>
        <v/>
      </c>
      <c r="F496" t="str">
        <f t="shared" si="82"/>
        <v/>
      </c>
      <c r="G496" t="str">
        <f t="shared" si="83"/>
        <v/>
      </c>
      <c r="H496" t="str">
        <f t="shared" si="84"/>
        <v/>
      </c>
      <c r="I496" t="str">
        <f t="shared" si="85"/>
        <v/>
      </c>
      <c r="J496" t="str">
        <f t="shared" si="86"/>
        <v/>
      </c>
    </row>
    <row r="497" spans="2:10">
      <c r="B497" t="str">
        <f t="shared" si="78"/>
        <v>Zabór</v>
      </c>
      <c r="C497" t="str">
        <f t="shared" si="79"/>
        <v/>
      </c>
      <c r="D497" t="str">
        <f t="shared" si="80"/>
        <v/>
      </c>
      <c r="E497" t="str">
        <f t="shared" si="81"/>
        <v/>
      </c>
      <c r="F497" t="str">
        <f t="shared" si="82"/>
        <v/>
      </c>
      <c r="G497" t="str">
        <f t="shared" si="83"/>
        <v/>
      </c>
      <c r="H497" t="str">
        <f t="shared" si="84"/>
        <v/>
      </c>
      <c r="I497" t="str">
        <f t="shared" si="85"/>
        <v/>
      </c>
      <c r="J497" t="str">
        <f t="shared" si="86"/>
        <v/>
      </c>
    </row>
    <row r="498" spans="2:10">
      <c r="B498" t="str">
        <f t="shared" si="78"/>
        <v>Zabór</v>
      </c>
      <c r="C498" t="str">
        <f t="shared" si="79"/>
        <v/>
      </c>
      <c r="D498" t="str">
        <f t="shared" si="80"/>
        <v/>
      </c>
      <c r="E498" t="str">
        <f t="shared" si="81"/>
        <v/>
      </c>
      <c r="F498" t="str">
        <f t="shared" si="82"/>
        <v/>
      </c>
      <c r="G498" t="str">
        <f t="shared" si="83"/>
        <v/>
      </c>
      <c r="H498" t="str">
        <f t="shared" si="84"/>
        <v/>
      </c>
      <c r="I498" t="str">
        <f t="shared" si="85"/>
        <v/>
      </c>
      <c r="J498" t="str">
        <f t="shared" si="86"/>
        <v/>
      </c>
    </row>
    <row r="499" spans="2:10">
      <c r="B499" t="str">
        <f t="shared" si="78"/>
        <v>Zabór</v>
      </c>
      <c r="C499" t="str">
        <f t="shared" si="79"/>
        <v/>
      </c>
      <c r="D499" t="str">
        <f t="shared" si="80"/>
        <v/>
      </c>
      <c r="E499" t="str">
        <f t="shared" si="81"/>
        <v/>
      </c>
      <c r="F499" t="str">
        <f t="shared" si="82"/>
        <v/>
      </c>
      <c r="G499" t="str">
        <f t="shared" si="83"/>
        <v/>
      </c>
      <c r="H499" t="str">
        <f t="shared" si="84"/>
        <v/>
      </c>
      <c r="I499" t="str">
        <f t="shared" si="85"/>
        <v/>
      </c>
      <c r="J499" t="str">
        <f t="shared" si="86"/>
        <v/>
      </c>
    </row>
    <row r="500" spans="2:10">
      <c r="B500" t="str">
        <f t="shared" si="78"/>
        <v>Zabór</v>
      </c>
      <c r="C500" t="str">
        <f t="shared" si="79"/>
        <v/>
      </c>
      <c r="D500" t="str">
        <f t="shared" si="80"/>
        <v/>
      </c>
      <c r="E500" t="str">
        <f t="shared" si="81"/>
        <v/>
      </c>
      <c r="F500" t="str">
        <f t="shared" si="82"/>
        <v/>
      </c>
      <c r="G500" t="str">
        <f t="shared" si="83"/>
        <v/>
      </c>
      <c r="H500" t="str">
        <f t="shared" si="84"/>
        <v/>
      </c>
      <c r="I500" t="str">
        <f t="shared" si="85"/>
        <v/>
      </c>
      <c r="J500" t="str">
        <f t="shared" si="86"/>
        <v/>
      </c>
    </row>
    <row r="501" spans="2:10">
      <c r="B501" t="str">
        <f t="shared" si="78"/>
        <v>Zabór</v>
      </c>
      <c r="C501" t="str">
        <f t="shared" si="79"/>
        <v/>
      </c>
      <c r="D501" t="str">
        <f t="shared" si="80"/>
        <v/>
      </c>
      <c r="E501" t="str">
        <f t="shared" si="81"/>
        <v/>
      </c>
      <c r="F501" t="str">
        <f t="shared" si="82"/>
        <v/>
      </c>
      <c r="G501" t="str">
        <f t="shared" si="83"/>
        <v/>
      </c>
      <c r="H501" t="str">
        <f t="shared" si="84"/>
        <v/>
      </c>
      <c r="I501" t="str">
        <f t="shared" si="85"/>
        <v/>
      </c>
      <c r="J501" t="str">
        <f t="shared" si="86"/>
        <v/>
      </c>
    </row>
    <row r="502" spans="2:10">
      <c r="B502" t="str">
        <f t="shared" si="78"/>
        <v>Zabór</v>
      </c>
      <c r="C502" t="str">
        <f t="shared" si="79"/>
        <v/>
      </c>
      <c r="D502" t="str">
        <f t="shared" si="80"/>
        <v/>
      </c>
      <c r="E502" t="str">
        <f t="shared" si="81"/>
        <v/>
      </c>
      <c r="F502" t="str">
        <f t="shared" si="82"/>
        <v/>
      </c>
      <c r="G502" t="str">
        <f t="shared" si="83"/>
        <v/>
      </c>
      <c r="H502" t="str">
        <f t="shared" si="84"/>
        <v/>
      </c>
      <c r="I502" t="str">
        <f t="shared" si="85"/>
        <v/>
      </c>
      <c r="J502" t="str">
        <f t="shared" si="86"/>
        <v/>
      </c>
    </row>
    <row r="503" spans="2:10">
      <c r="B503" t="str">
        <f t="shared" si="78"/>
        <v>Zabór</v>
      </c>
      <c r="C503" t="str">
        <f t="shared" si="79"/>
        <v/>
      </c>
      <c r="D503" t="str">
        <f t="shared" si="80"/>
        <v/>
      </c>
      <c r="E503" t="str">
        <f t="shared" si="81"/>
        <v/>
      </c>
      <c r="F503" t="str">
        <f t="shared" si="82"/>
        <v/>
      </c>
      <c r="G503" t="str">
        <f t="shared" si="83"/>
        <v/>
      </c>
      <c r="H503" t="str">
        <f t="shared" si="84"/>
        <v/>
      </c>
      <c r="I503" t="str">
        <f t="shared" si="85"/>
        <v/>
      </c>
      <c r="J503" t="str">
        <f t="shared" si="86"/>
        <v/>
      </c>
    </row>
    <row r="504" spans="2:10">
      <c r="B504" t="str">
        <f t="shared" si="78"/>
        <v>Zabór</v>
      </c>
      <c r="C504" t="str">
        <f t="shared" si="79"/>
        <v/>
      </c>
      <c r="D504" t="str">
        <f t="shared" si="80"/>
        <v/>
      </c>
      <c r="E504" t="str">
        <f t="shared" si="81"/>
        <v/>
      </c>
      <c r="F504" t="str">
        <f t="shared" si="82"/>
        <v/>
      </c>
      <c r="G504" t="str">
        <f t="shared" si="83"/>
        <v/>
      </c>
      <c r="H504" t="str">
        <f t="shared" si="84"/>
        <v/>
      </c>
      <c r="I504" t="str">
        <f t="shared" si="85"/>
        <v/>
      </c>
      <c r="J504" t="str">
        <f t="shared" si="86"/>
        <v/>
      </c>
    </row>
    <row r="505" spans="2:10">
      <c r="B505" t="str">
        <f t="shared" si="78"/>
        <v>Zabór</v>
      </c>
      <c r="C505" t="str">
        <f t="shared" si="79"/>
        <v/>
      </c>
      <c r="D505" t="str">
        <f t="shared" si="80"/>
        <v/>
      </c>
      <c r="E505" t="str">
        <f t="shared" si="81"/>
        <v/>
      </c>
      <c r="F505" t="str">
        <f t="shared" si="82"/>
        <v/>
      </c>
      <c r="G505" t="str">
        <f t="shared" si="83"/>
        <v/>
      </c>
      <c r="H505" t="str">
        <f t="shared" si="84"/>
        <v/>
      </c>
      <c r="I505" t="str">
        <f t="shared" si="85"/>
        <v/>
      </c>
      <c r="J505" t="str">
        <f t="shared" si="86"/>
        <v/>
      </c>
    </row>
    <row r="506" spans="2:10">
      <c r="B506" t="str">
        <f t="shared" si="78"/>
        <v>Zabór</v>
      </c>
      <c r="C506" t="str">
        <f t="shared" si="79"/>
        <v/>
      </c>
      <c r="D506" t="str">
        <f t="shared" si="80"/>
        <v/>
      </c>
      <c r="E506" t="str">
        <f t="shared" si="81"/>
        <v/>
      </c>
      <c r="F506" t="str">
        <f t="shared" si="82"/>
        <v/>
      </c>
      <c r="G506" t="str">
        <f t="shared" si="83"/>
        <v/>
      </c>
      <c r="H506" t="str">
        <f t="shared" si="84"/>
        <v/>
      </c>
      <c r="I506" t="str">
        <f t="shared" si="85"/>
        <v/>
      </c>
      <c r="J506" t="str">
        <f t="shared" si="86"/>
        <v/>
      </c>
    </row>
    <row r="507" spans="2:10">
      <c r="B507" t="str">
        <f t="shared" si="78"/>
        <v>Zabór</v>
      </c>
      <c r="C507" t="str">
        <f t="shared" si="79"/>
        <v/>
      </c>
      <c r="D507" t="str">
        <f t="shared" si="80"/>
        <v/>
      </c>
      <c r="E507" t="str">
        <f t="shared" si="81"/>
        <v/>
      </c>
      <c r="F507" t="str">
        <f t="shared" si="82"/>
        <v/>
      </c>
      <c r="G507" t="str">
        <f t="shared" si="83"/>
        <v/>
      </c>
      <c r="H507" t="str">
        <f t="shared" si="84"/>
        <v/>
      </c>
      <c r="I507" t="str">
        <f t="shared" si="85"/>
        <v/>
      </c>
      <c r="J507" t="str">
        <f t="shared" si="86"/>
        <v/>
      </c>
    </row>
    <row r="508" spans="2:10">
      <c r="B508" t="str">
        <f t="shared" si="78"/>
        <v>Zabór</v>
      </c>
      <c r="C508" t="str">
        <f t="shared" si="79"/>
        <v/>
      </c>
      <c r="D508" t="str">
        <f t="shared" si="80"/>
        <v/>
      </c>
      <c r="E508" t="str">
        <f t="shared" si="81"/>
        <v/>
      </c>
      <c r="F508" t="str">
        <f t="shared" si="82"/>
        <v/>
      </c>
      <c r="G508" t="str">
        <f t="shared" si="83"/>
        <v/>
      </c>
      <c r="H508" t="str">
        <f t="shared" si="84"/>
        <v/>
      </c>
      <c r="I508" t="str">
        <f t="shared" si="85"/>
        <v/>
      </c>
      <c r="J508" t="str">
        <f t="shared" si="86"/>
        <v/>
      </c>
    </row>
    <row r="509" spans="2:10">
      <c r="B509" t="str">
        <f t="shared" si="78"/>
        <v>Zabór</v>
      </c>
      <c r="C509" t="str">
        <f t="shared" si="79"/>
        <v/>
      </c>
      <c r="D509" t="str">
        <f t="shared" si="80"/>
        <v/>
      </c>
      <c r="E509" t="str">
        <f t="shared" si="81"/>
        <v/>
      </c>
      <c r="F509" t="str">
        <f t="shared" si="82"/>
        <v/>
      </c>
      <c r="G509" t="str">
        <f t="shared" si="83"/>
        <v/>
      </c>
      <c r="H509" t="str">
        <f t="shared" si="84"/>
        <v/>
      </c>
      <c r="I509" t="str">
        <f t="shared" si="85"/>
        <v/>
      </c>
      <c r="J509" t="str">
        <f t="shared" si="86"/>
        <v/>
      </c>
    </row>
    <row r="510" spans="2:10">
      <c r="B510" t="str">
        <f t="shared" si="78"/>
        <v>Zabór</v>
      </c>
      <c r="C510" t="str">
        <f t="shared" si="79"/>
        <v/>
      </c>
      <c r="D510" t="str">
        <f t="shared" si="80"/>
        <v/>
      </c>
      <c r="E510" t="str">
        <f t="shared" si="81"/>
        <v/>
      </c>
      <c r="F510" t="str">
        <f t="shared" si="82"/>
        <v/>
      </c>
      <c r="G510" t="str">
        <f t="shared" si="83"/>
        <v/>
      </c>
      <c r="H510" t="str">
        <f t="shared" si="84"/>
        <v/>
      </c>
      <c r="I510" t="str">
        <f t="shared" si="85"/>
        <v/>
      </c>
      <c r="J510" t="str">
        <f t="shared" si="86"/>
        <v/>
      </c>
    </row>
    <row r="511" spans="2:10">
      <c r="B511" t="str">
        <f t="shared" si="78"/>
        <v>Zabór</v>
      </c>
      <c r="C511" t="str">
        <f t="shared" si="79"/>
        <v/>
      </c>
      <c r="D511" t="str">
        <f t="shared" si="80"/>
        <v/>
      </c>
      <c r="E511" t="str">
        <f t="shared" si="81"/>
        <v/>
      </c>
      <c r="F511" t="str">
        <f t="shared" si="82"/>
        <v/>
      </c>
      <c r="G511" t="str">
        <f t="shared" si="83"/>
        <v/>
      </c>
      <c r="H511" t="str">
        <f t="shared" si="84"/>
        <v/>
      </c>
      <c r="I511" t="str">
        <f t="shared" si="85"/>
        <v/>
      </c>
      <c r="J511" t="str">
        <f t="shared" si="86"/>
        <v/>
      </c>
    </row>
    <row r="512" spans="2:10">
      <c r="B512" t="str">
        <f t="shared" si="78"/>
        <v>Zabór</v>
      </c>
      <c r="C512" t="str">
        <f t="shared" si="79"/>
        <v/>
      </c>
      <c r="D512" t="str">
        <f t="shared" si="80"/>
        <v/>
      </c>
      <c r="E512" t="str">
        <f t="shared" si="81"/>
        <v/>
      </c>
      <c r="F512" t="str">
        <f t="shared" si="82"/>
        <v/>
      </c>
      <c r="G512" t="str">
        <f t="shared" si="83"/>
        <v/>
      </c>
      <c r="H512" t="str">
        <f t="shared" si="84"/>
        <v/>
      </c>
      <c r="I512" t="str">
        <f t="shared" si="85"/>
        <v/>
      </c>
      <c r="J512" t="str">
        <f t="shared" si="86"/>
        <v/>
      </c>
    </row>
    <row r="513" spans="2:10">
      <c r="B513" t="str">
        <f t="shared" si="78"/>
        <v>Zabór</v>
      </c>
      <c r="C513" t="str">
        <f t="shared" si="79"/>
        <v/>
      </c>
      <c r="D513" t="str">
        <f t="shared" si="80"/>
        <v/>
      </c>
      <c r="E513" t="str">
        <f t="shared" si="81"/>
        <v/>
      </c>
      <c r="F513" t="str">
        <f t="shared" si="82"/>
        <v/>
      </c>
      <c r="G513" t="str">
        <f t="shared" si="83"/>
        <v/>
      </c>
      <c r="H513" t="str">
        <f t="shared" si="84"/>
        <v/>
      </c>
      <c r="I513" t="str">
        <f t="shared" si="85"/>
        <v/>
      </c>
      <c r="J513" t="str">
        <f t="shared" si="86"/>
        <v/>
      </c>
    </row>
    <row r="514" spans="2:10">
      <c r="B514" t="str">
        <f t="shared" si="78"/>
        <v>Zabór</v>
      </c>
      <c r="C514" t="str">
        <f t="shared" si="79"/>
        <v/>
      </c>
      <c r="D514" t="str">
        <f t="shared" si="80"/>
        <v/>
      </c>
      <c r="E514" t="str">
        <f t="shared" si="81"/>
        <v/>
      </c>
      <c r="F514" t="str">
        <f t="shared" si="82"/>
        <v/>
      </c>
      <c r="G514" t="str">
        <f t="shared" si="83"/>
        <v/>
      </c>
      <c r="H514" t="str">
        <f t="shared" si="84"/>
        <v/>
      </c>
      <c r="I514" t="str">
        <f t="shared" si="85"/>
        <v/>
      </c>
      <c r="J514" t="str">
        <f t="shared" si="86"/>
        <v/>
      </c>
    </row>
    <row r="515" spans="2:10">
      <c r="B515" t="str">
        <f t="shared" si="78"/>
        <v>Zabór</v>
      </c>
      <c r="C515" t="str">
        <f t="shared" si="79"/>
        <v/>
      </c>
      <c r="D515" t="str">
        <f t="shared" si="80"/>
        <v/>
      </c>
      <c r="E515" t="str">
        <f t="shared" si="81"/>
        <v/>
      </c>
      <c r="F515" t="str">
        <f t="shared" si="82"/>
        <v/>
      </c>
      <c r="G515" t="str">
        <f t="shared" si="83"/>
        <v/>
      </c>
      <c r="H515" t="str">
        <f t="shared" si="84"/>
        <v/>
      </c>
      <c r="I515" t="str">
        <f t="shared" si="85"/>
        <v/>
      </c>
      <c r="J515" t="str">
        <f t="shared" si="86"/>
        <v/>
      </c>
    </row>
    <row r="516" spans="2:10">
      <c r="B516" t="str">
        <f t="shared" si="78"/>
        <v>Zabór</v>
      </c>
      <c r="C516" t="str">
        <f t="shared" si="79"/>
        <v/>
      </c>
      <c r="D516" t="str">
        <f t="shared" si="80"/>
        <v/>
      </c>
      <c r="E516" t="str">
        <f t="shared" si="81"/>
        <v/>
      </c>
      <c r="F516" t="str">
        <f t="shared" si="82"/>
        <v/>
      </c>
      <c r="G516" t="str">
        <f t="shared" si="83"/>
        <v/>
      </c>
      <c r="H516" t="str">
        <f t="shared" si="84"/>
        <v/>
      </c>
      <c r="I516" t="str">
        <f t="shared" si="85"/>
        <v/>
      </c>
      <c r="J516" t="str">
        <f t="shared" si="86"/>
        <v/>
      </c>
    </row>
    <row r="517" spans="2:10">
      <c r="B517" t="str">
        <f t="shared" si="78"/>
        <v>Zabór</v>
      </c>
      <c r="C517" t="str">
        <f>IF(ISERR(FIND($C$1,A517,1)),"",A517)</f>
        <v/>
      </c>
      <c r="D517" t="str">
        <f t="shared" si="80"/>
        <v/>
      </c>
      <c r="E517" t="str">
        <f>IF(C517&gt;"",A519,"")</f>
        <v/>
      </c>
      <c r="F517" t="str">
        <f>IF(E517&gt;"",MID(A520,FIND("tel.",A520)+4,15),"")</f>
        <v/>
      </c>
      <c r="G517" t="str">
        <f>IF(E517&gt;"",MID(A521,FIND(":",A521)+2,60),"")</f>
        <v/>
      </c>
      <c r="H517" t="str">
        <f>IF(E517&gt;"",MID(A522,FIND("e-mail:",A522)+8,100),"")</f>
        <v/>
      </c>
      <c r="I517" t="str">
        <f>IF(E517&gt;"",IF(ISERR(FIND("DKK",A523)),"",A523),"")</f>
        <v/>
      </c>
      <c r="J517" t="str">
        <f>IF(E517&gt;"",IF(ISERR(FIND("DKK",A524)),"",A524),"")</f>
        <v/>
      </c>
    </row>
    <row r="518" spans="2:10">
      <c r="B518" t="str">
        <f t="shared" si="78"/>
        <v>Zabór</v>
      </c>
      <c r="C518" t="str">
        <f t="shared" ref="C518:C531" si="87">IF(ISERR(FIND($C$1,A518,1)),"",A518)</f>
        <v/>
      </c>
      <c r="D518" t="str">
        <f t="shared" si="80"/>
        <v/>
      </c>
      <c r="E518" t="str">
        <f t="shared" ref="E518:E531" si="88">IF(C518&gt;"",A520,"")</f>
        <v/>
      </c>
      <c r="F518" t="str">
        <f t="shared" ref="F518:F531" si="89">IF(E518&gt;"",MID(A521,FIND("tel.",A521)+4,15),"")</f>
        <v/>
      </c>
      <c r="G518" t="str">
        <f t="shared" ref="G518:G531" si="90">IF(E518&gt;"",MID(A522,FIND(":",A522)+2,60),"")</f>
        <v/>
      </c>
      <c r="H518" t="str">
        <f t="shared" ref="H518:H531" si="91">IF(E518&gt;"",MID(A523,FIND("e-mail:",A523)+8,100),"")</f>
        <v/>
      </c>
      <c r="I518" t="str">
        <f t="shared" ref="I518:I531" si="92">IF(E518&gt;"",IF(ISERR(FIND("DKK",A524)),"",A524),"")</f>
        <v/>
      </c>
      <c r="J518" t="str">
        <f t="shared" ref="J518:J531" si="93">IF(E518&gt;"",IF(ISERR(FIND("DKK",A525)),"",A525),"")</f>
        <v/>
      </c>
    </row>
    <row r="519" spans="2:10">
      <c r="B519" t="str">
        <f t="shared" si="78"/>
        <v>Zabór</v>
      </c>
      <c r="C519" t="str">
        <f t="shared" si="87"/>
        <v/>
      </c>
      <c r="D519" t="str">
        <f t="shared" si="80"/>
        <v/>
      </c>
      <c r="E519" t="str">
        <f t="shared" si="88"/>
        <v/>
      </c>
      <c r="F519" t="str">
        <f t="shared" si="89"/>
        <v/>
      </c>
      <c r="G519" t="str">
        <f t="shared" si="90"/>
        <v/>
      </c>
      <c r="H519" t="str">
        <f t="shared" si="91"/>
        <v/>
      </c>
      <c r="I519" t="str">
        <f t="shared" si="92"/>
        <v/>
      </c>
      <c r="J519" t="str">
        <f t="shared" si="93"/>
        <v/>
      </c>
    </row>
    <row r="520" spans="2:10">
      <c r="B520" t="str">
        <f t="shared" si="78"/>
        <v>Zabór</v>
      </c>
      <c r="C520" t="str">
        <f t="shared" si="87"/>
        <v/>
      </c>
      <c r="D520" t="str">
        <f t="shared" si="80"/>
        <v/>
      </c>
      <c r="E520" t="str">
        <f t="shared" si="88"/>
        <v/>
      </c>
      <c r="F520" t="str">
        <f t="shared" si="89"/>
        <v/>
      </c>
      <c r="G520" t="str">
        <f t="shared" si="90"/>
        <v/>
      </c>
      <c r="H520" t="str">
        <f t="shared" si="91"/>
        <v/>
      </c>
      <c r="I520" t="str">
        <f t="shared" si="92"/>
        <v/>
      </c>
      <c r="J520" t="str">
        <f t="shared" si="93"/>
        <v/>
      </c>
    </row>
    <row r="521" spans="2:10">
      <c r="B521" t="str">
        <f t="shared" si="78"/>
        <v>Zabór</v>
      </c>
      <c r="C521" t="str">
        <f t="shared" si="87"/>
        <v/>
      </c>
      <c r="D521" t="str">
        <f t="shared" si="80"/>
        <v/>
      </c>
      <c r="E521" t="str">
        <f t="shared" si="88"/>
        <v/>
      </c>
      <c r="F521" t="str">
        <f t="shared" si="89"/>
        <v/>
      </c>
      <c r="G521" t="str">
        <f t="shared" si="90"/>
        <v/>
      </c>
      <c r="H521" t="str">
        <f t="shared" si="91"/>
        <v/>
      </c>
      <c r="I521" t="str">
        <f t="shared" si="92"/>
        <v/>
      </c>
      <c r="J521" t="str">
        <f t="shared" si="93"/>
        <v/>
      </c>
    </row>
    <row r="522" spans="2:10">
      <c r="B522" t="str">
        <f t="shared" si="78"/>
        <v>Zabór</v>
      </c>
      <c r="C522" t="str">
        <f t="shared" si="87"/>
        <v/>
      </c>
      <c r="D522" t="str">
        <f t="shared" si="80"/>
        <v/>
      </c>
      <c r="E522" t="str">
        <f t="shared" si="88"/>
        <v/>
      </c>
      <c r="F522" t="str">
        <f t="shared" si="89"/>
        <v/>
      </c>
      <c r="G522" t="str">
        <f t="shared" si="90"/>
        <v/>
      </c>
      <c r="H522" t="str">
        <f t="shared" si="91"/>
        <v/>
      </c>
      <c r="I522" t="str">
        <f t="shared" si="92"/>
        <v/>
      </c>
      <c r="J522" t="str">
        <f t="shared" si="93"/>
        <v/>
      </c>
    </row>
    <row r="523" spans="2:10">
      <c r="B523" t="str">
        <f t="shared" si="78"/>
        <v>Zabór</v>
      </c>
      <c r="C523" t="str">
        <f t="shared" si="87"/>
        <v/>
      </c>
      <c r="D523" t="str">
        <f t="shared" si="80"/>
        <v/>
      </c>
      <c r="E523" t="str">
        <f t="shared" si="88"/>
        <v/>
      </c>
      <c r="F523" t="str">
        <f t="shared" si="89"/>
        <v/>
      </c>
      <c r="G523" t="str">
        <f t="shared" si="90"/>
        <v/>
      </c>
      <c r="H523" t="str">
        <f t="shared" si="91"/>
        <v/>
      </c>
      <c r="I523" t="str">
        <f t="shared" si="92"/>
        <v/>
      </c>
      <c r="J523" t="str">
        <f t="shared" si="93"/>
        <v/>
      </c>
    </row>
    <row r="524" spans="2:10">
      <c r="B524" t="str">
        <f t="shared" si="78"/>
        <v>Zabór</v>
      </c>
      <c r="C524" t="str">
        <f t="shared" si="87"/>
        <v/>
      </c>
      <c r="D524" t="str">
        <f t="shared" si="80"/>
        <v/>
      </c>
      <c r="E524" t="str">
        <f t="shared" si="88"/>
        <v/>
      </c>
      <c r="F524" t="str">
        <f t="shared" si="89"/>
        <v/>
      </c>
      <c r="G524" t="str">
        <f t="shared" si="90"/>
        <v/>
      </c>
      <c r="H524" t="str">
        <f t="shared" si="91"/>
        <v/>
      </c>
      <c r="I524" t="str">
        <f t="shared" si="92"/>
        <v/>
      </c>
      <c r="J524" t="str">
        <f t="shared" si="93"/>
        <v/>
      </c>
    </row>
    <row r="525" spans="2:10">
      <c r="B525" t="str">
        <f t="shared" si="78"/>
        <v>Zabór</v>
      </c>
      <c r="C525" t="str">
        <f t="shared" si="87"/>
        <v/>
      </c>
      <c r="D525" t="str">
        <f t="shared" si="80"/>
        <v/>
      </c>
      <c r="E525" t="str">
        <f t="shared" si="88"/>
        <v/>
      </c>
      <c r="F525" t="str">
        <f t="shared" si="89"/>
        <v/>
      </c>
      <c r="G525" t="str">
        <f t="shared" si="90"/>
        <v/>
      </c>
      <c r="H525" t="str">
        <f t="shared" si="91"/>
        <v/>
      </c>
      <c r="I525" t="str">
        <f t="shared" si="92"/>
        <v/>
      </c>
      <c r="J525" t="str">
        <f t="shared" si="93"/>
        <v/>
      </c>
    </row>
    <row r="526" spans="2:10">
      <c r="B526" t="str">
        <f t="shared" si="78"/>
        <v>Zabór</v>
      </c>
      <c r="C526" t="str">
        <f t="shared" si="87"/>
        <v/>
      </c>
      <c r="D526" t="str">
        <f t="shared" si="80"/>
        <v/>
      </c>
      <c r="E526" t="str">
        <f t="shared" si="88"/>
        <v/>
      </c>
      <c r="F526" t="str">
        <f t="shared" si="89"/>
        <v/>
      </c>
      <c r="G526" t="str">
        <f t="shared" si="90"/>
        <v/>
      </c>
      <c r="H526" t="str">
        <f t="shared" si="91"/>
        <v/>
      </c>
      <c r="I526" t="str">
        <f t="shared" si="92"/>
        <v/>
      </c>
      <c r="J526" t="str">
        <f t="shared" si="93"/>
        <v/>
      </c>
    </row>
    <row r="527" spans="2:10">
      <c r="B527" t="str">
        <f t="shared" si="78"/>
        <v>Zabór</v>
      </c>
      <c r="C527" t="str">
        <f t="shared" si="87"/>
        <v/>
      </c>
      <c r="D527" t="str">
        <f t="shared" si="80"/>
        <v/>
      </c>
      <c r="E527" t="str">
        <f t="shared" si="88"/>
        <v/>
      </c>
      <c r="F527" t="str">
        <f t="shared" si="89"/>
        <v/>
      </c>
      <c r="G527" t="str">
        <f t="shared" si="90"/>
        <v/>
      </c>
      <c r="H527" t="str">
        <f t="shared" si="91"/>
        <v/>
      </c>
      <c r="I527" t="str">
        <f t="shared" si="92"/>
        <v/>
      </c>
      <c r="J527" t="str">
        <f t="shared" si="93"/>
        <v/>
      </c>
    </row>
    <row r="528" spans="2:10">
      <c r="B528" t="str">
        <f t="shared" si="78"/>
        <v>Zabór</v>
      </c>
      <c r="C528" t="str">
        <f t="shared" si="87"/>
        <v/>
      </c>
      <c r="D528" t="str">
        <f t="shared" si="80"/>
        <v/>
      </c>
      <c r="E528" t="str">
        <f t="shared" si="88"/>
        <v/>
      </c>
      <c r="F528" t="str">
        <f t="shared" si="89"/>
        <v/>
      </c>
      <c r="G528" t="str">
        <f t="shared" si="90"/>
        <v/>
      </c>
      <c r="H528" t="str">
        <f t="shared" si="91"/>
        <v/>
      </c>
      <c r="I528" t="str">
        <f t="shared" si="92"/>
        <v/>
      </c>
      <c r="J528" t="str">
        <f t="shared" si="93"/>
        <v/>
      </c>
    </row>
    <row r="529" spans="2:10">
      <c r="B529" t="str">
        <f t="shared" si="78"/>
        <v>Zabór</v>
      </c>
      <c r="C529" t="str">
        <f t="shared" si="87"/>
        <v/>
      </c>
      <c r="D529" t="str">
        <f t="shared" si="80"/>
        <v/>
      </c>
      <c r="E529" t="str">
        <f t="shared" si="88"/>
        <v/>
      </c>
      <c r="F529" t="str">
        <f t="shared" si="89"/>
        <v/>
      </c>
      <c r="G529" t="str">
        <f t="shared" si="90"/>
        <v/>
      </c>
      <c r="H529" t="str">
        <f t="shared" si="91"/>
        <v/>
      </c>
      <c r="I529" t="str">
        <f t="shared" si="92"/>
        <v/>
      </c>
      <c r="J529" t="str">
        <f t="shared" si="93"/>
        <v/>
      </c>
    </row>
    <row r="530" spans="2:10">
      <c r="B530" t="str">
        <f t="shared" si="78"/>
        <v>Zabór</v>
      </c>
      <c r="C530" t="str">
        <f t="shared" si="87"/>
        <v/>
      </c>
      <c r="D530" t="str">
        <f t="shared" si="80"/>
        <v/>
      </c>
      <c r="E530" t="str">
        <f t="shared" si="88"/>
        <v/>
      </c>
      <c r="F530" t="str">
        <f t="shared" si="89"/>
        <v/>
      </c>
      <c r="G530" t="str">
        <f t="shared" si="90"/>
        <v/>
      </c>
      <c r="H530" t="str">
        <f t="shared" si="91"/>
        <v/>
      </c>
      <c r="I530" t="str">
        <f t="shared" si="92"/>
        <v/>
      </c>
      <c r="J530" t="str">
        <f t="shared" si="93"/>
        <v/>
      </c>
    </row>
    <row r="531" spans="2:10">
      <c r="B531" t="str">
        <f t="shared" si="78"/>
        <v>Zabór</v>
      </c>
      <c r="C531" t="str">
        <f t="shared" si="87"/>
        <v/>
      </c>
      <c r="D531" t="str">
        <f t="shared" si="80"/>
        <v/>
      </c>
      <c r="E531" t="str">
        <f t="shared" si="88"/>
        <v/>
      </c>
      <c r="F531" t="str">
        <f t="shared" si="89"/>
        <v/>
      </c>
      <c r="G531" t="str">
        <f t="shared" si="90"/>
        <v/>
      </c>
      <c r="H531" t="str">
        <f t="shared" si="91"/>
        <v/>
      </c>
      <c r="I531" t="str">
        <f t="shared" si="92"/>
        <v/>
      </c>
      <c r="J531" t="str">
        <f t="shared" si="93"/>
        <v/>
      </c>
    </row>
    <row r="532" spans="2:10">
      <c r="B532" t="str">
        <f t="shared" si="78"/>
        <v>Zabór</v>
      </c>
      <c r="C532" t="str">
        <f t="shared" ref="C532:C580" si="94">IF(ISERR(FIND($C$1,A532,1)),"",A532)</f>
        <v/>
      </c>
      <c r="D532" t="str">
        <f t="shared" si="80"/>
        <v/>
      </c>
      <c r="E532" t="str">
        <f t="shared" ref="E532:E578" si="95">IF(C532&gt;"",A534,"")</f>
        <v/>
      </c>
      <c r="F532" t="str">
        <f t="shared" ref="F532:F577" si="96">IF(E532&gt;"",MID(A535,FIND("tel.",A535)+4,15),"")</f>
        <v/>
      </c>
      <c r="G532" t="str">
        <f t="shared" ref="G532:G576" si="97">IF(E532&gt;"",MID(A536,FIND(":",A536)+2,60),"")</f>
        <v/>
      </c>
      <c r="H532" t="str">
        <f t="shared" ref="H532:H575" si="98">IF(E532&gt;"",MID(A537,FIND("e-mail:",A537)+8,100),"")</f>
        <v/>
      </c>
      <c r="I532" t="str">
        <f t="shared" ref="I532:I574" si="99">IF(E532&gt;"",IF(ISERR(FIND("DKK",A538)),"",A538),"")</f>
        <v/>
      </c>
      <c r="J532" t="str">
        <f t="shared" ref="J532:J573" si="100">IF(E532&gt;"",IF(ISERR(FIND("DKK",A539)),"",A539),"")</f>
        <v/>
      </c>
    </row>
    <row r="533" spans="2:10">
      <c r="B533" t="str">
        <f t="shared" si="78"/>
        <v>Zabór</v>
      </c>
      <c r="C533" t="str">
        <f t="shared" si="94"/>
        <v/>
      </c>
      <c r="D533" t="str">
        <f t="shared" si="80"/>
        <v/>
      </c>
      <c r="E533" t="str">
        <f t="shared" si="95"/>
        <v/>
      </c>
      <c r="F533" t="str">
        <f t="shared" si="96"/>
        <v/>
      </c>
      <c r="G533" t="str">
        <f t="shared" si="97"/>
        <v/>
      </c>
      <c r="H533" t="str">
        <f t="shared" si="98"/>
        <v/>
      </c>
      <c r="I533" t="str">
        <f t="shared" si="99"/>
        <v/>
      </c>
      <c r="J533" t="str">
        <f t="shared" si="100"/>
        <v/>
      </c>
    </row>
    <row r="534" spans="2:10">
      <c r="B534" t="str">
        <f t="shared" si="78"/>
        <v>Zabór</v>
      </c>
      <c r="C534" t="str">
        <f t="shared" si="94"/>
        <v/>
      </c>
      <c r="D534" t="str">
        <f t="shared" si="80"/>
        <v/>
      </c>
      <c r="E534" t="str">
        <f t="shared" si="95"/>
        <v/>
      </c>
      <c r="F534" t="str">
        <f t="shared" si="96"/>
        <v/>
      </c>
      <c r="G534" t="str">
        <f t="shared" si="97"/>
        <v/>
      </c>
      <c r="H534" t="str">
        <f t="shared" si="98"/>
        <v/>
      </c>
      <c r="I534" t="str">
        <f t="shared" si="99"/>
        <v/>
      </c>
      <c r="J534" t="str">
        <f t="shared" si="100"/>
        <v/>
      </c>
    </row>
    <row r="535" spans="2:10">
      <c r="B535" t="str">
        <f t="shared" si="78"/>
        <v>Zabór</v>
      </c>
      <c r="C535" t="str">
        <f t="shared" si="94"/>
        <v/>
      </c>
      <c r="D535" t="str">
        <f t="shared" si="80"/>
        <v/>
      </c>
      <c r="E535" t="str">
        <f t="shared" si="95"/>
        <v/>
      </c>
      <c r="F535" t="str">
        <f t="shared" si="96"/>
        <v/>
      </c>
      <c r="G535" t="str">
        <f t="shared" si="97"/>
        <v/>
      </c>
      <c r="H535" t="str">
        <f t="shared" si="98"/>
        <v/>
      </c>
      <c r="I535" t="str">
        <f t="shared" si="99"/>
        <v/>
      </c>
      <c r="J535" t="str">
        <f t="shared" si="100"/>
        <v/>
      </c>
    </row>
    <row r="536" spans="2:10">
      <c r="B536" t="str">
        <f t="shared" si="78"/>
        <v>Zabór</v>
      </c>
      <c r="C536" t="str">
        <f t="shared" si="94"/>
        <v/>
      </c>
      <c r="D536" t="str">
        <f t="shared" si="80"/>
        <v/>
      </c>
      <c r="E536" t="str">
        <f t="shared" si="95"/>
        <v/>
      </c>
      <c r="F536" t="str">
        <f t="shared" si="96"/>
        <v/>
      </c>
      <c r="G536" t="str">
        <f t="shared" si="97"/>
        <v/>
      </c>
      <c r="H536" t="str">
        <f t="shared" si="98"/>
        <v/>
      </c>
      <c r="I536" t="str">
        <f t="shared" si="99"/>
        <v/>
      </c>
      <c r="J536" t="str">
        <f t="shared" si="100"/>
        <v/>
      </c>
    </row>
    <row r="537" spans="2:10">
      <c r="B537" t="str">
        <f t="shared" si="78"/>
        <v>Zabór</v>
      </c>
      <c r="C537" t="str">
        <f t="shared" si="94"/>
        <v/>
      </c>
      <c r="D537" t="str">
        <f t="shared" si="80"/>
        <v/>
      </c>
      <c r="E537" t="str">
        <f t="shared" si="95"/>
        <v/>
      </c>
      <c r="F537" t="str">
        <f t="shared" si="96"/>
        <v/>
      </c>
      <c r="G537" t="str">
        <f t="shared" si="97"/>
        <v/>
      </c>
      <c r="H537" t="str">
        <f t="shared" si="98"/>
        <v/>
      </c>
      <c r="I537" t="str">
        <f t="shared" si="99"/>
        <v/>
      </c>
      <c r="J537" t="str">
        <f t="shared" si="100"/>
        <v/>
      </c>
    </row>
    <row r="538" spans="2:10">
      <c r="B538" t="str">
        <f t="shared" si="78"/>
        <v>Zabór</v>
      </c>
      <c r="C538" t="str">
        <f t="shared" si="94"/>
        <v/>
      </c>
      <c r="D538" t="str">
        <f t="shared" si="80"/>
        <v/>
      </c>
      <c r="E538" t="str">
        <f t="shared" si="95"/>
        <v/>
      </c>
      <c r="F538" t="str">
        <f t="shared" si="96"/>
        <v/>
      </c>
      <c r="G538" t="str">
        <f t="shared" si="97"/>
        <v/>
      </c>
      <c r="H538" t="str">
        <f t="shared" si="98"/>
        <v/>
      </c>
      <c r="I538" t="str">
        <f t="shared" si="99"/>
        <v/>
      </c>
      <c r="J538" t="str">
        <f t="shared" si="100"/>
        <v/>
      </c>
    </row>
    <row r="539" spans="2:10">
      <c r="B539" t="str">
        <f t="shared" si="78"/>
        <v>Zabór</v>
      </c>
      <c r="C539" t="str">
        <f t="shared" si="94"/>
        <v/>
      </c>
      <c r="D539" t="str">
        <f t="shared" si="80"/>
        <v/>
      </c>
      <c r="E539" t="str">
        <f t="shared" si="95"/>
        <v/>
      </c>
      <c r="F539" t="str">
        <f t="shared" si="96"/>
        <v/>
      </c>
      <c r="G539" t="str">
        <f t="shared" si="97"/>
        <v/>
      </c>
      <c r="H539" t="str">
        <f t="shared" si="98"/>
        <v/>
      </c>
      <c r="I539" t="str">
        <f t="shared" si="99"/>
        <v/>
      </c>
      <c r="J539" t="str">
        <f t="shared" si="100"/>
        <v/>
      </c>
    </row>
    <row r="540" spans="2:10">
      <c r="B540" t="str">
        <f t="shared" si="78"/>
        <v>Zabór</v>
      </c>
      <c r="C540" t="str">
        <f t="shared" si="94"/>
        <v/>
      </c>
      <c r="D540" t="str">
        <f t="shared" si="80"/>
        <v/>
      </c>
      <c r="E540" t="str">
        <f t="shared" si="95"/>
        <v/>
      </c>
      <c r="F540" t="str">
        <f t="shared" si="96"/>
        <v/>
      </c>
      <c r="G540" t="str">
        <f t="shared" si="97"/>
        <v/>
      </c>
      <c r="H540" t="str">
        <f t="shared" si="98"/>
        <v/>
      </c>
      <c r="I540" t="str">
        <f t="shared" si="99"/>
        <v/>
      </c>
      <c r="J540" t="str">
        <f t="shared" si="100"/>
        <v/>
      </c>
    </row>
    <row r="541" spans="2:10">
      <c r="B541" t="str">
        <f t="shared" si="78"/>
        <v>Zabór</v>
      </c>
      <c r="C541" t="str">
        <f t="shared" si="94"/>
        <v/>
      </c>
      <c r="D541" t="str">
        <f t="shared" si="80"/>
        <v/>
      </c>
      <c r="E541" t="str">
        <f t="shared" si="95"/>
        <v/>
      </c>
      <c r="F541" t="str">
        <f t="shared" si="96"/>
        <v/>
      </c>
      <c r="G541" t="str">
        <f t="shared" si="97"/>
        <v/>
      </c>
      <c r="H541" t="str">
        <f t="shared" si="98"/>
        <v/>
      </c>
      <c r="I541" t="str">
        <f t="shared" si="99"/>
        <v/>
      </c>
      <c r="J541" t="str">
        <f t="shared" si="100"/>
        <v/>
      </c>
    </row>
    <row r="542" spans="2:10">
      <c r="B542" t="str">
        <f t="shared" si="78"/>
        <v>Zabór</v>
      </c>
      <c r="C542" t="str">
        <f t="shared" si="94"/>
        <v/>
      </c>
      <c r="D542" t="str">
        <f t="shared" si="80"/>
        <v/>
      </c>
      <c r="E542" t="str">
        <f t="shared" si="95"/>
        <v/>
      </c>
      <c r="F542" t="str">
        <f t="shared" si="96"/>
        <v/>
      </c>
      <c r="G542" t="str">
        <f t="shared" si="97"/>
        <v/>
      </c>
      <c r="H542" t="str">
        <f t="shared" si="98"/>
        <v/>
      </c>
      <c r="I542" t="str">
        <f t="shared" si="99"/>
        <v/>
      </c>
      <c r="J542" t="str">
        <f t="shared" si="100"/>
        <v/>
      </c>
    </row>
    <row r="543" spans="2:10">
      <c r="B543" t="str">
        <f t="shared" ref="B543:B607" si="101">+IF(AND(C543&gt;"",ISERR(FIND("DKK",A542))),A542,B542)</f>
        <v>Zabór</v>
      </c>
      <c r="C543" t="str">
        <f t="shared" si="94"/>
        <v/>
      </c>
      <c r="D543" t="str">
        <f t="shared" si="80"/>
        <v/>
      </c>
      <c r="E543" t="str">
        <f t="shared" si="95"/>
        <v/>
      </c>
      <c r="F543" t="str">
        <f t="shared" si="96"/>
        <v/>
      </c>
      <c r="G543" t="str">
        <f t="shared" si="97"/>
        <v/>
      </c>
      <c r="H543" t="str">
        <f t="shared" si="98"/>
        <v/>
      </c>
      <c r="I543" t="str">
        <f t="shared" si="99"/>
        <v/>
      </c>
      <c r="J543" t="str">
        <f t="shared" si="100"/>
        <v/>
      </c>
    </row>
    <row r="544" spans="2:10">
      <c r="B544" t="str">
        <f t="shared" si="101"/>
        <v>Zabór</v>
      </c>
      <c r="C544" t="str">
        <f t="shared" si="94"/>
        <v/>
      </c>
      <c r="D544" t="str">
        <f t="shared" si="80"/>
        <v/>
      </c>
      <c r="E544" t="str">
        <f t="shared" si="95"/>
        <v/>
      </c>
      <c r="F544" t="str">
        <f t="shared" si="96"/>
        <v/>
      </c>
      <c r="G544" t="str">
        <f t="shared" si="97"/>
        <v/>
      </c>
      <c r="H544" t="str">
        <f t="shared" si="98"/>
        <v/>
      </c>
      <c r="I544" t="str">
        <f t="shared" si="99"/>
        <v/>
      </c>
      <c r="J544" t="str">
        <f t="shared" si="100"/>
        <v/>
      </c>
    </row>
    <row r="545" spans="2:10">
      <c r="B545" t="str">
        <f t="shared" si="101"/>
        <v>Zabór</v>
      </c>
      <c r="C545" t="str">
        <f t="shared" si="94"/>
        <v/>
      </c>
      <c r="D545" t="str">
        <f t="shared" si="80"/>
        <v/>
      </c>
      <c r="E545" t="str">
        <f t="shared" si="95"/>
        <v/>
      </c>
      <c r="F545" t="str">
        <f t="shared" si="96"/>
        <v/>
      </c>
      <c r="G545" t="str">
        <f t="shared" si="97"/>
        <v/>
      </c>
      <c r="H545" t="str">
        <f t="shared" si="98"/>
        <v/>
      </c>
      <c r="I545" t="str">
        <f t="shared" si="99"/>
        <v/>
      </c>
      <c r="J545" t="str">
        <f t="shared" si="100"/>
        <v/>
      </c>
    </row>
    <row r="546" spans="2:10">
      <c r="B546" t="str">
        <f t="shared" si="101"/>
        <v>Zabór</v>
      </c>
      <c r="C546" t="str">
        <f t="shared" si="94"/>
        <v/>
      </c>
      <c r="D546" t="str">
        <f t="shared" si="80"/>
        <v/>
      </c>
      <c r="E546" t="str">
        <f t="shared" si="95"/>
        <v/>
      </c>
      <c r="F546" t="str">
        <f t="shared" si="96"/>
        <v/>
      </c>
      <c r="G546" t="str">
        <f t="shared" si="97"/>
        <v/>
      </c>
      <c r="H546" t="str">
        <f t="shared" si="98"/>
        <v/>
      </c>
      <c r="I546" t="str">
        <f t="shared" si="99"/>
        <v/>
      </c>
      <c r="J546" t="str">
        <f t="shared" si="100"/>
        <v/>
      </c>
    </row>
    <row r="547" spans="2:10">
      <c r="B547" t="str">
        <f t="shared" si="101"/>
        <v>Zabór</v>
      </c>
      <c r="C547" t="str">
        <f t="shared" si="94"/>
        <v/>
      </c>
      <c r="D547" t="str">
        <f t="shared" si="80"/>
        <v/>
      </c>
      <c r="E547" t="str">
        <f t="shared" si="95"/>
        <v/>
      </c>
      <c r="F547" t="str">
        <f t="shared" si="96"/>
        <v/>
      </c>
      <c r="G547" t="str">
        <f t="shared" si="97"/>
        <v/>
      </c>
      <c r="H547" t="str">
        <f t="shared" si="98"/>
        <v/>
      </c>
      <c r="I547" t="str">
        <f t="shared" si="99"/>
        <v/>
      </c>
      <c r="J547" t="str">
        <f t="shared" si="100"/>
        <v/>
      </c>
    </row>
    <row r="548" spans="2:10">
      <c r="B548" t="str">
        <f t="shared" si="101"/>
        <v>Zabór</v>
      </c>
      <c r="C548" t="str">
        <f t="shared" si="94"/>
        <v/>
      </c>
      <c r="D548" t="str">
        <f t="shared" si="80"/>
        <v/>
      </c>
      <c r="E548" t="str">
        <f t="shared" si="95"/>
        <v/>
      </c>
      <c r="F548" t="str">
        <f t="shared" si="96"/>
        <v/>
      </c>
      <c r="G548" t="str">
        <f t="shared" si="97"/>
        <v/>
      </c>
      <c r="H548" t="str">
        <f t="shared" si="98"/>
        <v/>
      </c>
      <c r="I548" t="str">
        <f t="shared" si="99"/>
        <v/>
      </c>
      <c r="J548" t="str">
        <f t="shared" si="100"/>
        <v/>
      </c>
    </row>
    <row r="549" spans="2:10">
      <c r="B549" t="str">
        <f t="shared" si="101"/>
        <v>Zabór</v>
      </c>
      <c r="C549" t="str">
        <f t="shared" si="94"/>
        <v/>
      </c>
      <c r="D549" t="str">
        <f t="shared" si="80"/>
        <v/>
      </c>
      <c r="E549" t="str">
        <f t="shared" si="95"/>
        <v/>
      </c>
      <c r="F549" t="str">
        <f t="shared" si="96"/>
        <v/>
      </c>
      <c r="G549" t="str">
        <f t="shared" si="97"/>
        <v/>
      </c>
      <c r="H549" t="str">
        <f t="shared" si="98"/>
        <v/>
      </c>
      <c r="I549" t="str">
        <f t="shared" si="99"/>
        <v/>
      </c>
      <c r="J549" t="str">
        <f t="shared" si="100"/>
        <v/>
      </c>
    </row>
    <row r="550" spans="2:10">
      <c r="B550" t="str">
        <f t="shared" si="101"/>
        <v>Zabór</v>
      </c>
      <c r="C550" t="str">
        <f t="shared" si="94"/>
        <v/>
      </c>
      <c r="D550" t="str">
        <f t="shared" si="80"/>
        <v/>
      </c>
      <c r="E550" t="str">
        <f t="shared" si="95"/>
        <v/>
      </c>
      <c r="F550" t="str">
        <f t="shared" si="96"/>
        <v/>
      </c>
      <c r="G550" t="str">
        <f t="shared" si="97"/>
        <v/>
      </c>
      <c r="H550" t="str">
        <f t="shared" si="98"/>
        <v/>
      </c>
      <c r="I550" t="str">
        <f t="shared" si="99"/>
        <v/>
      </c>
      <c r="J550" t="str">
        <f t="shared" si="100"/>
        <v/>
      </c>
    </row>
    <row r="551" spans="2:10">
      <c r="B551" t="str">
        <f t="shared" si="101"/>
        <v>Zabór</v>
      </c>
      <c r="C551" t="str">
        <f t="shared" si="94"/>
        <v/>
      </c>
      <c r="D551" t="str">
        <f t="shared" si="80"/>
        <v/>
      </c>
      <c r="E551" t="str">
        <f t="shared" si="95"/>
        <v/>
      </c>
      <c r="F551" t="str">
        <f t="shared" si="96"/>
        <v/>
      </c>
      <c r="G551" t="str">
        <f t="shared" si="97"/>
        <v/>
      </c>
      <c r="H551" t="str">
        <f t="shared" si="98"/>
        <v/>
      </c>
      <c r="I551" t="str">
        <f t="shared" si="99"/>
        <v/>
      </c>
      <c r="J551" t="str">
        <f t="shared" si="100"/>
        <v/>
      </c>
    </row>
    <row r="552" spans="2:10">
      <c r="B552" t="str">
        <f t="shared" si="101"/>
        <v>Zabór</v>
      </c>
      <c r="C552" t="str">
        <f t="shared" si="94"/>
        <v/>
      </c>
      <c r="D552" t="str">
        <f t="shared" si="80"/>
        <v/>
      </c>
      <c r="E552" t="str">
        <f t="shared" si="95"/>
        <v/>
      </c>
      <c r="F552" t="str">
        <f t="shared" si="96"/>
        <v/>
      </c>
      <c r="G552" t="str">
        <f t="shared" si="97"/>
        <v/>
      </c>
      <c r="H552" t="str">
        <f t="shared" si="98"/>
        <v/>
      </c>
      <c r="I552" t="str">
        <f t="shared" si="99"/>
        <v/>
      </c>
      <c r="J552" t="str">
        <f t="shared" si="100"/>
        <v/>
      </c>
    </row>
    <row r="553" spans="2:10">
      <c r="B553" t="str">
        <f t="shared" si="101"/>
        <v>Zabór</v>
      </c>
      <c r="C553" t="str">
        <f t="shared" si="94"/>
        <v/>
      </c>
      <c r="D553" t="str">
        <f t="shared" si="80"/>
        <v/>
      </c>
      <c r="E553" t="str">
        <f t="shared" si="95"/>
        <v/>
      </c>
      <c r="F553" t="str">
        <f t="shared" si="96"/>
        <v/>
      </c>
      <c r="G553" t="str">
        <f t="shared" si="97"/>
        <v/>
      </c>
      <c r="H553" t="str">
        <f t="shared" si="98"/>
        <v/>
      </c>
      <c r="I553" t="str">
        <f t="shared" si="99"/>
        <v/>
      </c>
      <c r="J553" t="str">
        <f t="shared" si="100"/>
        <v/>
      </c>
    </row>
    <row r="554" spans="2:10">
      <c r="B554" t="str">
        <f t="shared" si="101"/>
        <v>Zabór</v>
      </c>
      <c r="C554" t="str">
        <f t="shared" si="94"/>
        <v/>
      </c>
      <c r="D554" t="str">
        <f t="shared" ref="D554:D618" si="102">IF(C554&gt;"",A555,"")</f>
        <v/>
      </c>
      <c r="E554" t="str">
        <f t="shared" si="95"/>
        <v/>
      </c>
      <c r="F554" t="str">
        <f t="shared" si="96"/>
        <v/>
      </c>
      <c r="G554" t="str">
        <f t="shared" si="97"/>
        <v/>
      </c>
      <c r="H554" t="str">
        <f t="shared" si="98"/>
        <v/>
      </c>
      <c r="I554" t="str">
        <f t="shared" si="99"/>
        <v/>
      </c>
      <c r="J554" t="str">
        <f t="shared" si="100"/>
        <v/>
      </c>
    </row>
    <row r="555" spans="2:10">
      <c r="B555" t="str">
        <f t="shared" si="101"/>
        <v>Zabór</v>
      </c>
      <c r="C555" t="str">
        <f t="shared" si="94"/>
        <v/>
      </c>
      <c r="D555" t="str">
        <f t="shared" si="102"/>
        <v/>
      </c>
      <c r="E555" t="str">
        <f t="shared" si="95"/>
        <v/>
      </c>
      <c r="F555" t="str">
        <f t="shared" si="96"/>
        <v/>
      </c>
      <c r="G555" t="str">
        <f t="shared" si="97"/>
        <v/>
      </c>
      <c r="H555" t="str">
        <f t="shared" si="98"/>
        <v/>
      </c>
      <c r="I555" t="str">
        <f t="shared" si="99"/>
        <v/>
      </c>
      <c r="J555" t="str">
        <f t="shared" si="100"/>
        <v/>
      </c>
    </row>
    <row r="556" spans="2:10">
      <c r="B556" t="str">
        <f t="shared" si="101"/>
        <v>Zabór</v>
      </c>
      <c r="C556" t="str">
        <f t="shared" si="94"/>
        <v/>
      </c>
      <c r="D556" t="str">
        <f t="shared" si="102"/>
        <v/>
      </c>
      <c r="E556" t="str">
        <f t="shared" si="95"/>
        <v/>
      </c>
      <c r="F556" t="str">
        <f t="shared" si="96"/>
        <v/>
      </c>
      <c r="G556" t="str">
        <f t="shared" si="97"/>
        <v/>
      </c>
      <c r="H556" t="str">
        <f t="shared" si="98"/>
        <v/>
      </c>
      <c r="I556" t="str">
        <f t="shared" si="99"/>
        <v/>
      </c>
      <c r="J556" t="str">
        <f t="shared" si="100"/>
        <v/>
      </c>
    </row>
    <row r="557" spans="2:10">
      <c r="B557" t="str">
        <f t="shared" si="101"/>
        <v>Zabór</v>
      </c>
      <c r="C557" t="str">
        <f t="shared" si="94"/>
        <v/>
      </c>
      <c r="D557" t="str">
        <f t="shared" si="102"/>
        <v/>
      </c>
      <c r="E557" t="str">
        <f t="shared" si="95"/>
        <v/>
      </c>
      <c r="F557" t="str">
        <f t="shared" si="96"/>
        <v/>
      </c>
      <c r="G557" t="str">
        <f t="shared" si="97"/>
        <v/>
      </c>
      <c r="H557" t="str">
        <f t="shared" si="98"/>
        <v/>
      </c>
      <c r="I557" t="str">
        <f t="shared" si="99"/>
        <v/>
      </c>
      <c r="J557" t="str">
        <f t="shared" si="100"/>
        <v/>
      </c>
    </row>
    <row r="558" spans="2:10">
      <c r="B558" t="str">
        <f t="shared" si="101"/>
        <v>Zabór</v>
      </c>
      <c r="C558" t="str">
        <f t="shared" si="94"/>
        <v/>
      </c>
      <c r="D558" t="str">
        <f t="shared" si="102"/>
        <v/>
      </c>
      <c r="E558" t="str">
        <f t="shared" si="95"/>
        <v/>
      </c>
      <c r="F558" t="str">
        <f t="shared" si="96"/>
        <v/>
      </c>
      <c r="G558" t="str">
        <f t="shared" si="97"/>
        <v/>
      </c>
      <c r="H558" t="str">
        <f t="shared" si="98"/>
        <v/>
      </c>
      <c r="I558" t="str">
        <f t="shared" si="99"/>
        <v/>
      </c>
      <c r="J558" t="str">
        <f t="shared" si="100"/>
        <v/>
      </c>
    </row>
    <row r="559" spans="2:10">
      <c r="B559" t="str">
        <f t="shared" si="101"/>
        <v>Zabór</v>
      </c>
      <c r="C559" t="str">
        <f t="shared" si="94"/>
        <v/>
      </c>
      <c r="D559" t="str">
        <f t="shared" si="102"/>
        <v/>
      </c>
      <c r="E559" t="str">
        <f t="shared" si="95"/>
        <v/>
      </c>
      <c r="F559" t="str">
        <f t="shared" si="96"/>
        <v/>
      </c>
      <c r="G559" t="str">
        <f t="shared" si="97"/>
        <v/>
      </c>
      <c r="H559" t="str">
        <f t="shared" si="98"/>
        <v/>
      </c>
      <c r="I559" t="str">
        <f t="shared" si="99"/>
        <v/>
      </c>
      <c r="J559" t="str">
        <f t="shared" si="100"/>
        <v/>
      </c>
    </row>
    <row r="560" spans="2:10">
      <c r="B560" t="str">
        <f t="shared" si="101"/>
        <v>Zabór</v>
      </c>
      <c r="C560" t="str">
        <f t="shared" si="94"/>
        <v/>
      </c>
      <c r="D560" t="str">
        <f t="shared" si="102"/>
        <v/>
      </c>
      <c r="E560" t="str">
        <f t="shared" si="95"/>
        <v/>
      </c>
      <c r="F560" t="str">
        <f t="shared" si="96"/>
        <v/>
      </c>
      <c r="G560" t="str">
        <f t="shared" si="97"/>
        <v/>
      </c>
      <c r="H560" t="str">
        <f t="shared" si="98"/>
        <v/>
      </c>
      <c r="I560" t="str">
        <f t="shared" si="99"/>
        <v/>
      </c>
      <c r="J560" t="str">
        <f t="shared" si="100"/>
        <v/>
      </c>
    </row>
    <row r="561" spans="2:10">
      <c r="B561" t="str">
        <f t="shared" si="101"/>
        <v>Zabór</v>
      </c>
      <c r="C561" t="str">
        <f t="shared" si="94"/>
        <v/>
      </c>
      <c r="D561" t="str">
        <f t="shared" si="102"/>
        <v/>
      </c>
      <c r="E561" t="str">
        <f t="shared" si="95"/>
        <v/>
      </c>
      <c r="F561" t="str">
        <f t="shared" si="96"/>
        <v/>
      </c>
      <c r="G561" t="str">
        <f t="shared" si="97"/>
        <v/>
      </c>
      <c r="H561" t="str">
        <f t="shared" si="98"/>
        <v/>
      </c>
      <c r="I561" t="str">
        <f t="shared" si="99"/>
        <v/>
      </c>
      <c r="J561" t="str">
        <f t="shared" si="100"/>
        <v/>
      </c>
    </row>
    <row r="562" spans="2:10">
      <c r="B562" t="str">
        <f t="shared" si="101"/>
        <v>Zabór</v>
      </c>
      <c r="C562" t="str">
        <f t="shared" si="94"/>
        <v/>
      </c>
      <c r="D562" t="str">
        <f t="shared" si="102"/>
        <v/>
      </c>
      <c r="E562" t="str">
        <f t="shared" si="95"/>
        <v/>
      </c>
      <c r="F562" t="str">
        <f t="shared" si="96"/>
        <v/>
      </c>
      <c r="G562" t="str">
        <f t="shared" si="97"/>
        <v/>
      </c>
      <c r="H562" t="str">
        <f t="shared" si="98"/>
        <v/>
      </c>
      <c r="I562" t="str">
        <f t="shared" si="99"/>
        <v/>
      </c>
      <c r="J562" t="str">
        <f t="shared" si="100"/>
        <v/>
      </c>
    </row>
    <row r="563" spans="2:10">
      <c r="B563" t="str">
        <f t="shared" si="101"/>
        <v>Zabór</v>
      </c>
      <c r="C563" t="str">
        <f t="shared" si="94"/>
        <v/>
      </c>
      <c r="D563" t="str">
        <f t="shared" si="102"/>
        <v/>
      </c>
      <c r="E563" t="str">
        <f t="shared" si="95"/>
        <v/>
      </c>
      <c r="F563" t="str">
        <f t="shared" si="96"/>
        <v/>
      </c>
      <c r="G563" t="str">
        <f t="shared" si="97"/>
        <v/>
      </c>
      <c r="H563" t="str">
        <f t="shared" si="98"/>
        <v/>
      </c>
      <c r="I563" t="str">
        <f t="shared" si="99"/>
        <v/>
      </c>
      <c r="J563" t="str">
        <f t="shared" si="100"/>
        <v/>
      </c>
    </row>
    <row r="564" spans="2:10">
      <c r="B564" t="str">
        <f t="shared" si="101"/>
        <v>Zabór</v>
      </c>
      <c r="C564" t="str">
        <f t="shared" si="94"/>
        <v/>
      </c>
      <c r="D564" t="str">
        <f t="shared" si="102"/>
        <v/>
      </c>
      <c r="E564" t="str">
        <f t="shared" si="95"/>
        <v/>
      </c>
      <c r="F564" t="str">
        <f t="shared" si="96"/>
        <v/>
      </c>
      <c r="G564" t="str">
        <f t="shared" si="97"/>
        <v/>
      </c>
      <c r="H564" t="str">
        <f t="shared" si="98"/>
        <v/>
      </c>
      <c r="I564" t="str">
        <f t="shared" si="99"/>
        <v/>
      </c>
      <c r="J564" t="str">
        <f t="shared" si="100"/>
        <v/>
      </c>
    </row>
    <row r="565" spans="2:10">
      <c r="B565" t="str">
        <f t="shared" si="101"/>
        <v>Zabór</v>
      </c>
      <c r="C565" t="str">
        <f t="shared" si="94"/>
        <v/>
      </c>
      <c r="D565" t="str">
        <f t="shared" si="102"/>
        <v/>
      </c>
      <c r="E565" t="str">
        <f t="shared" si="95"/>
        <v/>
      </c>
      <c r="F565" t="str">
        <f t="shared" si="96"/>
        <v/>
      </c>
      <c r="G565" t="str">
        <f t="shared" si="97"/>
        <v/>
      </c>
      <c r="H565" t="str">
        <f t="shared" si="98"/>
        <v/>
      </c>
      <c r="I565" t="str">
        <f t="shared" si="99"/>
        <v/>
      </c>
      <c r="J565" t="str">
        <f t="shared" si="100"/>
        <v/>
      </c>
    </row>
    <row r="566" spans="2:10">
      <c r="B566" t="str">
        <f t="shared" si="101"/>
        <v>Zabór</v>
      </c>
      <c r="C566" t="str">
        <f t="shared" si="94"/>
        <v/>
      </c>
      <c r="D566" t="str">
        <f t="shared" si="102"/>
        <v/>
      </c>
      <c r="E566" t="str">
        <f t="shared" si="95"/>
        <v/>
      </c>
      <c r="F566" t="str">
        <f t="shared" si="96"/>
        <v/>
      </c>
      <c r="G566" t="str">
        <f t="shared" si="97"/>
        <v/>
      </c>
      <c r="H566" t="str">
        <f t="shared" si="98"/>
        <v/>
      </c>
      <c r="I566" t="str">
        <f t="shared" si="99"/>
        <v/>
      </c>
      <c r="J566" t="str">
        <f t="shared" si="100"/>
        <v/>
      </c>
    </row>
    <row r="567" spans="2:10">
      <c r="B567" t="str">
        <f t="shared" si="101"/>
        <v>Zabór</v>
      </c>
      <c r="C567" t="str">
        <f t="shared" si="94"/>
        <v/>
      </c>
      <c r="D567" t="str">
        <f t="shared" si="102"/>
        <v/>
      </c>
      <c r="E567" t="str">
        <f t="shared" si="95"/>
        <v/>
      </c>
      <c r="F567" t="str">
        <f t="shared" si="96"/>
        <v/>
      </c>
      <c r="G567" t="str">
        <f t="shared" si="97"/>
        <v/>
      </c>
      <c r="H567" t="str">
        <f t="shared" si="98"/>
        <v/>
      </c>
      <c r="I567" t="str">
        <f t="shared" si="99"/>
        <v/>
      </c>
      <c r="J567" t="str">
        <f t="shared" si="100"/>
        <v/>
      </c>
    </row>
    <row r="568" spans="2:10">
      <c r="B568" t="str">
        <f t="shared" si="101"/>
        <v>Zabór</v>
      </c>
      <c r="C568" t="str">
        <f t="shared" si="94"/>
        <v/>
      </c>
      <c r="D568" t="str">
        <f t="shared" si="102"/>
        <v/>
      </c>
      <c r="E568" t="str">
        <f t="shared" si="95"/>
        <v/>
      </c>
      <c r="F568" t="str">
        <f t="shared" si="96"/>
        <v/>
      </c>
      <c r="G568" t="str">
        <f t="shared" si="97"/>
        <v/>
      </c>
      <c r="H568" t="str">
        <f t="shared" si="98"/>
        <v/>
      </c>
      <c r="I568" t="str">
        <f t="shared" si="99"/>
        <v/>
      </c>
      <c r="J568" t="str">
        <f t="shared" si="100"/>
        <v/>
      </c>
    </row>
    <row r="569" spans="2:10">
      <c r="B569" t="str">
        <f t="shared" si="101"/>
        <v>Zabór</v>
      </c>
      <c r="C569" t="str">
        <f t="shared" si="94"/>
        <v/>
      </c>
      <c r="D569" t="str">
        <f t="shared" si="102"/>
        <v/>
      </c>
      <c r="E569" t="str">
        <f t="shared" si="95"/>
        <v/>
      </c>
      <c r="F569" t="str">
        <f t="shared" si="96"/>
        <v/>
      </c>
      <c r="G569" t="str">
        <f t="shared" si="97"/>
        <v/>
      </c>
      <c r="H569" t="str">
        <f t="shared" si="98"/>
        <v/>
      </c>
      <c r="I569" t="str">
        <f t="shared" si="99"/>
        <v/>
      </c>
      <c r="J569" t="str">
        <f t="shared" si="100"/>
        <v/>
      </c>
    </row>
    <row r="570" spans="2:10">
      <c r="B570" t="str">
        <f t="shared" si="101"/>
        <v>Zabór</v>
      </c>
      <c r="C570" t="str">
        <f t="shared" si="94"/>
        <v/>
      </c>
      <c r="D570" t="str">
        <f t="shared" si="102"/>
        <v/>
      </c>
      <c r="E570" t="str">
        <f t="shared" si="95"/>
        <v/>
      </c>
      <c r="F570" t="str">
        <f t="shared" si="96"/>
        <v/>
      </c>
      <c r="G570" t="str">
        <f t="shared" si="97"/>
        <v/>
      </c>
      <c r="H570" t="str">
        <f t="shared" si="98"/>
        <v/>
      </c>
      <c r="I570" t="str">
        <f t="shared" si="99"/>
        <v/>
      </c>
      <c r="J570" t="str">
        <f t="shared" si="100"/>
        <v/>
      </c>
    </row>
    <row r="571" spans="2:10">
      <c r="B571" t="str">
        <f t="shared" si="101"/>
        <v>Zabór</v>
      </c>
      <c r="C571" t="str">
        <f t="shared" si="94"/>
        <v/>
      </c>
      <c r="D571" t="str">
        <f t="shared" si="102"/>
        <v/>
      </c>
      <c r="E571" t="str">
        <f t="shared" si="95"/>
        <v/>
      </c>
      <c r="F571" t="str">
        <f t="shared" si="96"/>
        <v/>
      </c>
      <c r="G571" t="str">
        <f t="shared" si="97"/>
        <v/>
      </c>
      <c r="H571" t="str">
        <f t="shared" si="98"/>
        <v/>
      </c>
      <c r="I571" t="str">
        <f t="shared" si="99"/>
        <v/>
      </c>
      <c r="J571" t="str">
        <f t="shared" si="100"/>
        <v/>
      </c>
    </row>
    <row r="572" spans="2:10">
      <c r="B572" t="str">
        <f t="shared" si="101"/>
        <v>Zabór</v>
      </c>
      <c r="C572" t="str">
        <f t="shared" si="94"/>
        <v/>
      </c>
      <c r="D572" t="str">
        <f t="shared" si="102"/>
        <v/>
      </c>
      <c r="E572" t="str">
        <f t="shared" si="95"/>
        <v/>
      </c>
      <c r="F572" t="str">
        <f t="shared" si="96"/>
        <v/>
      </c>
      <c r="G572" t="str">
        <f t="shared" si="97"/>
        <v/>
      </c>
      <c r="H572" t="str">
        <f t="shared" si="98"/>
        <v/>
      </c>
      <c r="I572" t="str">
        <f t="shared" si="99"/>
        <v/>
      </c>
      <c r="J572" t="str">
        <f t="shared" si="100"/>
        <v/>
      </c>
    </row>
    <row r="573" spans="2:10">
      <c r="B573" t="str">
        <f t="shared" si="101"/>
        <v>Zabór</v>
      </c>
      <c r="C573" t="str">
        <f t="shared" si="94"/>
        <v/>
      </c>
      <c r="D573" t="str">
        <f t="shared" si="102"/>
        <v/>
      </c>
      <c r="E573" t="str">
        <f t="shared" si="95"/>
        <v/>
      </c>
      <c r="F573" t="str">
        <f t="shared" si="96"/>
        <v/>
      </c>
      <c r="G573" t="str">
        <f t="shared" si="97"/>
        <v/>
      </c>
      <c r="H573" t="str">
        <f t="shared" si="98"/>
        <v/>
      </c>
      <c r="I573" t="str">
        <f t="shared" si="99"/>
        <v/>
      </c>
      <c r="J573" t="str">
        <f t="shared" si="100"/>
        <v/>
      </c>
    </row>
    <row r="574" spans="2:10">
      <c r="B574" t="str">
        <f t="shared" si="101"/>
        <v>Zabór</v>
      </c>
      <c r="C574" t="str">
        <f t="shared" si="94"/>
        <v/>
      </c>
      <c r="D574" t="str">
        <f t="shared" si="102"/>
        <v/>
      </c>
      <c r="E574" t="str">
        <f t="shared" si="95"/>
        <v/>
      </c>
      <c r="F574" t="str">
        <f t="shared" si="96"/>
        <v/>
      </c>
      <c r="G574" t="str">
        <f t="shared" si="97"/>
        <v/>
      </c>
      <c r="H574" t="str">
        <f t="shared" si="98"/>
        <v/>
      </c>
      <c r="I574" t="str">
        <f t="shared" si="99"/>
        <v/>
      </c>
      <c r="J574" t="str">
        <f t="shared" ref="J574:J580" si="103">IF(E574&gt;"",IF(ISERR(FIND("DKK",A582)),"",A582),"")</f>
        <v/>
      </c>
    </row>
    <row r="575" spans="2:10">
      <c r="B575" t="str">
        <f t="shared" si="101"/>
        <v>Zabór</v>
      </c>
      <c r="C575" t="str">
        <f t="shared" si="94"/>
        <v/>
      </c>
      <c r="D575" t="str">
        <f t="shared" si="102"/>
        <v/>
      </c>
      <c r="E575" t="str">
        <f t="shared" si="95"/>
        <v/>
      </c>
      <c r="F575" t="str">
        <f t="shared" si="96"/>
        <v/>
      </c>
      <c r="G575" t="str">
        <f t="shared" si="97"/>
        <v/>
      </c>
      <c r="H575" t="str">
        <f t="shared" si="98"/>
        <v/>
      </c>
      <c r="I575" t="str">
        <f t="shared" ref="I575:I580" si="104">IF(E575&gt;"",IF(ISERR(FIND("DKK",A582)),"",A582),"")</f>
        <v/>
      </c>
      <c r="J575" t="str">
        <f t="shared" si="103"/>
        <v/>
      </c>
    </row>
    <row r="576" spans="2:10">
      <c r="B576" t="str">
        <f t="shared" si="101"/>
        <v>Zabór</v>
      </c>
      <c r="C576" t="str">
        <f t="shared" si="94"/>
        <v/>
      </c>
      <c r="D576" t="str">
        <f t="shared" si="102"/>
        <v/>
      </c>
      <c r="E576" t="str">
        <f t="shared" si="95"/>
        <v/>
      </c>
      <c r="F576" t="str">
        <f t="shared" si="96"/>
        <v/>
      </c>
      <c r="G576" t="str">
        <f t="shared" si="97"/>
        <v/>
      </c>
      <c r="H576" t="str">
        <f>IF(E576&gt;"",MID(A582,FIND("e-mail:",A582)+8,100),"")</f>
        <v/>
      </c>
      <c r="I576" t="str">
        <f t="shared" si="104"/>
        <v/>
      </c>
      <c r="J576" t="str">
        <f t="shared" si="103"/>
        <v/>
      </c>
    </row>
    <row r="577" spans="2:10">
      <c r="B577" t="str">
        <f t="shared" si="101"/>
        <v>Zabór</v>
      </c>
      <c r="C577" t="str">
        <f t="shared" si="94"/>
        <v/>
      </c>
      <c r="D577" t="str">
        <f t="shared" si="102"/>
        <v/>
      </c>
      <c r="E577" t="str">
        <f t="shared" si="95"/>
        <v/>
      </c>
      <c r="F577" t="str">
        <f t="shared" si="96"/>
        <v/>
      </c>
      <c r="G577" t="str">
        <f>IF(E577&gt;"",MID(A582,FIND(":",A582)+2,60),"")</f>
        <v/>
      </c>
      <c r="H577" t="str">
        <f>IF(E577&gt;"",MID(A583,FIND("e-mail:",A583)+8,100),"")</f>
        <v/>
      </c>
      <c r="I577" t="str">
        <f t="shared" si="104"/>
        <v/>
      </c>
      <c r="J577" t="str">
        <f t="shared" si="103"/>
        <v/>
      </c>
    </row>
    <row r="578" spans="2:10">
      <c r="B578" t="str">
        <f t="shared" si="101"/>
        <v>Zabór</v>
      </c>
      <c r="C578" t="str">
        <f t="shared" si="94"/>
        <v/>
      </c>
      <c r="D578" t="str">
        <f t="shared" si="102"/>
        <v/>
      </c>
      <c r="E578" t="str">
        <f t="shared" si="95"/>
        <v/>
      </c>
      <c r="F578" t="str">
        <f>IF(E578&gt;"",MID(A582,FIND("tel.",A582)+4,15),"")</f>
        <v/>
      </c>
      <c r="G578" t="str">
        <f>IF(E578&gt;"",MID(A583,FIND(":",A583)+2,60),"")</f>
        <v/>
      </c>
      <c r="H578" t="str">
        <f>IF(E578&gt;"",MID(A584,FIND("e-mail:",A584)+8,100),"")</f>
        <v/>
      </c>
      <c r="I578" t="str">
        <f t="shared" si="104"/>
        <v/>
      </c>
      <c r="J578" t="str">
        <f t="shared" si="103"/>
        <v/>
      </c>
    </row>
    <row r="579" spans="2:10">
      <c r="B579" t="str">
        <f t="shared" si="101"/>
        <v>Zabór</v>
      </c>
      <c r="C579" t="str">
        <f t="shared" si="94"/>
        <v/>
      </c>
      <c r="D579" t="str">
        <f t="shared" si="102"/>
        <v/>
      </c>
      <c r="E579" t="str">
        <f>IF(C579&gt;"",A582,"")</f>
        <v/>
      </c>
      <c r="F579" t="str">
        <f>IF(E579&gt;"",MID(A583,FIND("tel.",A583)+4,15),"")</f>
        <v/>
      </c>
      <c r="G579" t="str">
        <f>IF(E579&gt;"",MID(A584,FIND(":",A584)+2,60),"")</f>
        <v/>
      </c>
      <c r="H579" t="str">
        <f>IF(E579&gt;"",MID(A585,FIND("e-mail:",A585)+8,100),"")</f>
        <v/>
      </c>
      <c r="I579" t="str">
        <f t="shared" si="104"/>
        <v/>
      </c>
      <c r="J579" t="str">
        <f t="shared" si="103"/>
        <v/>
      </c>
    </row>
    <row r="580" spans="2:10">
      <c r="B580" t="str">
        <f t="shared" si="101"/>
        <v>Zabór</v>
      </c>
      <c r="C580" t="str">
        <f t="shared" si="94"/>
        <v/>
      </c>
      <c r="D580" t="str">
        <f>IF(C580&gt;"",A582,"")</f>
        <v/>
      </c>
      <c r="E580" t="str">
        <f>IF(C580&gt;"",A583,"")</f>
        <v/>
      </c>
      <c r="F580" t="str">
        <f>IF(E580&gt;"",MID(A584,FIND("tel.",A584)+4,15),"")</f>
        <v/>
      </c>
      <c r="G580" t="str">
        <f>IF(E580&gt;"",MID(A585,FIND(":",A585)+2,60),"")</f>
        <v/>
      </c>
      <c r="H580" t="str">
        <f>IF(E580&gt;"",MID(A586,FIND("e-mail:",A586)+8,100),"")</f>
        <v/>
      </c>
      <c r="I580" t="str">
        <f t="shared" si="104"/>
        <v/>
      </c>
      <c r="J580" t="str">
        <f t="shared" si="103"/>
        <v/>
      </c>
    </row>
    <row r="581" spans="2:10">
      <c r="B581" t="str">
        <f t="shared" si="101"/>
        <v>Zabór</v>
      </c>
    </row>
    <row r="582" spans="2:10">
      <c r="B582" t="str">
        <f t="shared" si="101"/>
        <v>Zabór</v>
      </c>
      <c r="C582" t="str">
        <f t="shared" ref="C582:C645" si="105">IF(ISERR(FIND($C$1,A582,1)),"",A582)</f>
        <v/>
      </c>
      <c r="D582" t="str">
        <f t="shared" si="102"/>
        <v/>
      </c>
      <c r="E582" t="str">
        <f t="shared" ref="E582:E645" si="106">IF(C582&gt;"",A584,"")</f>
        <v/>
      </c>
      <c r="F582" t="str">
        <f t="shared" ref="F582:F645" si="107">IF(E582&gt;"",MID(A585,FIND("tel.",A585)+4,15),"")</f>
        <v/>
      </c>
      <c r="G582" t="str">
        <f t="shared" ref="G582:G645" si="108">IF(E582&gt;"",MID(A586,FIND(":",A586)+2,60),"")</f>
        <v/>
      </c>
      <c r="H582" t="str">
        <f t="shared" ref="H582:H645" si="109">IF(E582&gt;"",MID(A587,FIND("e-mail:",A587)+8,100),"")</f>
        <v/>
      </c>
      <c r="I582" t="str">
        <f t="shared" ref="I582:I645" si="110">IF(E582&gt;"",IF(ISERR(FIND("DKK",A588)),"",A588),"")</f>
        <v/>
      </c>
      <c r="J582" t="str">
        <f t="shared" ref="J582:J645" si="111">IF(E582&gt;"",IF(ISERR(FIND("DKK",A589)),"",A589),"")</f>
        <v/>
      </c>
    </row>
    <row r="583" spans="2:10">
      <c r="B583" t="str">
        <f t="shared" si="101"/>
        <v>Zabór</v>
      </c>
      <c r="C583" t="str">
        <f t="shared" si="105"/>
        <v/>
      </c>
      <c r="D583" t="str">
        <f t="shared" si="102"/>
        <v/>
      </c>
      <c r="E583" t="str">
        <f t="shared" si="106"/>
        <v/>
      </c>
      <c r="F583" t="str">
        <f t="shared" si="107"/>
        <v/>
      </c>
      <c r="G583" t="str">
        <f t="shared" si="108"/>
        <v/>
      </c>
      <c r="H583" t="str">
        <f t="shared" si="109"/>
        <v/>
      </c>
      <c r="I583" t="str">
        <f t="shared" si="110"/>
        <v/>
      </c>
      <c r="J583" t="str">
        <f t="shared" si="111"/>
        <v/>
      </c>
    </row>
    <row r="584" spans="2:10">
      <c r="B584" t="str">
        <f t="shared" si="101"/>
        <v>Zabór</v>
      </c>
      <c r="C584" t="str">
        <f t="shared" si="105"/>
        <v/>
      </c>
      <c r="D584" t="str">
        <f t="shared" si="102"/>
        <v/>
      </c>
      <c r="E584" t="str">
        <f t="shared" si="106"/>
        <v/>
      </c>
      <c r="F584" t="str">
        <f t="shared" si="107"/>
        <v/>
      </c>
      <c r="G584" t="str">
        <f t="shared" si="108"/>
        <v/>
      </c>
      <c r="H584" t="str">
        <f t="shared" si="109"/>
        <v/>
      </c>
      <c r="I584" t="str">
        <f t="shared" si="110"/>
        <v/>
      </c>
      <c r="J584" t="str">
        <f t="shared" si="111"/>
        <v/>
      </c>
    </row>
    <row r="585" spans="2:10">
      <c r="B585" t="str">
        <f t="shared" si="101"/>
        <v>Zabór</v>
      </c>
      <c r="C585" t="str">
        <f t="shared" si="105"/>
        <v/>
      </c>
      <c r="D585" t="str">
        <f t="shared" si="102"/>
        <v/>
      </c>
      <c r="E585" t="str">
        <f t="shared" si="106"/>
        <v/>
      </c>
      <c r="F585" t="str">
        <f t="shared" si="107"/>
        <v/>
      </c>
      <c r="G585" t="str">
        <f t="shared" si="108"/>
        <v/>
      </c>
      <c r="H585" t="str">
        <f t="shared" si="109"/>
        <v/>
      </c>
      <c r="I585" t="str">
        <f t="shared" si="110"/>
        <v/>
      </c>
      <c r="J585" t="str">
        <f t="shared" si="111"/>
        <v/>
      </c>
    </row>
    <row r="586" spans="2:10">
      <c r="B586" t="str">
        <f t="shared" si="101"/>
        <v>Zabór</v>
      </c>
      <c r="C586" t="str">
        <f t="shared" si="105"/>
        <v/>
      </c>
      <c r="D586" t="str">
        <f t="shared" si="102"/>
        <v/>
      </c>
      <c r="E586" t="str">
        <f t="shared" si="106"/>
        <v/>
      </c>
      <c r="F586" t="str">
        <f t="shared" si="107"/>
        <v/>
      </c>
      <c r="G586" t="str">
        <f t="shared" si="108"/>
        <v/>
      </c>
      <c r="H586" t="str">
        <f t="shared" si="109"/>
        <v/>
      </c>
      <c r="I586" t="str">
        <f t="shared" si="110"/>
        <v/>
      </c>
      <c r="J586" t="str">
        <f t="shared" si="111"/>
        <v/>
      </c>
    </row>
    <row r="587" spans="2:10">
      <c r="B587" t="str">
        <f t="shared" si="101"/>
        <v>Zabór</v>
      </c>
      <c r="C587" t="str">
        <f t="shared" si="105"/>
        <v/>
      </c>
      <c r="D587" t="str">
        <f t="shared" si="102"/>
        <v/>
      </c>
      <c r="E587" t="str">
        <f t="shared" si="106"/>
        <v/>
      </c>
      <c r="F587" t="str">
        <f t="shared" si="107"/>
        <v/>
      </c>
      <c r="G587" t="str">
        <f t="shared" si="108"/>
        <v/>
      </c>
      <c r="H587" t="str">
        <f t="shared" si="109"/>
        <v/>
      </c>
      <c r="I587" t="str">
        <f t="shared" si="110"/>
        <v/>
      </c>
      <c r="J587" t="str">
        <f t="shared" si="111"/>
        <v/>
      </c>
    </row>
    <row r="588" spans="2:10">
      <c r="B588" t="str">
        <f t="shared" si="101"/>
        <v>Zabór</v>
      </c>
      <c r="C588" t="str">
        <f t="shared" si="105"/>
        <v/>
      </c>
      <c r="D588" t="str">
        <f t="shared" si="102"/>
        <v/>
      </c>
      <c r="E588" t="str">
        <f t="shared" si="106"/>
        <v/>
      </c>
      <c r="F588" t="str">
        <f t="shared" si="107"/>
        <v/>
      </c>
      <c r="G588" t="str">
        <f t="shared" si="108"/>
        <v/>
      </c>
      <c r="H588" t="str">
        <f t="shared" si="109"/>
        <v/>
      </c>
      <c r="I588" t="str">
        <f t="shared" si="110"/>
        <v/>
      </c>
      <c r="J588" t="str">
        <f t="shared" si="111"/>
        <v/>
      </c>
    </row>
    <row r="589" spans="2:10">
      <c r="B589" t="str">
        <f t="shared" si="101"/>
        <v>Zabór</v>
      </c>
      <c r="C589" t="str">
        <f t="shared" si="105"/>
        <v/>
      </c>
      <c r="D589" t="str">
        <f t="shared" si="102"/>
        <v/>
      </c>
      <c r="E589" t="str">
        <f t="shared" si="106"/>
        <v/>
      </c>
      <c r="F589" t="str">
        <f t="shared" si="107"/>
        <v/>
      </c>
      <c r="G589" t="str">
        <f t="shared" si="108"/>
        <v/>
      </c>
      <c r="H589" t="str">
        <f t="shared" si="109"/>
        <v/>
      </c>
      <c r="I589" t="str">
        <f t="shared" si="110"/>
        <v/>
      </c>
      <c r="J589" t="str">
        <f t="shared" si="111"/>
        <v/>
      </c>
    </row>
    <row r="590" spans="2:10">
      <c r="B590" t="str">
        <f t="shared" si="101"/>
        <v>Zabór</v>
      </c>
      <c r="C590" t="str">
        <f t="shared" si="105"/>
        <v/>
      </c>
      <c r="D590" t="str">
        <f t="shared" si="102"/>
        <v/>
      </c>
      <c r="E590" t="str">
        <f t="shared" si="106"/>
        <v/>
      </c>
      <c r="F590" t="str">
        <f t="shared" si="107"/>
        <v/>
      </c>
      <c r="G590" t="str">
        <f t="shared" si="108"/>
        <v/>
      </c>
      <c r="H590" t="str">
        <f t="shared" si="109"/>
        <v/>
      </c>
      <c r="I590" t="str">
        <f t="shared" si="110"/>
        <v/>
      </c>
      <c r="J590" t="str">
        <f t="shared" si="111"/>
        <v/>
      </c>
    </row>
    <row r="591" spans="2:10">
      <c r="B591" t="str">
        <f t="shared" si="101"/>
        <v>Zabór</v>
      </c>
      <c r="C591" t="str">
        <f t="shared" si="105"/>
        <v/>
      </c>
      <c r="D591" t="str">
        <f t="shared" si="102"/>
        <v/>
      </c>
      <c r="E591" t="str">
        <f t="shared" si="106"/>
        <v/>
      </c>
      <c r="F591" t="str">
        <f t="shared" si="107"/>
        <v/>
      </c>
      <c r="G591" t="str">
        <f t="shared" si="108"/>
        <v/>
      </c>
      <c r="H591" t="str">
        <f t="shared" si="109"/>
        <v/>
      </c>
      <c r="I591" t="str">
        <f t="shared" si="110"/>
        <v/>
      </c>
      <c r="J591" t="str">
        <f t="shared" si="111"/>
        <v/>
      </c>
    </row>
    <row r="592" spans="2:10">
      <c r="B592" t="str">
        <f t="shared" si="101"/>
        <v>Zabór</v>
      </c>
      <c r="C592" t="str">
        <f t="shared" si="105"/>
        <v/>
      </c>
      <c r="D592" t="str">
        <f t="shared" si="102"/>
        <v/>
      </c>
      <c r="E592" t="str">
        <f t="shared" si="106"/>
        <v/>
      </c>
      <c r="F592" t="str">
        <f t="shared" si="107"/>
        <v/>
      </c>
      <c r="G592" t="str">
        <f t="shared" si="108"/>
        <v/>
      </c>
      <c r="H592" t="str">
        <f t="shared" si="109"/>
        <v/>
      </c>
      <c r="I592" t="str">
        <f t="shared" si="110"/>
        <v/>
      </c>
      <c r="J592" t="str">
        <f t="shared" si="111"/>
        <v/>
      </c>
    </row>
    <row r="593" spans="2:10">
      <c r="B593" t="str">
        <f t="shared" si="101"/>
        <v>Zabór</v>
      </c>
      <c r="C593" t="str">
        <f t="shared" si="105"/>
        <v/>
      </c>
      <c r="D593" t="str">
        <f t="shared" si="102"/>
        <v/>
      </c>
      <c r="E593" t="str">
        <f t="shared" si="106"/>
        <v/>
      </c>
      <c r="F593" t="str">
        <f t="shared" si="107"/>
        <v/>
      </c>
      <c r="G593" t="str">
        <f t="shared" si="108"/>
        <v/>
      </c>
      <c r="H593" t="str">
        <f t="shared" si="109"/>
        <v/>
      </c>
      <c r="I593" t="str">
        <f t="shared" si="110"/>
        <v/>
      </c>
      <c r="J593" t="str">
        <f t="shared" si="111"/>
        <v/>
      </c>
    </row>
    <row r="594" spans="2:10">
      <c r="B594" t="str">
        <f t="shared" si="101"/>
        <v>Zabór</v>
      </c>
      <c r="C594" t="str">
        <f t="shared" si="105"/>
        <v/>
      </c>
      <c r="D594" t="str">
        <f t="shared" si="102"/>
        <v/>
      </c>
      <c r="E594" t="str">
        <f t="shared" si="106"/>
        <v/>
      </c>
      <c r="F594" t="str">
        <f t="shared" si="107"/>
        <v/>
      </c>
      <c r="G594" t="str">
        <f t="shared" si="108"/>
        <v/>
      </c>
      <c r="H594" t="str">
        <f t="shared" si="109"/>
        <v/>
      </c>
      <c r="I594" t="str">
        <f t="shared" si="110"/>
        <v/>
      </c>
      <c r="J594" t="str">
        <f t="shared" si="111"/>
        <v/>
      </c>
    </row>
    <row r="595" spans="2:10">
      <c r="B595" t="str">
        <f t="shared" si="101"/>
        <v>Zabór</v>
      </c>
      <c r="C595" t="str">
        <f t="shared" si="105"/>
        <v/>
      </c>
      <c r="D595" t="str">
        <f t="shared" si="102"/>
        <v/>
      </c>
      <c r="E595" t="str">
        <f t="shared" si="106"/>
        <v/>
      </c>
      <c r="F595" t="str">
        <f t="shared" si="107"/>
        <v/>
      </c>
      <c r="G595" t="str">
        <f t="shared" si="108"/>
        <v/>
      </c>
      <c r="H595" t="str">
        <f t="shared" si="109"/>
        <v/>
      </c>
      <c r="I595" t="str">
        <f t="shared" si="110"/>
        <v/>
      </c>
      <c r="J595" t="str">
        <f t="shared" si="111"/>
        <v/>
      </c>
    </row>
    <row r="596" spans="2:10">
      <c r="B596" t="str">
        <f t="shared" si="101"/>
        <v>Zabór</v>
      </c>
      <c r="C596" t="str">
        <f t="shared" si="105"/>
        <v/>
      </c>
      <c r="D596" t="str">
        <f t="shared" si="102"/>
        <v/>
      </c>
      <c r="E596" t="str">
        <f t="shared" si="106"/>
        <v/>
      </c>
      <c r="F596" t="str">
        <f t="shared" si="107"/>
        <v/>
      </c>
      <c r="G596" t="str">
        <f t="shared" si="108"/>
        <v/>
      </c>
      <c r="H596" t="str">
        <f t="shared" si="109"/>
        <v/>
      </c>
      <c r="I596" t="str">
        <f t="shared" si="110"/>
        <v/>
      </c>
      <c r="J596" t="str">
        <f t="shared" si="111"/>
        <v/>
      </c>
    </row>
    <row r="597" spans="2:10">
      <c r="B597" t="str">
        <f t="shared" si="101"/>
        <v>Zabór</v>
      </c>
      <c r="C597" t="str">
        <f t="shared" si="105"/>
        <v/>
      </c>
      <c r="D597" t="str">
        <f t="shared" si="102"/>
        <v/>
      </c>
      <c r="E597" t="str">
        <f t="shared" si="106"/>
        <v/>
      </c>
      <c r="F597" t="str">
        <f t="shared" si="107"/>
        <v/>
      </c>
      <c r="G597" t="str">
        <f t="shared" si="108"/>
        <v/>
      </c>
      <c r="H597" t="str">
        <f t="shared" si="109"/>
        <v/>
      </c>
      <c r="I597" t="str">
        <f t="shared" si="110"/>
        <v/>
      </c>
      <c r="J597" t="str">
        <f t="shared" si="111"/>
        <v/>
      </c>
    </row>
    <row r="598" spans="2:10">
      <c r="B598" t="str">
        <f t="shared" si="101"/>
        <v>Zabór</v>
      </c>
      <c r="C598" t="str">
        <f t="shared" si="105"/>
        <v/>
      </c>
      <c r="D598" t="str">
        <f t="shared" si="102"/>
        <v/>
      </c>
      <c r="E598" t="str">
        <f t="shared" si="106"/>
        <v/>
      </c>
      <c r="F598" t="str">
        <f t="shared" si="107"/>
        <v/>
      </c>
      <c r="G598" t="str">
        <f t="shared" si="108"/>
        <v/>
      </c>
      <c r="H598" t="str">
        <f t="shared" si="109"/>
        <v/>
      </c>
      <c r="I598" t="str">
        <f t="shared" si="110"/>
        <v/>
      </c>
      <c r="J598" t="str">
        <f t="shared" si="111"/>
        <v/>
      </c>
    </row>
    <row r="599" spans="2:10">
      <c r="B599" t="str">
        <f t="shared" si="101"/>
        <v>Zabór</v>
      </c>
      <c r="C599" t="str">
        <f t="shared" si="105"/>
        <v/>
      </c>
      <c r="D599" t="str">
        <f t="shared" si="102"/>
        <v/>
      </c>
      <c r="E599" t="str">
        <f t="shared" si="106"/>
        <v/>
      </c>
      <c r="F599" t="str">
        <f t="shared" si="107"/>
        <v/>
      </c>
      <c r="G599" t="str">
        <f t="shared" si="108"/>
        <v/>
      </c>
      <c r="H599" t="str">
        <f t="shared" si="109"/>
        <v/>
      </c>
      <c r="I599" t="str">
        <f t="shared" si="110"/>
        <v/>
      </c>
      <c r="J599" t="str">
        <f t="shared" si="111"/>
        <v/>
      </c>
    </row>
    <row r="600" spans="2:10">
      <c r="B600" t="str">
        <f t="shared" si="101"/>
        <v>Zabór</v>
      </c>
      <c r="C600" t="str">
        <f t="shared" si="105"/>
        <v/>
      </c>
      <c r="D600" t="str">
        <f t="shared" si="102"/>
        <v/>
      </c>
      <c r="E600" t="str">
        <f t="shared" si="106"/>
        <v/>
      </c>
      <c r="F600" t="str">
        <f t="shared" si="107"/>
        <v/>
      </c>
      <c r="G600" t="str">
        <f t="shared" si="108"/>
        <v/>
      </c>
      <c r="H600" t="str">
        <f t="shared" si="109"/>
        <v/>
      </c>
      <c r="I600" t="str">
        <f t="shared" si="110"/>
        <v/>
      </c>
      <c r="J600" t="str">
        <f t="shared" si="111"/>
        <v/>
      </c>
    </row>
    <row r="601" spans="2:10">
      <c r="B601" t="str">
        <f t="shared" si="101"/>
        <v>Zabór</v>
      </c>
      <c r="C601" t="str">
        <f t="shared" si="105"/>
        <v/>
      </c>
      <c r="D601" t="str">
        <f t="shared" si="102"/>
        <v/>
      </c>
      <c r="E601" t="str">
        <f t="shared" si="106"/>
        <v/>
      </c>
      <c r="F601" t="str">
        <f t="shared" si="107"/>
        <v/>
      </c>
      <c r="G601" t="str">
        <f t="shared" si="108"/>
        <v/>
      </c>
      <c r="H601" t="str">
        <f t="shared" si="109"/>
        <v/>
      </c>
      <c r="I601" t="str">
        <f t="shared" si="110"/>
        <v/>
      </c>
      <c r="J601" t="str">
        <f t="shared" si="111"/>
        <v/>
      </c>
    </row>
    <row r="602" spans="2:10">
      <c r="B602" t="str">
        <f t="shared" si="101"/>
        <v>Zabór</v>
      </c>
      <c r="C602" t="str">
        <f t="shared" si="105"/>
        <v/>
      </c>
      <c r="D602" t="str">
        <f t="shared" si="102"/>
        <v/>
      </c>
      <c r="E602" t="str">
        <f t="shared" si="106"/>
        <v/>
      </c>
      <c r="F602" t="str">
        <f t="shared" si="107"/>
        <v/>
      </c>
      <c r="G602" t="str">
        <f t="shared" si="108"/>
        <v/>
      </c>
      <c r="H602" t="str">
        <f t="shared" si="109"/>
        <v/>
      </c>
      <c r="I602" t="str">
        <f t="shared" si="110"/>
        <v/>
      </c>
      <c r="J602" t="str">
        <f t="shared" si="111"/>
        <v/>
      </c>
    </row>
    <row r="603" spans="2:10">
      <c r="B603" t="str">
        <f t="shared" si="101"/>
        <v>Zabór</v>
      </c>
      <c r="C603" t="str">
        <f t="shared" si="105"/>
        <v/>
      </c>
      <c r="D603" t="str">
        <f t="shared" si="102"/>
        <v/>
      </c>
      <c r="E603" t="str">
        <f t="shared" si="106"/>
        <v/>
      </c>
      <c r="F603" t="str">
        <f t="shared" si="107"/>
        <v/>
      </c>
      <c r="G603" t="str">
        <f t="shared" si="108"/>
        <v/>
      </c>
      <c r="H603" t="str">
        <f t="shared" si="109"/>
        <v/>
      </c>
      <c r="I603" t="str">
        <f t="shared" si="110"/>
        <v/>
      </c>
      <c r="J603" t="str">
        <f t="shared" si="111"/>
        <v/>
      </c>
    </row>
    <row r="604" spans="2:10">
      <c r="B604" t="str">
        <f t="shared" si="101"/>
        <v>Zabór</v>
      </c>
      <c r="C604" t="str">
        <f t="shared" si="105"/>
        <v/>
      </c>
      <c r="D604" t="str">
        <f t="shared" si="102"/>
        <v/>
      </c>
      <c r="E604" t="str">
        <f t="shared" si="106"/>
        <v/>
      </c>
      <c r="F604" t="str">
        <f t="shared" si="107"/>
        <v/>
      </c>
      <c r="G604" t="str">
        <f t="shared" si="108"/>
        <v/>
      </c>
      <c r="H604" t="str">
        <f t="shared" si="109"/>
        <v/>
      </c>
      <c r="I604" t="str">
        <f t="shared" si="110"/>
        <v/>
      </c>
      <c r="J604" t="str">
        <f t="shared" si="111"/>
        <v/>
      </c>
    </row>
    <row r="605" spans="2:10">
      <c r="B605" t="str">
        <f t="shared" si="101"/>
        <v>Zabór</v>
      </c>
      <c r="C605" t="str">
        <f t="shared" si="105"/>
        <v/>
      </c>
      <c r="D605" t="str">
        <f t="shared" si="102"/>
        <v/>
      </c>
      <c r="E605" t="str">
        <f t="shared" si="106"/>
        <v/>
      </c>
      <c r="F605" t="str">
        <f t="shared" si="107"/>
        <v/>
      </c>
      <c r="G605" t="str">
        <f t="shared" si="108"/>
        <v/>
      </c>
      <c r="H605" t="str">
        <f t="shared" si="109"/>
        <v/>
      </c>
      <c r="I605" t="str">
        <f t="shared" si="110"/>
        <v/>
      </c>
      <c r="J605" t="str">
        <f t="shared" si="111"/>
        <v/>
      </c>
    </row>
    <row r="606" spans="2:10">
      <c r="B606" t="str">
        <f t="shared" si="101"/>
        <v>Zabór</v>
      </c>
      <c r="C606" t="str">
        <f t="shared" si="105"/>
        <v/>
      </c>
      <c r="D606" t="str">
        <f t="shared" si="102"/>
        <v/>
      </c>
      <c r="E606" t="str">
        <f t="shared" si="106"/>
        <v/>
      </c>
      <c r="F606" t="str">
        <f t="shared" si="107"/>
        <v/>
      </c>
      <c r="G606" t="str">
        <f t="shared" si="108"/>
        <v/>
      </c>
      <c r="H606" t="str">
        <f t="shared" si="109"/>
        <v/>
      </c>
      <c r="I606" t="str">
        <f t="shared" si="110"/>
        <v/>
      </c>
      <c r="J606" t="str">
        <f t="shared" si="111"/>
        <v/>
      </c>
    </row>
    <row r="607" spans="2:10">
      <c r="B607" t="str">
        <f t="shared" si="101"/>
        <v>Zabór</v>
      </c>
      <c r="C607" t="str">
        <f t="shared" si="105"/>
        <v/>
      </c>
      <c r="D607" t="str">
        <f t="shared" si="102"/>
        <v/>
      </c>
      <c r="E607" t="str">
        <f t="shared" si="106"/>
        <v/>
      </c>
      <c r="F607" t="str">
        <f t="shared" si="107"/>
        <v/>
      </c>
      <c r="G607" t="str">
        <f t="shared" si="108"/>
        <v/>
      </c>
      <c r="H607" t="str">
        <f t="shared" si="109"/>
        <v/>
      </c>
      <c r="I607" t="str">
        <f t="shared" si="110"/>
        <v/>
      </c>
      <c r="J607" t="str">
        <f t="shared" si="111"/>
        <v/>
      </c>
    </row>
    <row r="608" spans="2:10">
      <c r="B608" t="str">
        <f t="shared" ref="B608:B671" si="112">+IF(AND(C608&gt;"",ISERR(FIND("DKK",A607))),A607,B607)</f>
        <v>Zabór</v>
      </c>
      <c r="C608" t="str">
        <f t="shared" si="105"/>
        <v/>
      </c>
      <c r="D608" t="str">
        <f t="shared" si="102"/>
        <v/>
      </c>
      <c r="E608" t="str">
        <f t="shared" si="106"/>
        <v/>
      </c>
      <c r="F608" t="str">
        <f t="shared" si="107"/>
        <v/>
      </c>
      <c r="G608" t="str">
        <f t="shared" si="108"/>
        <v/>
      </c>
      <c r="H608" t="str">
        <f t="shared" si="109"/>
        <v/>
      </c>
      <c r="I608" t="str">
        <f t="shared" si="110"/>
        <v/>
      </c>
      <c r="J608" t="str">
        <f t="shared" si="111"/>
        <v/>
      </c>
    </row>
    <row r="609" spans="2:10">
      <c r="B609" t="str">
        <f t="shared" si="112"/>
        <v>Zabór</v>
      </c>
      <c r="C609" t="str">
        <f t="shared" si="105"/>
        <v/>
      </c>
      <c r="D609" t="str">
        <f t="shared" si="102"/>
        <v/>
      </c>
      <c r="E609" t="str">
        <f t="shared" si="106"/>
        <v/>
      </c>
      <c r="F609" t="str">
        <f t="shared" si="107"/>
        <v/>
      </c>
      <c r="G609" t="str">
        <f t="shared" si="108"/>
        <v/>
      </c>
      <c r="H609" t="str">
        <f t="shared" si="109"/>
        <v/>
      </c>
      <c r="I609" t="str">
        <f t="shared" si="110"/>
        <v/>
      </c>
      <c r="J609" t="str">
        <f t="shared" si="111"/>
        <v/>
      </c>
    </row>
    <row r="610" spans="2:10">
      <c r="B610" t="str">
        <f t="shared" si="112"/>
        <v>Zabór</v>
      </c>
      <c r="C610" t="str">
        <f t="shared" si="105"/>
        <v/>
      </c>
      <c r="D610" t="str">
        <f t="shared" si="102"/>
        <v/>
      </c>
      <c r="E610" t="str">
        <f t="shared" si="106"/>
        <v/>
      </c>
      <c r="F610" t="str">
        <f t="shared" si="107"/>
        <v/>
      </c>
      <c r="G610" t="str">
        <f t="shared" si="108"/>
        <v/>
      </c>
      <c r="H610" t="str">
        <f t="shared" si="109"/>
        <v/>
      </c>
      <c r="I610" t="str">
        <f t="shared" si="110"/>
        <v/>
      </c>
      <c r="J610" t="str">
        <f t="shared" si="111"/>
        <v/>
      </c>
    </row>
    <row r="611" spans="2:10">
      <c r="B611" t="str">
        <f t="shared" si="112"/>
        <v>Zabór</v>
      </c>
      <c r="C611" t="str">
        <f t="shared" si="105"/>
        <v/>
      </c>
      <c r="D611" t="str">
        <f t="shared" si="102"/>
        <v/>
      </c>
      <c r="E611" t="str">
        <f t="shared" si="106"/>
        <v/>
      </c>
      <c r="F611" t="str">
        <f t="shared" si="107"/>
        <v/>
      </c>
      <c r="G611" t="str">
        <f t="shared" si="108"/>
        <v/>
      </c>
      <c r="H611" t="str">
        <f t="shared" si="109"/>
        <v/>
      </c>
      <c r="I611" t="str">
        <f t="shared" si="110"/>
        <v/>
      </c>
      <c r="J611" t="str">
        <f t="shared" si="111"/>
        <v/>
      </c>
    </row>
    <row r="612" spans="2:10">
      <c r="B612" t="str">
        <f t="shared" si="112"/>
        <v>Zabór</v>
      </c>
      <c r="C612" t="str">
        <f t="shared" si="105"/>
        <v/>
      </c>
      <c r="D612" t="str">
        <f t="shared" si="102"/>
        <v/>
      </c>
      <c r="E612" t="str">
        <f t="shared" si="106"/>
        <v/>
      </c>
      <c r="F612" t="str">
        <f t="shared" si="107"/>
        <v/>
      </c>
      <c r="G612" t="str">
        <f t="shared" si="108"/>
        <v/>
      </c>
      <c r="H612" t="str">
        <f t="shared" si="109"/>
        <v/>
      </c>
      <c r="I612" t="str">
        <f t="shared" si="110"/>
        <v/>
      </c>
      <c r="J612" t="str">
        <f t="shared" si="111"/>
        <v/>
      </c>
    </row>
    <row r="613" spans="2:10">
      <c r="B613" t="str">
        <f t="shared" si="112"/>
        <v>Zabór</v>
      </c>
      <c r="C613" t="str">
        <f t="shared" si="105"/>
        <v/>
      </c>
      <c r="D613" t="str">
        <f t="shared" si="102"/>
        <v/>
      </c>
      <c r="E613" t="str">
        <f t="shared" si="106"/>
        <v/>
      </c>
      <c r="F613" t="str">
        <f t="shared" si="107"/>
        <v/>
      </c>
      <c r="G613" t="str">
        <f t="shared" si="108"/>
        <v/>
      </c>
      <c r="H613" t="str">
        <f t="shared" si="109"/>
        <v/>
      </c>
      <c r="I613" t="str">
        <f t="shared" si="110"/>
        <v/>
      </c>
      <c r="J613" t="str">
        <f t="shared" si="111"/>
        <v/>
      </c>
    </row>
    <row r="614" spans="2:10">
      <c r="B614" t="str">
        <f t="shared" si="112"/>
        <v>Zabór</v>
      </c>
      <c r="C614" t="str">
        <f t="shared" si="105"/>
        <v/>
      </c>
      <c r="D614" t="str">
        <f t="shared" si="102"/>
        <v/>
      </c>
      <c r="E614" t="str">
        <f t="shared" si="106"/>
        <v/>
      </c>
      <c r="F614" t="str">
        <f t="shared" si="107"/>
        <v/>
      </c>
      <c r="G614" t="str">
        <f t="shared" si="108"/>
        <v/>
      </c>
      <c r="H614" t="str">
        <f t="shared" si="109"/>
        <v/>
      </c>
      <c r="I614" t="str">
        <f t="shared" si="110"/>
        <v/>
      </c>
      <c r="J614" t="str">
        <f t="shared" si="111"/>
        <v/>
      </c>
    </row>
    <row r="615" spans="2:10">
      <c r="B615" t="str">
        <f t="shared" si="112"/>
        <v>Zabór</v>
      </c>
      <c r="C615" t="str">
        <f t="shared" si="105"/>
        <v/>
      </c>
      <c r="D615" t="str">
        <f t="shared" si="102"/>
        <v/>
      </c>
      <c r="E615" t="str">
        <f t="shared" si="106"/>
        <v/>
      </c>
      <c r="F615" t="str">
        <f t="shared" si="107"/>
        <v/>
      </c>
      <c r="G615" t="str">
        <f t="shared" si="108"/>
        <v/>
      </c>
      <c r="H615" t="str">
        <f t="shared" si="109"/>
        <v/>
      </c>
      <c r="I615" t="str">
        <f t="shared" si="110"/>
        <v/>
      </c>
      <c r="J615" t="str">
        <f t="shared" si="111"/>
        <v/>
      </c>
    </row>
    <row r="616" spans="2:10">
      <c r="B616" t="str">
        <f t="shared" si="112"/>
        <v>Zabór</v>
      </c>
      <c r="C616" t="str">
        <f t="shared" si="105"/>
        <v/>
      </c>
      <c r="D616" t="str">
        <f t="shared" si="102"/>
        <v/>
      </c>
      <c r="E616" t="str">
        <f t="shared" si="106"/>
        <v/>
      </c>
      <c r="F616" t="str">
        <f t="shared" si="107"/>
        <v/>
      </c>
      <c r="G616" t="str">
        <f t="shared" si="108"/>
        <v/>
      </c>
      <c r="H616" t="str">
        <f t="shared" si="109"/>
        <v/>
      </c>
      <c r="I616" t="str">
        <f t="shared" si="110"/>
        <v/>
      </c>
      <c r="J616" t="str">
        <f t="shared" si="111"/>
        <v/>
      </c>
    </row>
    <row r="617" spans="2:10">
      <c r="B617" t="str">
        <f t="shared" si="112"/>
        <v>Zabór</v>
      </c>
      <c r="C617" t="str">
        <f t="shared" si="105"/>
        <v/>
      </c>
      <c r="D617" t="str">
        <f t="shared" si="102"/>
        <v/>
      </c>
      <c r="E617" t="str">
        <f t="shared" si="106"/>
        <v/>
      </c>
      <c r="F617" t="str">
        <f t="shared" si="107"/>
        <v/>
      </c>
      <c r="G617" t="str">
        <f t="shared" si="108"/>
        <v/>
      </c>
      <c r="H617" t="str">
        <f t="shared" si="109"/>
        <v/>
      </c>
      <c r="I617" t="str">
        <f t="shared" si="110"/>
        <v/>
      </c>
      <c r="J617" t="str">
        <f t="shared" si="111"/>
        <v/>
      </c>
    </row>
    <row r="618" spans="2:10">
      <c r="B618" t="str">
        <f t="shared" si="112"/>
        <v>Zabór</v>
      </c>
      <c r="C618" t="str">
        <f t="shared" si="105"/>
        <v/>
      </c>
      <c r="D618" t="str">
        <f t="shared" si="102"/>
        <v/>
      </c>
      <c r="E618" t="str">
        <f t="shared" si="106"/>
        <v/>
      </c>
      <c r="F618" t="str">
        <f t="shared" si="107"/>
        <v/>
      </c>
      <c r="G618" t="str">
        <f t="shared" si="108"/>
        <v/>
      </c>
      <c r="H618" t="str">
        <f t="shared" si="109"/>
        <v/>
      </c>
      <c r="I618" t="str">
        <f t="shared" si="110"/>
        <v/>
      </c>
      <c r="J618" t="str">
        <f t="shared" si="111"/>
        <v/>
      </c>
    </row>
    <row r="619" spans="2:10">
      <c r="B619" t="str">
        <f t="shared" si="112"/>
        <v>Zabór</v>
      </c>
      <c r="C619" t="str">
        <f t="shared" si="105"/>
        <v/>
      </c>
      <c r="D619" t="str">
        <f t="shared" ref="D619:D682" si="113">IF(C619&gt;"",A620,"")</f>
        <v/>
      </c>
      <c r="E619" t="str">
        <f t="shared" si="106"/>
        <v/>
      </c>
      <c r="F619" t="str">
        <f t="shared" si="107"/>
        <v/>
      </c>
      <c r="G619" t="str">
        <f t="shared" si="108"/>
        <v/>
      </c>
      <c r="H619" t="str">
        <f t="shared" si="109"/>
        <v/>
      </c>
      <c r="I619" t="str">
        <f t="shared" si="110"/>
        <v/>
      </c>
      <c r="J619" t="str">
        <f t="shared" si="111"/>
        <v/>
      </c>
    </row>
    <row r="620" spans="2:10">
      <c r="B620" t="str">
        <f t="shared" si="112"/>
        <v>Zabór</v>
      </c>
      <c r="C620" t="str">
        <f t="shared" si="105"/>
        <v/>
      </c>
      <c r="D620" t="str">
        <f t="shared" si="113"/>
        <v/>
      </c>
      <c r="E620" t="str">
        <f t="shared" si="106"/>
        <v/>
      </c>
      <c r="F620" t="str">
        <f t="shared" si="107"/>
        <v/>
      </c>
      <c r="G620" t="str">
        <f t="shared" si="108"/>
        <v/>
      </c>
      <c r="H620" t="str">
        <f t="shared" si="109"/>
        <v/>
      </c>
      <c r="I620" t="str">
        <f t="shared" si="110"/>
        <v/>
      </c>
      <c r="J620" t="str">
        <f t="shared" si="111"/>
        <v/>
      </c>
    </row>
    <row r="621" spans="2:10">
      <c r="B621" t="str">
        <f t="shared" si="112"/>
        <v>Zabór</v>
      </c>
      <c r="C621" t="str">
        <f t="shared" si="105"/>
        <v/>
      </c>
      <c r="D621" t="str">
        <f t="shared" si="113"/>
        <v/>
      </c>
      <c r="E621" t="str">
        <f t="shared" si="106"/>
        <v/>
      </c>
      <c r="F621" t="str">
        <f t="shared" si="107"/>
        <v/>
      </c>
      <c r="G621" t="str">
        <f t="shared" si="108"/>
        <v/>
      </c>
      <c r="H621" t="str">
        <f t="shared" si="109"/>
        <v/>
      </c>
      <c r="I621" t="str">
        <f t="shared" si="110"/>
        <v/>
      </c>
      <c r="J621" t="str">
        <f t="shared" si="111"/>
        <v/>
      </c>
    </row>
    <row r="622" spans="2:10">
      <c r="B622" t="str">
        <f t="shared" si="112"/>
        <v>Zabór</v>
      </c>
      <c r="C622" t="str">
        <f t="shared" si="105"/>
        <v/>
      </c>
      <c r="D622" t="str">
        <f t="shared" si="113"/>
        <v/>
      </c>
      <c r="E622" t="str">
        <f t="shared" si="106"/>
        <v/>
      </c>
      <c r="F622" t="str">
        <f t="shared" si="107"/>
        <v/>
      </c>
      <c r="G622" t="str">
        <f t="shared" si="108"/>
        <v/>
      </c>
      <c r="H622" t="str">
        <f t="shared" si="109"/>
        <v/>
      </c>
      <c r="I622" t="str">
        <f t="shared" si="110"/>
        <v/>
      </c>
      <c r="J622" t="str">
        <f t="shared" si="111"/>
        <v/>
      </c>
    </row>
    <row r="623" spans="2:10">
      <c r="B623" t="str">
        <f t="shared" si="112"/>
        <v>Zabór</v>
      </c>
      <c r="C623" t="str">
        <f t="shared" si="105"/>
        <v/>
      </c>
      <c r="D623" t="str">
        <f t="shared" si="113"/>
        <v/>
      </c>
      <c r="E623" t="str">
        <f t="shared" si="106"/>
        <v/>
      </c>
      <c r="F623" t="str">
        <f t="shared" si="107"/>
        <v/>
      </c>
      <c r="G623" t="str">
        <f t="shared" si="108"/>
        <v/>
      </c>
      <c r="H623" t="str">
        <f t="shared" si="109"/>
        <v/>
      </c>
      <c r="I623" t="str">
        <f t="shared" si="110"/>
        <v/>
      </c>
      <c r="J623" t="str">
        <f t="shared" si="111"/>
        <v/>
      </c>
    </row>
    <row r="624" spans="2:10">
      <c r="B624" t="str">
        <f t="shared" si="112"/>
        <v>Zabór</v>
      </c>
      <c r="C624" t="str">
        <f t="shared" si="105"/>
        <v/>
      </c>
      <c r="D624" t="str">
        <f t="shared" si="113"/>
        <v/>
      </c>
      <c r="E624" t="str">
        <f t="shared" si="106"/>
        <v/>
      </c>
      <c r="F624" t="str">
        <f t="shared" si="107"/>
        <v/>
      </c>
      <c r="G624" t="str">
        <f t="shared" si="108"/>
        <v/>
      </c>
      <c r="H624" t="str">
        <f t="shared" si="109"/>
        <v/>
      </c>
      <c r="I624" t="str">
        <f t="shared" si="110"/>
        <v/>
      </c>
      <c r="J624" t="str">
        <f t="shared" si="111"/>
        <v/>
      </c>
    </row>
    <row r="625" spans="2:10">
      <c r="B625" t="str">
        <f t="shared" si="112"/>
        <v>Zabór</v>
      </c>
      <c r="C625" t="str">
        <f t="shared" si="105"/>
        <v/>
      </c>
      <c r="D625" t="str">
        <f t="shared" si="113"/>
        <v/>
      </c>
      <c r="E625" t="str">
        <f t="shared" si="106"/>
        <v/>
      </c>
      <c r="F625" t="str">
        <f t="shared" si="107"/>
        <v/>
      </c>
      <c r="G625" t="str">
        <f t="shared" si="108"/>
        <v/>
      </c>
      <c r="H625" t="str">
        <f t="shared" si="109"/>
        <v/>
      </c>
      <c r="I625" t="str">
        <f t="shared" si="110"/>
        <v/>
      </c>
      <c r="J625" t="str">
        <f t="shared" si="111"/>
        <v/>
      </c>
    </row>
    <row r="626" spans="2:10">
      <c r="B626" t="str">
        <f t="shared" si="112"/>
        <v>Zabór</v>
      </c>
      <c r="C626" t="str">
        <f t="shared" si="105"/>
        <v/>
      </c>
      <c r="D626" t="str">
        <f t="shared" si="113"/>
        <v/>
      </c>
      <c r="E626" t="str">
        <f t="shared" si="106"/>
        <v/>
      </c>
      <c r="F626" t="str">
        <f t="shared" si="107"/>
        <v/>
      </c>
      <c r="G626" t="str">
        <f t="shared" si="108"/>
        <v/>
      </c>
      <c r="H626" t="str">
        <f t="shared" si="109"/>
        <v/>
      </c>
      <c r="I626" t="str">
        <f t="shared" si="110"/>
        <v/>
      </c>
      <c r="J626" t="str">
        <f t="shared" si="111"/>
        <v/>
      </c>
    </row>
    <row r="627" spans="2:10">
      <c r="B627" t="str">
        <f t="shared" si="112"/>
        <v>Zabór</v>
      </c>
      <c r="C627" t="str">
        <f t="shared" si="105"/>
        <v/>
      </c>
      <c r="D627" t="str">
        <f t="shared" si="113"/>
        <v/>
      </c>
      <c r="E627" t="str">
        <f t="shared" si="106"/>
        <v/>
      </c>
      <c r="F627" t="str">
        <f t="shared" si="107"/>
        <v/>
      </c>
      <c r="G627" t="str">
        <f t="shared" si="108"/>
        <v/>
      </c>
      <c r="H627" t="str">
        <f t="shared" si="109"/>
        <v/>
      </c>
      <c r="I627" t="str">
        <f t="shared" si="110"/>
        <v/>
      </c>
      <c r="J627" t="str">
        <f t="shared" si="111"/>
        <v/>
      </c>
    </row>
    <row r="628" spans="2:10">
      <c r="B628" t="str">
        <f t="shared" si="112"/>
        <v>Zabór</v>
      </c>
      <c r="C628" t="str">
        <f t="shared" si="105"/>
        <v/>
      </c>
      <c r="D628" t="str">
        <f t="shared" si="113"/>
        <v/>
      </c>
      <c r="E628" t="str">
        <f t="shared" si="106"/>
        <v/>
      </c>
      <c r="F628" t="str">
        <f t="shared" si="107"/>
        <v/>
      </c>
      <c r="G628" t="str">
        <f t="shared" si="108"/>
        <v/>
      </c>
      <c r="H628" t="str">
        <f t="shared" si="109"/>
        <v/>
      </c>
      <c r="I628" t="str">
        <f t="shared" si="110"/>
        <v/>
      </c>
      <c r="J628" t="str">
        <f t="shared" si="111"/>
        <v/>
      </c>
    </row>
    <row r="629" spans="2:10">
      <c r="B629" t="str">
        <f t="shared" si="112"/>
        <v>Zabór</v>
      </c>
      <c r="C629" t="str">
        <f t="shared" si="105"/>
        <v/>
      </c>
      <c r="D629" t="str">
        <f t="shared" si="113"/>
        <v/>
      </c>
      <c r="E629" t="str">
        <f t="shared" si="106"/>
        <v/>
      </c>
      <c r="F629" t="str">
        <f t="shared" si="107"/>
        <v/>
      </c>
      <c r="G629" t="str">
        <f t="shared" si="108"/>
        <v/>
      </c>
      <c r="H629" t="str">
        <f t="shared" si="109"/>
        <v/>
      </c>
      <c r="I629" t="str">
        <f t="shared" si="110"/>
        <v/>
      </c>
      <c r="J629" t="str">
        <f t="shared" si="111"/>
        <v/>
      </c>
    </row>
    <row r="630" spans="2:10">
      <c r="B630" t="str">
        <f t="shared" si="112"/>
        <v>Zabór</v>
      </c>
      <c r="C630" t="str">
        <f t="shared" si="105"/>
        <v/>
      </c>
      <c r="D630" t="str">
        <f t="shared" si="113"/>
        <v/>
      </c>
      <c r="E630" t="str">
        <f t="shared" si="106"/>
        <v/>
      </c>
      <c r="F630" t="str">
        <f t="shared" si="107"/>
        <v/>
      </c>
      <c r="G630" t="str">
        <f t="shared" si="108"/>
        <v/>
      </c>
      <c r="H630" t="str">
        <f t="shared" si="109"/>
        <v/>
      </c>
      <c r="I630" t="str">
        <f t="shared" si="110"/>
        <v/>
      </c>
      <c r="J630" t="str">
        <f t="shared" si="111"/>
        <v/>
      </c>
    </row>
    <row r="631" spans="2:10">
      <c r="B631" t="str">
        <f t="shared" si="112"/>
        <v>Zabór</v>
      </c>
      <c r="C631" t="str">
        <f t="shared" si="105"/>
        <v/>
      </c>
      <c r="D631" t="str">
        <f t="shared" si="113"/>
        <v/>
      </c>
      <c r="E631" t="str">
        <f t="shared" si="106"/>
        <v/>
      </c>
      <c r="F631" t="str">
        <f t="shared" si="107"/>
        <v/>
      </c>
      <c r="G631" t="str">
        <f t="shared" si="108"/>
        <v/>
      </c>
      <c r="H631" t="str">
        <f t="shared" si="109"/>
        <v/>
      </c>
      <c r="I631" t="str">
        <f t="shared" si="110"/>
        <v/>
      </c>
      <c r="J631" t="str">
        <f t="shared" si="111"/>
        <v/>
      </c>
    </row>
    <row r="632" spans="2:10">
      <c r="B632" t="str">
        <f t="shared" si="112"/>
        <v>Zabór</v>
      </c>
      <c r="C632" t="str">
        <f t="shared" si="105"/>
        <v/>
      </c>
      <c r="D632" t="str">
        <f t="shared" si="113"/>
        <v/>
      </c>
      <c r="E632" t="str">
        <f t="shared" si="106"/>
        <v/>
      </c>
      <c r="F632" t="str">
        <f t="shared" si="107"/>
        <v/>
      </c>
      <c r="G632" t="str">
        <f t="shared" si="108"/>
        <v/>
      </c>
      <c r="H632" t="str">
        <f t="shared" si="109"/>
        <v/>
      </c>
      <c r="I632" t="str">
        <f t="shared" si="110"/>
        <v/>
      </c>
      <c r="J632" t="str">
        <f t="shared" si="111"/>
        <v/>
      </c>
    </row>
    <row r="633" spans="2:10">
      <c r="B633" t="str">
        <f t="shared" si="112"/>
        <v>Zabór</v>
      </c>
      <c r="C633" t="str">
        <f t="shared" si="105"/>
        <v/>
      </c>
      <c r="D633" t="str">
        <f t="shared" si="113"/>
        <v/>
      </c>
      <c r="E633" t="str">
        <f t="shared" si="106"/>
        <v/>
      </c>
      <c r="F633" t="str">
        <f t="shared" si="107"/>
        <v/>
      </c>
      <c r="G633" t="str">
        <f t="shared" si="108"/>
        <v/>
      </c>
      <c r="H633" t="str">
        <f t="shared" si="109"/>
        <v/>
      </c>
      <c r="I633" t="str">
        <f t="shared" si="110"/>
        <v/>
      </c>
      <c r="J633" t="str">
        <f t="shared" si="111"/>
        <v/>
      </c>
    </row>
    <row r="634" spans="2:10">
      <c r="B634" t="str">
        <f t="shared" si="112"/>
        <v>Zabór</v>
      </c>
      <c r="C634" t="str">
        <f t="shared" si="105"/>
        <v/>
      </c>
      <c r="D634" t="str">
        <f t="shared" si="113"/>
        <v/>
      </c>
      <c r="E634" t="str">
        <f t="shared" si="106"/>
        <v/>
      </c>
      <c r="F634" t="str">
        <f t="shared" si="107"/>
        <v/>
      </c>
      <c r="G634" t="str">
        <f t="shared" si="108"/>
        <v/>
      </c>
      <c r="H634" t="str">
        <f t="shared" si="109"/>
        <v/>
      </c>
      <c r="I634" t="str">
        <f t="shared" si="110"/>
        <v/>
      </c>
      <c r="J634" t="str">
        <f t="shared" si="111"/>
        <v/>
      </c>
    </row>
    <row r="635" spans="2:10">
      <c r="B635" t="str">
        <f t="shared" si="112"/>
        <v>Zabór</v>
      </c>
      <c r="C635" t="str">
        <f t="shared" si="105"/>
        <v/>
      </c>
      <c r="D635" t="str">
        <f t="shared" si="113"/>
        <v/>
      </c>
      <c r="E635" t="str">
        <f t="shared" si="106"/>
        <v/>
      </c>
      <c r="F635" t="str">
        <f t="shared" si="107"/>
        <v/>
      </c>
      <c r="G635" t="str">
        <f t="shared" si="108"/>
        <v/>
      </c>
      <c r="H635" t="str">
        <f t="shared" si="109"/>
        <v/>
      </c>
      <c r="I635" t="str">
        <f t="shared" si="110"/>
        <v/>
      </c>
      <c r="J635" t="str">
        <f t="shared" si="111"/>
        <v/>
      </c>
    </row>
    <row r="636" spans="2:10">
      <c r="B636" t="str">
        <f t="shared" si="112"/>
        <v>Zabór</v>
      </c>
      <c r="C636" t="str">
        <f t="shared" si="105"/>
        <v/>
      </c>
      <c r="D636" t="str">
        <f t="shared" si="113"/>
        <v/>
      </c>
      <c r="E636" t="str">
        <f t="shared" si="106"/>
        <v/>
      </c>
      <c r="F636" t="str">
        <f t="shared" si="107"/>
        <v/>
      </c>
      <c r="G636" t="str">
        <f t="shared" si="108"/>
        <v/>
      </c>
      <c r="H636" t="str">
        <f t="shared" si="109"/>
        <v/>
      </c>
      <c r="I636" t="str">
        <f t="shared" si="110"/>
        <v/>
      </c>
      <c r="J636" t="str">
        <f t="shared" si="111"/>
        <v/>
      </c>
    </row>
    <row r="637" spans="2:10">
      <c r="B637" t="str">
        <f t="shared" si="112"/>
        <v>Zabór</v>
      </c>
      <c r="C637" t="str">
        <f t="shared" si="105"/>
        <v/>
      </c>
      <c r="D637" t="str">
        <f t="shared" si="113"/>
        <v/>
      </c>
      <c r="E637" t="str">
        <f t="shared" si="106"/>
        <v/>
      </c>
      <c r="F637" t="str">
        <f t="shared" si="107"/>
        <v/>
      </c>
      <c r="G637" t="str">
        <f t="shared" si="108"/>
        <v/>
      </c>
      <c r="H637" t="str">
        <f t="shared" si="109"/>
        <v/>
      </c>
      <c r="I637" t="str">
        <f t="shared" si="110"/>
        <v/>
      </c>
      <c r="J637" t="str">
        <f t="shared" si="111"/>
        <v/>
      </c>
    </row>
    <row r="638" spans="2:10">
      <c r="B638" t="str">
        <f t="shared" si="112"/>
        <v>Zabór</v>
      </c>
      <c r="C638" t="str">
        <f t="shared" si="105"/>
        <v/>
      </c>
      <c r="D638" t="str">
        <f t="shared" si="113"/>
        <v/>
      </c>
      <c r="E638" t="str">
        <f t="shared" si="106"/>
        <v/>
      </c>
      <c r="F638" t="str">
        <f t="shared" si="107"/>
        <v/>
      </c>
      <c r="G638" t="str">
        <f t="shared" si="108"/>
        <v/>
      </c>
      <c r="H638" t="str">
        <f t="shared" si="109"/>
        <v/>
      </c>
      <c r="I638" t="str">
        <f t="shared" si="110"/>
        <v/>
      </c>
      <c r="J638" t="str">
        <f t="shared" si="111"/>
        <v/>
      </c>
    </row>
    <row r="639" spans="2:10">
      <c r="B639" t="str">
        <f t="shared" si="112"/>
        <v>Zabór</v>
      </c>
      <c r="C639" t="str">
        <f t="shared" si="105"/>
        <v/>
      </c>
      <c r="D639" t="str">
        <f t="shared" si="113"/>
        <v/>
      </c>
      <c r="E639" t="str">
        <f t="shared" si="106"/>
        <v/>
      </c>
      <c r="F639" t="str">
        <f t="shared" si="107"/>
        <v/>
      </c>
      <c r="G639" t="str">
        <f t="shared" si="108"/>
        <v/>
      </c>
      <c r="H639" t="str">
        <f t="shared" si="109"/>
        <v/>
      </c>
      <c r="I639" t="str">
        <f t="shared" si="110"/>
        <v/>
      </c>
      <c r="J639" t="str">
        <f t="shared" si="111"/>
        <v/>
      </c>
    </row>
    <row r="640" spans="2:10">
      <c r="B640" t="str">
        <f t="shared" si="112"/>
        <v>Zabór</v>
      </c>
      <c r="C640" t="str">
        <f t="shared" si="105"/>
        <v/>
      </c>
      <c r="D640" t="str">
        <f t="shared" si="113"/>
        <v/>
      </c>
      <c r="E640" t="str">
        <f t="shared" si="106"/>
        <v/>
      </c>
      <c r="F640" t="str">
        <f t="shared" si="107"/>
        <v/>
      </c>
      <c r="G640" t="str">
        <f t="shared" si="108"/>
        <v/>
      </c>
      <c r="H640" t="str">
        <f t="shared" si="109"/>
        <v/>
      </c>
      <c r="I640" t="str">
        <f t="shared" si="110"/>
        <v/>
      </c>
      <c r="J640" t="str">
        <f t="shared" si="111"/>
        <v/>
      </c>
    </row>
    <row r="641" spans="2:10">
      <c r="B641" t="str">
        <f t="shared" si="112"/>
        <v>Zabór</v>
      </c>
      <c r="C641" t="str">
        <f t="shared" si="105"/>
        <v/>
      </c>
      <c r="D641" t="str">
        <f t="shared" si="113"/>
        <v/>
      </c>
      <c r="E641" t="str">
        <f t="shared" si="106"/>
        <v/>
      </c>
      <c r="F641" t="str">
        <f t="shared" si="107"/>
        <v/>
      </c>
      <c r="G641" t="str">
        <f t="shared" si="108"/>
        <v/>
      </c>
      <c r="H641" t="str">
        <f t="shared" si="109"/>
        <v/>
      </c>
      <c r="I641" t="str">
        <f t="shared" si="110"/>
        <v/>
      </c>
      <c r="J641" t="str">
        <f t="shared" si="111"/>
        <v/>
      </c>
    </row>
    <row r="642" spans="2:10">
      <c r="B642" t="str">
        <f t="shared" si="112"/>
        <v>Zabór</v>
      </c>
      <c r="C642" t="str">
        <f t="shared" si="105"/>
        <v/>
      </c>
      <c r="D642" t="str">
        <f t="shared" si="113"/>
        <v/>
      </c>
      <c r="E642" t="str">
        <f t="shared" si="106"/>
        <v/>
      </c>
      <c r="F642" t="str">
        <f t="shared" si="107"/>
        <v/>
      </c>
      <c r="G642" t="str">
        <f t="shared" si="108"/>
        <v/>
      </c>
      <c r="H642" t="str">
        <f t="shared" si="109"/>
        <v/>
      </c>
      <c r="I642" t="str">
        <f t="shared" si="110"/>
        <v/>
      </c>
      <c r="J642" t="str">
        <f t="shared" si="111"/>
        <v/>
      </c>
    </row>
    <row r="643" spans="2:10">
      <c r="B643" t="str">
        <f t="shared" si="112"/>
        <v>Zabór</v>
      </c>
      <c r="C643" t="str">
        <f t="shared" si="105"/>
        <v/>
      </c>
      <c r="D643" t="str">
        <f t="shared" si="113"/>
        <v/>
      </c>
      <c r="E643" t="str">
        <f t="shared" si="106"/>
        <v/>
      </c>
      <c r="F643" t="str">
        <f t="shared" si="107"/>
        <v/>
      </c>
      <c r="G643" t="str">
        <f t="shared" si="108"/>
        <v/>
      </c>
      <c r="H643" t="str">
        <f t="shared" si="109"/>
        <v/>
      </c>
      <c r="I643" t="str">
        <f t="shared" si="110"/>
        <v/>
      </c>
      <c r="J643" t="str">
        <f t="shared" si="111"/>
        <v/>
      </c>
    </row>
    <row r="644" spans="2:10">
      <c r="B644" t="str">
        <f t="shared" si="112"/>
        <v>Zabór</v>
      </c>
      <c r="C644" t="str">
        <f t="shared" si="105"/>
        <v/>
      </c>
      <c r="D644" t="str">
        <f t="shared" si="113"/>
        <v/>
      </c>
      <c r="E644" t="str">
        <f t="shared" si="106"/>
        <v/>
      </c>
      <c r="F644" t="str">
        <f t="shared" si="107"/>
        <v/>
      </c>
      <c r="G644" t="str">
        <f t="shared" si="108"/>
        <v/>
      </c>
      <c r="H644" t="str">
        <f t="shared" si="109"/>
        <v/>
      </c>
      <c r="I644" t="str">
        <f t="shared" si="110"/>
        <v/>
      </c>
      <c r="J644" t="str">
        <f t="shared" si="111"/>
        <v/>
      </c>
    </row>
    <row r="645" spans="2:10">
      <c r="B645" t="str">
        <f t="shared" si="112"/>
        <v>Zabór</v>
      </c>
      <c r="C645" t="str">
        <f t="shared" si="105"/>
        <v/>
      </c>
      <c r="D645" t="str">
        <f t="shared" si="113"/>
        <v/>
      </c>
      <c r="E645" t="str">
        <f t="shared" si="106"/>
        <v/>
      </c>
      <c r="F645" t="str">
        <f t="shared" si="107"/>
        <v/>
      </c>
      <c r="G645" t="str">
        <f t="shared" si="108"/>
        <v/>
      </c>
      <c r="H645" t="str">
        <f t="shared" si="109"/>
        <v/>
      </c>
      <c r="I645" t="str">
        <f t="shared" si="110"/>
        <v/>
      </c>
      <c r="J645" t="str">
        <f t="shared" si="111"/>
        <v/>
      </c>
    </row>
    <row r="646" spans="2:10">
      <c r="B646" t="str">
        <f t="shared" si="112"/>
        <v>Zabór</v>
      </c>
      <c r="C646" t="str">
        <f t="shared" ref="C646:C709" si="114">IF(ISERR(FIND($C$1,A646,1)),"",A646)</f>
        <v/>
      </c>
      <c r="D646" t="str">
        <f t="shared" si="113"/>
        <v/>
      </c>
      <c r="E646" t="str">
        <f t="shared" ref="E646:E709" si="115">IF(C646&gt;"",A648,"")</f>
        <v/>
      </c>
      <c r="F646" t="str">
        <f t="shared" ref="F646:F709" si="116">IF(E646&gt;"",MID(A649,FIND("tel.",A649)+4,15),"")</f>
        <v/>
      </c>
      <c r="G646" t="str">
        <f t="shared" ref="G646:G709" si="117">IF(E646&gt;"",MID(A650,FIND(":",A650)+2,60),"")</f>
        <v/>
      </c>
      <c r="H646" t="str">
        <f t="shared" ref="H646:H709" si="118">IF(E646&gt;"",MID(A651,FIND("e-mail:",A651)+8,100),"")</f>
        <v/>
      </c>
      <c r="I646" t="str">
        <f t="shared" ref="I646:I709" si="119">IF(E646&gt;"",IF(ISERR(FIND("DKK",A652)),"",A652),"")</f>
        <v/>
      </c>
      <c r="J646" t="str">
        <f t="shared" ref="J646:J709" si="120">IF(E646&gt;"",IF(ISERR(FIND("DKK",A653)),"",A653),"")</f>
        <v/>
      </c>
    </row>
    <row r="647" spans="2:10">
      <c r="B647" t="str">
        <f t="shared" si="112"/>
        <v>Zabór</v>
      </c>
      <c r="C647" t="str">
        <f t="shared" si="114"/>
        <v/>
      </c>
      <c r="D647" t="str">
        <f t="shared" si="113"/>
        <v/>
      </c>
      <c r="E647" t="str">
        <f t="shared" si="115"/>
        <v/>
      </c>
      <c r="F647" t="str">
        <f t="shared" si="116"/>
        <v/>
      </c>
      <c r="G647" t="str">
        <f t="shared" si="117"/>
        <v/>
      </c>
      <c r="H647" t="str">
        <f t="shared" si="118"/>
        <v/>
      </c>
      <c r="I647" t="str">
        <f t="shared" si="119"/>
        <v/>
      </c>
      <c r="J647" t="str">
        <f t="shared" si="120"/>
        <v/>
      </c>
    </row>
    <row r="648" spans="2:10">
      <c r="B648" t="str">
        <f t="shared" si="112"/>
        <v>Zabór</v>
      </c>
      <c r="C648" t="str">
        <f t="shared" si="114"/>
        <v/>
      </c>
      <c r="D648" t="str">
        <f t="shared" si="113"/>
        <v/>
      </c>
      <c r="E648" t="str">
        <f t="shared" si="115"/>
        <v/>
      </c>
      <c r="F648" t="str">
        <f t="shared" si="116"/>
        <v/>
      </c>
      <c r="G648" t="str">
        <f t="shared" si="117"/>
        <v/>
      </c>
      <c r="H648" t="str">
        <f t="shared" si="118"/>
        <v/>
      </c>
      <c r="I648" t="str">
        <f t="shared" si="119"/>
        <v/>
      </c>
      <c r="J648" t="str">
        <f t="shared" si="120"/>
        <v/>
      </c>
    </row>
    <row r="649" spans="2:10">
      <c r="B649" t="str">
        <f t="shared" si="112"/>
        <v>Zabór</v>
      </c>
      <c r="C649" t="str">
        <f t="shared" si="114"/>
        <v/>
      </c>
      <c r="D649" t="str">
        <f t="shared" si="113"/>
        <v/>
      </c>
      <c r="E649" t="str">
        <f t="shared" si="115"/>
        <v/>
      </c>
      <c r="F649" t="str">
        <f t="shared" si="116"/>
        <v/>
      </c>
      <c r="G649" t="str">
        <f t="shared" si="117"/>
        <v/>
      </c>
      <c r="H649" t="str">
        <f t="shared" si="118"/>
        <v/>
      </c>
      <c r="I649" t="str">
        <f t="shared" si="119"/>
        <v/>
      </c>
      <c r="J649" t="str">
        <f t="shared" si="120"/>
        <v/>
      </c>
    </row>
    <row r="650" spans="2:10">
      <c r="B650" t="str">
        <f t="shared" si="112"/>
        <v>Zabór</v>
      </c>
      <c r="C650" t="str">
        <f t="shared" si="114"/>
        <v/>
      </c>
      <c r="D650" t="str">
        <f t="shared" si="113"/>
        <v/>
      </c>
      <c r="E650" t="str">
        <f t="shared" si="115"/>
        <v/>
      </c>
      <c r="F650" t="str">
        <f t="shared" si="116"/>
        <v/>
      </c>
      <c r="G650" t="str">
        <f t="shared" si="117"/>
        <v/>
      </c>
      <c r="H650" t="str">
        <f t="shared" si="118"/>
        <v/>
      </c>
      <c r="I650" t="str">
        <f t="shared" si="119"/>
        <v/>
      </c>
      <c r="J650" t="str">
        <f t="shared" si="120"/>
        <v/>
      </c>
    </row>
    <row r="651" spans="2:10">
      <c r="B651" t="str">
        <f t="shared" si="112"/>
        <v>Zabór</v>
      </c>
      <c r="C651" t="str">
        <f t="shared" si="114"/>
        <v/>
      </c>
      <c r="D651" t="str">
        <f t="shared" si="113"/>
        <v/>
      </c>
      <c r="E651" t="str">
        <f t="shared" si="115"/>
        <v/>
      </c>
      <c r="F651" t="str">
        <f t="shared" si="116"/>
        <v/>
      </c>
      <c r="G651" t="str">
        <f t="shared" si="117"/>
        <v/>
      </c>
      <c r="H651" t="str">
        <f t="shared" si="118"/>
        <v/>
      </c>
      <c r="I651" t="str">
        <f t="shared" si="119"/>
        <v/>
      </c>
      <c r="J651" t="str">
        <f t="shared" si="120"/>
        <v/>
      </c>
    </row>
    <row r="652" spans="2:10">
      <c r="B652" t="str">
        <f t="shared" si="112"/>
        <v>Zabór</v>
      </c>
      <c r="C652" t="str">
        <f t="shared" si="114"/>
        <v/>
      </c>
      <c r="D652" t="str">
        <f t="shared" si="113"/>
        <v/>
      </c>
      <c r="E652" t="str">
        <f t="shared" si="115"/>
        <v/>
      </c>
      <c r="F652" t="str">
        <f t="shared" si="116"/>
        <v/>
      </c>
      <c r="G652" t="str">
        <f t="shared" si="117"/>
        <v/>
      </c>
      <c r="H652" t="str">
        <f t="shared" si="118"/>
        <v/>
      </c>
      <c r="I652" t="str">
        <f t="shared" si="119"/>
        <v/>
      </c>
      <c r="J652" t="str">
        <f t="shared" si="120"/>
        <v/>
      </c>
    </row>
    <row r="653" spans="2:10">
      <c r="B653" t="str">
        <f t="shared" si="112"/>
        <v>Zabór</v>
      </c>
      <c r="C653" t="str">
        <f t="shared" si="114"/>
        <v/>
      </c>
      <c r="D653" t="str">
        <f t="shared" si="113"/>
        <v/>
      </c>
      <c r="E653" t="str">
        <f t="shared" si="115"/>
        <v/>
      </c>
      <c r="F653" t="str">
        <f t="shared" si="116"/>
        <v/>
      </c>
      <c r="G653" t="str">
        <f t="shared" si="117"/>
        <v/>
      </c>
      <c r="H653" t="str">
        <f t="shared" si="118"/>
        <v/>
      </c>
      <c r="I653" t="str">
        <f t="shared" si="119"/>
        <v/>
      </c>
      <c r="J653" t="str">
        <f t="shared" si="120"/>
        <v/>
      </c>
    </row>
    <row r="654" spans="2:10">
      <c r="B654" t="str">
        <f t="shared" si="112"/>
        <v>Zabór</v>
      </c>
      <c r="C654" t="str">
        <f t="shared" si="114"/>
        <v/>
      </c>
      <c r="D654" t="str">
        <f t="shared" si="113"/>
        <v/>
      </c>
      <c r="E654" t="str">
        <f t="shared" si="115"/>
        <v/>
      </c>
      <c r="F654" t="str">
        <f t="shared" si="116"/>
        <v/>
      </c>
      <c r="G654" t="str">
        <f t="shared" si="117"/>
        <v/>
      </c>
      <c r="H654" t="str">
        <f t="shared" si="118"/>
        <v/>
      </c>
      <c r="I654" t="str">
        <f t="shared" si="119"/>
        <v/>
      </c>
      <c r="J654" t="str">
        <f t="shared" si="120"/>
        <v/>
      </c>
    </row>
    <row r="655" spans="2:10">
      <c r="B655" t="str">
        <f t="shared" si="112"/>
        <v>Zabór</v>
      </c>
      <c r="C655" t="str">
        <f t="shared" si="114"/>
        <v/>
      </c>
      <c r="D655" t="str">
        <f t="shared" si="113"/>
        <v/>
      </c>
      <c r="E655" t="str">
        <f t="shared" si="115"/>
        <v/>
      </c>
      <c r="F655" t="str">
        <f t="shared" si="116"/>
        <v/>
      </c>
      <c r="G655" t="str">
        <f t="shared" si="117"/>
        <v/>
      </c>
      <c r="H655" t="str">
        <f t="shared" si="118"/>
        <v/>
      </c>
      <c r="I655" t="str">
        <f t="shared" si="119"/>
        <v/>
      </c>
      <c r="J655" t="str">
        <f t="shared" si="120"/>
        <v/>
      </c>
    </row>
    <row r="656" spans="2:10">
      <c r="B656" t="str">
        <f t="shared" si="112"/>
        <v>Zabór</v>
      </c>
      <c r="C656" t="str">
        <f t="shared" si="114"/>
        <v/>
      </c>
      <c r="D656" t="str">
        <f t="shared" si="113"/>
        <v/>
      </c>
      <c r="E656" t="str">
        <f t="shared" si="115"/>
        <v/>
      </c>
      <c r="F656" t="str">
        <f t="shared" si="116"/>
        <v/>
      </c>
      <c r="G656" t="str">
        <f t="shared" si="117"/>
        <v/>
      </c>
      <c r="H656" t="str">
        <f t="shared" si="118"/>
        <v/>
      </c>
      <c r="I656" t="str">
        <f t="shared" si="119"/>
        <v/>
      </c>
      <c r="J656" t="str">
        <f t="shared" si="120"/>
        <v/>
      </c>
    </row>
    <row r="657" spans="2:10">
      <c r="B657" t="str">
        <f t="shared" si="112"/>
        <v>Zabór</v>
      </c>
      <c r="C657" t="str">
        <f t="shared" si="114"/>
        <v/>
      </c>
      <c r="D657" t="str">
        <f t="shared" si="113"/>
        <v/>
      </c>
      <c r="E657" t="str">
        <f t="shared" si="115"/>
        <v/>
      </c>
      <c r="F657" t="str">
        <f t="shared" si="116"/>
        <v/>
      </c>
      <c r="G657" t="str">
        <f t="shared" si="117"/>
        <v/>
      </c>
      <c r="H657" t="str">
        <f t="shared" si="118"/>
        <v/>
      </c>
      <c r="I657" t="str">
        <f t="shared" si="119"/>
        <v/>
      </c>
      <c r="J657" t="str">
        <f t="shared" si="120"/>
        <v/>
      </c>
    </row>
    <row r="658" spans="2:10">
      <c r="B658" t="str">
        <f t="shared" si="112"/>
        <v>Zabór</v>
      </c>
      <c r="C658" t="str">
        <f t="shared" si="114"/>
        <v/>
      </c>
      <c r="D658" t="str">
        <f t="shared" si="113"/>
        <v/>
      </c>
      <c r="E658" t="str">
        <f t="shared" si="115"/>
        <v/>
      </c>
      <c r="F658" t="str">
        <f t="shared" si="116"/>
        <v/>
      </c>
      <c r="G658" t="str">
        <f t="shared" si="117"/>
        <v/>
      </c>
      <c r="H658" t="str">
        <f t="shared" si="118"/>
        <v/>
      </c>
      <c r="I658" t="str">
        <f t="shared" si="119"/>
        <v/>
      </c>
      <c r="J658" t="str">
        <f t="shared" si="120"/>
        <v/>
      </c>
    </row>
    <row r="659" spans="2:10">
      <c r="B659" t="str">
        <f t="shared" si="112"/>
        <v>Zabór</v>
      </c>
      <c r="C659" t="str">
        <f t="shared" si="114"/>
        <v/>
      </c>
      <c r="D659" t="str">
        <f t="shared" si="113"/>
        <v/>
      </c>
      <c r="E659" t="str">
        <f t="shared" si="115"/>
        <v/>
      </c>
      <c r="F659" t="str">
        <f t="shared" si="116"/>
        <v/>
      </c>
      <c r="G659" t="str">
        <f t="shared" si="117"/>
        <v/>
      </c>
      <c r="H659" t="str">
        <f t="shared" si="118"/>
        <v/>
      </c>
      <c r="I659" t="str">
        <f t="shared" si="119"/>
        <v/>
      </c>
      <c r="J659" t="str">
        <f t="shared" si="120"/>
        <v/>
      </c>
    </row>
    <row r="660" spans="2:10">
      <c r="B660" t="str">
        <f t="shared" si="112"/>
        <v>Zabór</v>
      </c>
      <c r="C660" t="str">
        <f t="shared" si="114"/>
        <v/>
      </c>
      <c r="D660" t="str">
        <f t="shared" si="113"/>
        <v/>
      </c>
      <c r="E660" t="str">
        <f t="shared" si="115"/>
        <v/>
      </c>
      <c r="F660" t="str">
        <f t="shared" si="116"/>
        <v/>
      </c>
      <c r="G660" t="str">
        <f t="shared" si="117"/>
        <v/>
      </c>
      <c r="H660" t="str">
        <f t="shared" si="118"/>
        <v/>
      </c>
      <c r="I660" t="str">
        <f t="shared" si="119"/>
        <v/>
      </c>
      <c r="J660" t="str">
        <f t="shared" si="120"/>
        <v/>
      </c>
    </row>
    <row r="661" spans="2:10">
      <c r="B661" t="str">
        <f t="shared" si="112"/>
        <v>Zabór</v>
      </c>
      <c r="C661" t="str">
        <f t="shared" si="114"/>
        <v/>
      </c>
      <c r="D661" t="str">
        <f t="shared" si="113"/>
        <v/>
      </c>
      <c r="E661" t="str">
        <f t="shared" si="115"/>
        <v/>
      </c>
      <c r="F661" t="str">
        <f t="shared" si="116"/>
        <v/>
      </c>
      <c r="G661" t="str">
        <f t="shared" si="117"/>
        <v/>
      </c>
      <c r="H661" t="str">
        <f t="shared" si="118"/>
        <v/>
      </c>
      <c r="I661" t="str">
        <f t="shared" si="119"/>
        <v/>
      </c>
      <c r="J661" t="str">
        <f t="shared" si="120"/>
        <v/>
      </c>
    </row>
    <row r="662" spans="2:10">
      <c r="B662" t="str">
        <f t="shared" si="112"/>
        <v>Zabór</v>
      </c>
      <c r="C662" t="str">
        <f t="shared" si="114"/>
        <v/>
      </c>
      <c r="D662" t="str">
        <f t="shared" si="113"/>
        <v/>
      </c>
      <c r="E662" t="str">
        <f t="shared" si="115"/>
        <v/>
      </c>
      <c r="F662" t="str">
        <f t="shared" si="116"/>
        <v/>
      </c>
      <c r="G662" t="str">
        <f t="shared" si="117"/>
        <v/>
      </c>
      <c r="H662" t="str">
        <f t="shared" si="118"/>
        <v/>
      </c>
      <c r="I662" t="str">
        <f t="shared" si="119"/>
        <v/>
      </c>
      <c r="J662" t="str">
        <f t="shared" si="120"/>
        <v/>
      </c>
    </row>
    <row r="663" spans="2:10">
      <c r="B663" t="str">
        <f t="shared" si="112"/>
        <v>Zabór</v>
      </c>
      <c r="C663" t="str">
        <f t="shared" si="114"/>
        <v/>
      </c>
      <c r="D663" t="str">
        <f t="shared" si="113"/>
        <v/>
      </c>
      <c r="E663" t="str">
        <f t="shared" si="115"/>
        <v/>
      </c>
      <c r="F663" t="str">
        <f t="shared" si="116"/>
        <v/>
      </c>
      <c r="G663" t="str">
        <f t="shared" si="117"/>
        <v/>
      </c>
      <c r="H663" t="str">
        <f t="shared" si="118"/>
        <v/>
      </c>
      <c r="I663" t="str">
        <f t="shared" si="119"/>
        <v/>
      </c>
      <c r="J663" t="str">
        <f t="shared" si="120"/>
        <v/>
      </c>
    </row>
    <row r="664" spans="2:10">
      <c r="B664" t="str">
        <f t="shared" si="112"/>
        <v>Zabór</v>
      </c>
      <c r="C664" t="str">
        <f t="shared" si="114"/>
        <v/>
      </c>
      <c r="D664" t="str">
        <f t="shared" si="113"/>
        <v/>
      </c>
      <c r="E664" t="str">
        <f t="shared" si="115"/>
        <v/>
      </c>
      <c r="F664" t="str">
        <f t="shared" si="116"/>
        <v/>
      </c>
      <c r="G664" t="str">
        <f t="shared" si="117"/>
        <v/>
      </c>
      <c r="H664" t="str">
        <f t="shared" si="118"/>
        <v/>
      </c>
      <c r="I664" t="str">
        <f t="shared" si="119"/>
        <v/>
      </c>
      <c r="J664" t="str">
        <f t="shared" si="120"/>
        <v/>
      </c>
    </row>
    <row r="665" spans="2:10">
      <c r="B665" t="str">
        <f t="shared" si="112"/>
        <v>Zabór</v>
      </c>
      <c r="C665" t="str">
        <f t="shared" si="114"/>
        <v/>
      </c>
      <c r="D665" t="str">
        <f t="shared" si="113"/>
        <v/>
      </c>
      <c r="E665" t="str">
        <f t="shared" si="115"/>
        <v/>
      </c>
      <c r="F665" t="str">
        <f t="shared" si="116"/>
        <v/>
      </c>
      <c r="G665" t="str">
        <f t="shared" si="117"/>
        <v/>
      </c>
      <c r="H665" t="str">
        <f t="shared" si="118"/>
        <v/>
      </c>
      <c r="I665" t="str">
        <f t="shared" si="119"/>
        <v/>
      </c>
      <c r="J665" t="str">
        <f t="shared" si="120"/>
        <v/>
      </c>
    </row>
    <row r="666" spans="2:10">
      <c r="B666" t="str">
        <f t="shared" si="112"/>
        <v>Zabór</v>
      </c>
      <c r="C666" t="str">
        <f t="shared" si="114"/>
        <v/>
      </c>
      <c r="D666" t="str">
        <f t="shared" si="113"/>
        <v/>
      </c>
      <c r="E666" t="str">
        <f t="shared" si="115"/>
        <v/>
      </c>
      <c r="F666" t="str">
        <f t="shared" si="116"/>
        <v/>
      </c>
      <c r="G666" t="str">
        <f t="shared" si="117"/>
        <v/>
      </c>
      <c r="H666" t="str">
        <f t="shared" si="118"/>
        <v/>
      </c>
      <c r="I666" t="str">
        <f t="shared" si="119"/>
        <v/>
      </c>
      <c r="J666" t="str">
        <f t="shared" si="120"/>
        <v/>
      </c>
    </row>
    <row r="667" spans="2:10">
      <c r="B667" t="str">
        <f t="shared" si="112"/>
        <v>Zabór</v>
      </c>
      <c r="C667" t="str">
        <f t="shared" si="114"/>
        <v/>
      </c>
      <c r="D667" t="str">
        <f t="shared" si="113"/>
        <v/>
      </c>
      <c r="E667" t="str">
        <f t="shared" si="115"/>
        <v/>
      </c>
      <c r="F667" t="str">
        <f t="shared" si="116"/>
        <v/>
      </c>
      <c r="G667" t="str">
        <f t="shared" si="117"/>
        <v/>
      </c>
      <c r="H667" t="str">
        <f t="shared" si="118"/>
        <v/>
      </c>
      <c r="I667" t="str">
        <f t="shared" si="119"/>
        <v/>
      </c>
      <c r="J667" t="str">
        <f t="shared" si="120"/>
        <v/>
      </c>
    </row>
    <row r="668" spans="2:10">
      <c r="B668" t="str">
        <f t="shared" si="112"/>
        <v>Zabór</v>
      </c>
      <c r="C668" t="str">
        <f t="shared" si="114"/>
        <v/>
      </c>
      <c r="D668" t="str">
        <f t="shared" si="113"/>
        <v/>
      </c>
      <c r="E668" t="str">
        <f t="shared" si="115"/>
        <v/>
      </c>
      <c r="F668" t="str">
        <f t="shared" si="116"/>
        <v/>
      </c>
      <c r="G668" t="str">
        <f t="shared" si="117"/>
        <v/>
      </c>
      <c r="H668" t="str">
        <f t="shared" si="118"/>
        <v/>
      </c>
      <c r="I668" t="str">
        <f t="shared" si="119"/>
        <v/>
      </c>
      <c r="J668" t="str">
        <f t="shared" si="120"/>
        <v/>
      </c>
    </row>
    <row r="669" spans="2:10">
      <c r="B669" t="str">
        <f t="shared" si="112"/>
        <v>Zabór</v>
      </c>
      <c r="C669" t="str">
        <f t="shared" si="114"/>
        <v/>
      </c>
      <c r="D669" t="str">
        <f t="shared" si="113"/>
        <v/>
      </c>
      <c r="E669" t="str">
        <f t="shared" si="115"/>
        <v/>
      </c>
      <c r="F669" t="str">
        <f t="shared" si="116"/>
        <v/>
      </c>
      <c r="G669" t="str">
        <f t="shared" si="117"/>
        <v/>
      </c>
      <c r="H669" t="str">
        <f t="shared" si="118"/>
        <v/>
      </c>
      <c r="I669" t="str">
        <f t="shared" si="119"/>
        <v/>
      </c>
      <c r="J669" t="str">
        <f t="shared" si="120"/>
        <v/>
      </c>
    </row>
    <row r="670" spans="2:10">
      <c r="B670" t="str">
        <f t="shared" si="112"/>
        <v>Zabór</v>
      </c>
      <c r="C670" t="str">
        <f t="shared" si="114"/>
        <v/>
      </c>
      <c r="D670" t="str">
        <f t="shared" si="113"/>
        <v/>
      </c>
      <c r="E670" t="str">
        <f t="shared" si="115"/>
        <v/>
      </c>
      <c r="F670" t="str">
        <f t="shared" si="116"/>
        <v/>
      </c>
      <c r="G670" t="str">
        <f t="shared" si="117"/>
        <v/>
      </c>
      <c r="H670" t="str">
        <f t="shared" si="118"/>
        <v/>
      </c>
      <c r="I670" t="str">
        <f t="shared" si="119"/>
        <v/>
      </c>
      <c r="J670" t="str">
        <f t="shared" si="120"/>
        <v/>
      </c>
    </row>
    <row r="671" spans="2:10">
      <c r="B671" t="str">
        <f t="shared" si="112"/>
        <v>Zabór</v>
      </c>
      <c r="C671" t="str">
        <f t="shared" si="114"/>
        <v/>
      </c>
      <c r="D671" t="str">
        <f t="shared" si="113"/>
        <v/>
      </c>
      <c r="E671" t="str">
        <f t="shared" si="115"/>
        <v/>
      </c>
      <c r="F671" t="str">
        <f t="shared" si="116"/>
        <v/>
      </c>
      <c r="G671" t="str">
        <f t="shared" si="117"/>
        <v/>
      </c>
      <c r="H671" t="str">
        <f t="shared" si="118"/>
        <v/>
      </c>
      <c r="I671" t="str">
        <f t="shared" si="119"/>
        <v/>
      </c>
      <c r="J671" t="str">
        <f t="shared" si="120"/>
        <v/>
      </c>
    </row>
    <row r="672" spans="2:10">
      <c r="B672" t="str">
        <f t="shared" ref="B672:B735" si="121">+IF(AND(C672&gt;"",ISERR(FIND("DKK",A671))),A671,B671)</f>
        <v>Zabór</v>
      </c>
      <c r="C672" t="str">
        <f t="shared" si="114"/>
        <v/>
      </c>
      <c r="D672" t="str">
        <f t="shared" si="113"/>
        <v/>
      </c>
      <c r="E672" t="str">
        <f t="shared" si="115"/>
        <v/>
      </c>
      <c r="F672" t="str">
        <f t="shared" si="116"/>
        <v/>
      </c>
      <c r="G672" t="str">
        <f t="shared" si="117"/>
        <v/>
      </c>
      <c r="H672" t="str">
        <f t="shared" si="118"/>
        <v/>
      </c>
      <c r="I672" t="str">
        <f t="shared" si="119"/>
        <v/>
      </c>
      <c r="J672" t="str">
        <f t="shared" si="120"/>
        <v/>
      </c>
    </row>
    <row r="673" spans="2:10">
      <c r="B673" t="str">
        <f t="shared" si="121"/>
        <v>Zabór</v>
      </c>
      <c r="C673" t="str">
        <f t="shared" si="114"/>
        <v/>
      </c>
      <c r="D673" t="str">
        <f t="shared" si="113"/>
        <v/>
      </c>
      <c r="E673" t="str">
        <f t="shared" si="115"/>
        <v/>
      </c>
      <c r="F673" t="str">
        <f t="shared" si="116"/>
        <v/>
      </c>
      <c r="G673" t="str">
        <f t="shared" si="117"/>
        <v/>
      </c>
      <c r="H673" t="str">
        <f t="shared" si="118"/>
        <v/>
      </c>
      <c r="I673" t="str">
        <f t="shared" si="119"/>
        <v/>
      </c>
      <c r="J673" t="str">
        <f t="shared" si="120"/>
        <v/>
      </c>
    </row>
    <row r="674" spans="2:10">
      <c r="B674" t="str">
        <f t="shared" si="121"/>
        <v>Zabór</v>
      </c>
      <c r="C674" t="str">
        <f t="shared" si="114"/>
        <v/>
      </c>
      <c r="D674" t="str">
        <f t="shared" si="113"/>
        <v/>
      </c>
      <c r="E674" t="str">
        <f t="shared" si="115"/>
        <v/>
      </c>
      <c r="F674" t="str">
        <f t="shared" si="116"/>
        <v/>
      </c>
      <c r="G674" t="str">
        <f t="shared" si="117"/>
        <v/>
      </c>
      <c r="H674" t="str">
        <f t="shared" si="118"/>
        <v/>
      </c>
      <c r="I674" t="str">
        <f t="shared" si="119"/>
        <v/>
      </c>
      <c r="J674" t="str">
        <f t="shared" si="120"/>
        <v/>
      </c>
    </row>
    <row r="675" spans="2:10">
      <c r="B675" t="str">
        <f t="shared" si="121"/>
        <v>Zabór</v>
      </c>
      <c r="C675" t="str">
        <f t="shared" si="114"/>
        <v/>
      </c>
      <c r="D675" t="str">
        <f t="shared" si="113"/>
        <v/>
      </c>
      <c r="E675" t="str">
        <f t="shared" si="115"/>
        <v/>
      </c>
      <c r="F675" t="str">
        <f t="shared" si="116"/>
        <v/>
      </c>
      <c r="G675" t="str">
        <f t="shared" si="117"/>
        <v/>
      </c>
      <c r="H675" t="str">
        <f t="shared" si="118"/>
        <v/>
      </c>
      <c r="I675" t="str">
        <f t="shared" si="119"/>
        <v/>
      </c>
      <c r="J675" t="str">
        <f t="shared" si="120"/>
        <v/>
      </c>
    </row>
    <row r="676" spans="2:10">
      <c r="B676" t="str">
        <f t="shared" si="121"/>
        <v>Zabór</v>
      </c>
      <c r="C676" t="str">
        <f t="shared" si="114"/>
        <v/>
      </c>
      <c r="D676" t="str">
        <f t="shared" si="113"/>
        <v/>
      </c>
      <c r="E676" t="str">
        <f t="shared" si="115"/>
        <v/>
      </c>
      <c r="F676" t="str">
        <f t="shared" si="116"/>
        <v/>
      </c>
      <c r="G676" t="str">
        <f t="shared" si="117"/>
        <v/>
      </c>
      <c r="H676" t="str">
        <f t="shared" si="118"/>
        <v/>
      </c>
      <c r="I676" t="str">
        <f t="shared" si="119"/>
        <v/>
      </c>
      <c r="J676" t="str">
        <f t="shared" si="120"/>
        <v/>
      </c>
    </row>
    <row r="677" spans="2:10">
      <c r="B677" t="str">
        <f t="shared" si="121"/>
        <v>Zabór</v>
      </c>
      <c r="C677" t="str">
        <f t="shared" si="114"/>
        <v/>
      </c>
      <c r="D677" t="str">
        <f t="shared" si="113"/>
        <v/>
      </c>
      <c r="E677" t="str">
        <f t="shared" si="115"/>
        <v/>
      </c>
      <c r="F677" t="str">
        <f t="shared" si="116"/>
        <v/>
      </c>
      <c r="G677" t="str">
        <f t="shared" si="117"/>
        <v/>
      </c>
      <c r="H677" t="str">
        <f t="shared" si="118"/>
        <v/>
      </c>
      <c r="I677" t="str">
        <f t="shared" si="119"/>
        <v/>
      </c>
      <c r="J677" t="str">
        <f t="shared" si="120"/>
        <v/>
      </c>
    </row>
    <row r="678" spans="2:10">
      <c r="B678" t="str">
        <f t="shared" si="121"/>
        <v>Zabór</v>
      </c>
      <c r="C678" t="str">
        <f t="shared" si="114"/>
        <v/>
      </c>
      <c r="D678" t="str">
        <f t="shared" si="113"/>
        <v/>
      </c>
      <c r="E678" t="str">
        <f t="shared" si="115"/>
        <v/>
      </c>
      <c r="F678" t="str">
        <f t="shared" si="116"/>
        <v/>
      </c>
      <c r="G678" t="str">
        <f t="shared" si="117"/>
        <v/>
      </c>
      <c r="H678" t="str">
        <f t="shared" si="118"/>
        <v/>
      </c>
      <c r="I678" t="str">
        <f t="shared" si="119"/>
        <v/>
      </c>
      <c r="J678" t="str">
        <f t="shared" si="120"/>
        <v/>
      </c>
    </row>
    <row r="679" spans="2:10">
      <c r="B679" t="str">
        <f t="shared" si="121"/>
        <v>Zabór</v>
      </c>
      <c r="C679" t="str">
        <f t="shared" si="114"/>
        <v/>
      </c>
      <c r="D679" t="str">
        <f t="shared" si="113"/>
        <v/>
      </c>
      <c r="E679" t="str">
        <f t="shared" si="115"/>
        <v/>
      </c>
      <c r="F679" t="str">
        <f t="shared" si="116"/>
        <v/>
      </c>
      <c r="G679" t="str">
        <f t="shared" si="117"/>
        <v/>
      </c>
      <c r="H679" t="str">
        <f t="shared" si="118"/>
        <v/>
      </c>
      <c r="I679" t="str">
        <f t="shared" si="119"/>
        <v/>
      </c>
      <c r="J679" t="str">
        <f t="shared" si="120"/>
        <v/>
      </c>
    </row>
    <row r="680" spans="2:10">
      <c r="B680" t="str">
        <f t="shared" si="121"/>
        <v>Zabór</v>
      </c>
      <c r="C680" t="str">
        <f t="shared" si="114"/>
        <v/>
      </c>
      <c r="D680" t="str">
        <f t="shared" si="113"/>
        <v/>
      </c>
      <c r="E680" t="str">
        <f t="shared" si="115"/>
        <v/>
      </c>
      <c r="F680" t="str">
        <f t="shared" si="116"/>
        <v/>
      </c>
      <c r="G680" t="str">
        <f t="shared" si="117"/>
        <v/>
      </c>
      <c r="H680" t="str">
        <f t="shared" si="118"/>
        <v/>
      </c>
      <c r="I680" t="str">
        <f t="shared" si="119"/>
        <v/>
      </c>
      <c r="J680" t="str">
        <f t="shared" si="120"/>
        <v/>
      </c>
    </row>
    <row r="681" spans="2:10">
      <c r="B681" t="str">
        <f t="shared" si="121"/>
        <v>Zabór</v>
      </c>
      <c r="C681" t="str">
        <f t="shared" si="114"/>
        <v/>
      </c>
      <c r="D681" t="str">
        <f t="shared" si="113"/>
        <v/>
      </c>
      <c r="E681" t="str">
        <f t="shared" si="115"/>
        <v/>
      </c>
      <c r="F681" t="str">
        <f t="shared" si="116"/>
        <v/>
      </c>
      <c r="G681" t="str">
        <f t="shared" si="117"/>
        <v/>
      </c>
      <c r="H681" t="str">
        <f t="shared" si="118"/>
        <v/>
      </c>
      <c r="I681" t="str">
        <f t="shared" si="119"/>
        <v/>
      </c>
      <c r="J681" t="str">
        <f t="shared" si="120"/>
        <v/>
      </c>
    </row>
    <row r="682" spans="2:10">
      <c r="B682" t="str">
        <f t="shared" si="121"/>
        <v>Zabór</v>
      </c>
      <c r="C682" t="str">
        <f t="shared" si="114"/>
        <v/>
      </c>
      <c r="D682" t="str">
        <f t="shared" si="113"/>
        <v/>
      </c>
      <c r="E682" t="str">
        <f t="shared" si="115"/>
        <v/>
      </c>
      <c r="F682" t="str">
        <f t="shared" si="116"/>
        <v/>
      </c>
      <c r="G682" t="str">
        <f t="shared" si="117"/>
        <v/>
      </c>
      <c r="H682" t="str">
        <f t="shared" si="118"/>
        <v/>
      </c>
      <c r="I682" t="str">
        <f t="shared" si="119"/>
        <v/>
      </c>
      <c r="J682" t="str">
        <f t="shared" si="120"/>
        <v/>
      </c>
    </row>
    <row r="683" spans="2:10">
      <c r="B683" t="str">
        <f t="shared" si="121"/>
        <v>Zabór</v>
      </c>
      <c r="C683" t="str">
        <f t="shared" si="114"/>
        <v/>
      </c>
      <c r="D683" t="str">
        <f t="shared" ref="D683:D746" si="122">IF(C683&gt;"",A684,"")</f>
        <v/>
      </c>
      <c r="E683" t="str">
        <f t="shared" si="115"/>
        <v/>
      </c>
      <c r="F683" t="str">
        <f t="shared" si="116"/>
        <v/>
      </c>
      <c r="G683" t="str">
        <f t="shared" si="117"/>
        <v/>
      </c>
      <c r="H683" t="str">
        <f t="shared" si="118"/>
        <v/>
      </c>
      <c r="I683" t="str">
        <f t="shared" si="119"/>
        <v/>
      </c>
      <c r="J683" t="str">
        <f t="shared" si="120"/>
        <v/>
      </c>
    </row>
    <row r="684" spans="2:10">
      <c r="B684" t="str">
        <f t="shared" si="121"/>
        <v>Zabór</v>
      </c>
      <c r="C684" t="str">
        <f t="shared" si="114"/>
        <v/>
      </c>
      <c r="D684" t="str">
        <f t="shared" si="122"/>
        <v/>
      </c>
      <c r="E684" t="str">
        <f t="shared" si="115"/>
        <v/>
      </c>
      <c r="F684" t="str">
        <f t="shared" si="116"/>
        <v/>
      </c>
      <c r="G684" t="str">
        <f t="shared" si="117"/>
        <v/>
      </c>
      <c r="H684" t="str">
        <f t="shared" si="118"/>
        <v/>
      </c>
      <c r="I684" t="str">
        <f t="shared" si="119"/>
        <v/>
      </c>
      <c r="J684" t="str">
        <f t="shared" si="120"/>
        <v/>
      </c>
    </row>
    <row r="685" spans="2:10">
      <c r="B685" t="str">
        <f t="shared" si="121"/>
        <v>Zabór</v>
      </c>
      <c r="C685" t="str">
        <f t="shared" si="114"/>
        <v/>
      </c>
      <c r="D685" t="str">
        <f t="shared" si="122"/>
        <v/>
      </c>
      <c r="E685" t="str">
        <f t="shared" si="115"/>
        <v/>
      </c>
      <c r="F685" t="str">
        <f t="shared" si="116"/>
        <v/>
      </c>
      <c r="G685" t="str">
        <f t="shared" si="117"/>
        <v/>
      </c>
      <c r="H685" t="str">
        <f t="shared" si="118"/>
        <v/>
      </c>
      <c r="I685" t="str">
        <f t="shared" si="119"/>
        <v/>
      </c>
      <c r="J685" t="str">
        <f t="shared" si="120"/>
        <v/>
      </c>
    </row>
    <row r="686" spans="2:10">
      <c r="B686" t="str">
        <f t="shared" si="121"/>
        <v>Zabór</v>
      </c>
      <c r="C686" t="str">
        <f t="shared" si="114"/>
        <v/>
      </c>
      <c r="D686" t="str">
        <f t="shared" si="122"/>
        <v/>
      </c>
      <c r="E686" t="str">
        <f t="shared" si="115"/>
        <v/>
      </c>
      <c r="F686" t="str">
        <f t="shared" si="116"/>
        <v/>
      </c>
      <c r="G686" t="str">
        <f t="shared" si="117"/>
        <v/>
      </c>
      <c r="H686" t="str">
        <f t="shared" si="118"/>
        <v/>
      </c>
      <c r="I686" t="str">
        <f t="shared" si="119"/>
        <v/>
      </c>
      <c r="J686" t="str">
        <f t="shared" si="120"/>
        <v/>
      </c>
    </row>
    <row r="687" spans="2:10">
      <c r="B687" t="str">
        <f t="shared" si="121"/>
        <v>Zabór</v>
      </c>
      <c r="C687" t="str">
        <f t="shared" si="114"/>
        <v/>
      </c>
      <c r="D687" t="str">
        <f t="shared" si="122"/>
        <v/>
      </c>
      <c r="E687" t="str">
        <f t="shared" si="115"/>
        <v/>
      </c>
      <c r="F687" t="str">
        <f t="shared" si="116"/>
        <v/>
      </c>
      <c r="G687" t="str">
        <f t="shared" si="117"/>
        <v/>
      </c>
      <c r="H687" t="str">
        <f t="shared" si="118"/>
        <v/>
      </c>
      <c r="I687" t="str">
        <f t="shared" si="119"/>
        <v/>
      </c>
      <c r="J687" t="str">
        <f t="shared" si="120"/>
        <v/>
      </c>
    </row>
    <row r="688" spans="2:10">
      <c r="B688" t="str">
        <f t="shared" si="121"/>
        <v>Zabór</v>
      </c>
      <c r="C688" t="str">
        <f t="shared" si="114"/>
        <v/>
      </c>
      <c r="D688" t="str">
        <f t="shared" si="122"/>
        <v/>
      </c>
      <c r="E688" t="str">
        <f t="shared" si="115"/>
        <v/>
      </c>
      <c r="F688" t="str">
        <f t="shared" si="116"/>
        <v/>
      </c>
      <c r="G688" t="str">
        <f t="shared" si="117"/>
        <v/>
      </c>
      <c r="H688" t="str">
        <f t="shared" si="118"/>
        <v/>
      </c>
      <c r="I688" t="str">
        <f t="shared" si="119"/>
        <v/>
      </c>
      <c r="J688" t="str">
        <f t="shared" si="120"/>
        <v/>
      </c>
    </row>
    <row r="689" spans="2:10">
      <c r="B689" t="str">
        <f t="shared" si="121"/>
        <v>Zabór</v>
      </c>
      <c r="C689" t="str">
        <f t="shared" si="114"/>
        <v/>
      </c>
      <c r="D689" t="str">
        <f t="shared" si="122"/>
        <v/>
      </c>
      <c r="E689" t="str">
        <f t="shared" si="115"/>
        <v/>
      </c>
      <c r="F689" t="str">
        <f t="shared" si="116"/>
        <v/>
      </c>
      <c r="G689" t="str">
        <f t="shared" si="117"/>
        <v/>
      </c>
      <c r="H689" t="str">
        <f t="shared" si="118"/>
        <v/>
      </c>
      <c r="I689" t="str">
        <f t="shared" si="119"/>
        <v/>
      </c>
      <c r="J689" t="str">
        <f t="shared" si="120"/>
        <v/>
      </c>
    </row>
    <row r="690" spans="2:10">
      <c r="B690" t="str">
        <f t="shared" si="121"/>
        <v>Zabór</v>
      </c>
      <c r="C690" t="str">
        <f t="shared" si="114"/>
        <v/>
      </c>
      <c r="D690" t="str">
        <f t="shared" si="122"/>
        <v/>
      </c>
      <c r="E690" t="str">
        <f t="shared" si="115"/>
        <v/>
      </c>
      <c r="F690" t="str">
        <f t="shared" si="116"/>
        <v/>
      </c>
      <c r="G690" t="str">
        <f t="shared" si="117"/>
        <v/>
      </c>
      <c r="H690" t="str">
        <f t="shared" si="118"/>
        <v/>
      </c>
      <c r="I690" t="str">
        <f t="shared" si="119"/>
        <v/>
      </c>
      <c r="J690" t="str">
        <f t="shared" si="120"/>
        <v/>
      </c>
    </row>
    <row r="691" spans="2:10">
      <c r="B691" t="str">
        <f t="shared" si="121"/>
        <v>Zabór</v>
      </c>
      <c r="C691" t="str">
        <f t="shared" si="114"/>
        <v/>
      </c>
      <c r="D691" t="str">
        <f t="shared" si="122"/>
        <v/>
      </c>
      <c r="E691" t="str">
        <f t="shared" si="115"/>
        <v/>
      </c>
      <c r="F691" t="str">
        <f t="shared" si="116"/>
        <v/>
      </c>
      <c r="G691" t="str">
        <f t="shared" si="117"/>
        <v/>
      </c>
      <c r="H691" t="str">
        <f t="shared" si="118"/>
        <v/>
      </c>
      <c r="I691" t="str">
        <f t="shared" si="119"/>
        <v/>
      </c>
      <c r="J691" t="str">
        <f t="shared" si="120"/>
        <v/>
      </c>
    </row>
    <row r="692" spans="2:10">
      <c r="B692" t="str">
        <f t="shared" si="121"/>
        <v>Zabór</v>
      </c>
      <c r="C692" t="str">
        <f t="shared" si="114"/>
        <v/>
      </c>
      <c r="D692" t="str">
        <f t="shared" si="122"/>
        <v/>
      </c>
      <c r="E692" t="str">
        <f t="shared" si="115"/>
        <v/>
      </c>
      <c r="F692" t="str">
        <f t="shared" si="116"/>
        <v/>
      </c>
      <c r="G692" t="str">
        <f t="shared" si="117"/>
        <v/>
      </c>
      <c r="H692" t="str">
        <f t="shared" si="118"/>
        <v/>
      </c>
      <c r="I692" t="str">
        <f t="shared" si="119"/>
        <v/>
      </c>
      <c r="J692" t="str">
        <f t="shared" si="120"/>
        <v/>
      </c>
    </row>
    <row r="693" spans="2:10">
      <c r="B693" t="str">
        <f t="shared" si="121"/>
        <v>Zabór</v>
      </c>
      <c r="C693" t="str">
        <f t="shared" si="114"/>
        <v/>
      </c>
      <c r="D693" t="str">
        <f t="shared" si="122"/>
        <v/>
      </c>
      <c r="E693" t="str">
        <f t="shared" si="115"/>
        <v/>
      </c>
      <c r="F693" t="str">
        <f t="shared" si="116"/>
        <v/>
      </c>
      <c r="G693" t="str">
        <f t="shared" si="117"/>
        <v/>
      </c>
      <c r="H693" t="str">
        <f t="shared" si="118"/>
        <v/>
      </c>
      <c r="I693" t="str">
        <f t="shared" si="119"/>
        <v/>
      </c>
      <c r="J693" t="str">
        <f t="shared" si="120"/>
        <v/>
      </c>
    </row>
    <row r="694" spans="2:10">
      <c r="B694" t="str">
        <f t="shared" si="121"/>
        <v>Zabór</v>
      </c>
      <c r="C694" t="str">
        <f t="shared" si="114"/>
        <v/>
      </c>
      <c r="D694" t="str">
        <f t="shared" si="122"/>
        <v/>
      </c>
      <c r="E694" t="str">
        <f t="shared" si="115"/>
        <v/>
      </c>
      <c r="F694" t="str">
        <f t="shared" si="116"/>
        <v/>
      </c>
      <c r="G694" t="str">
        <f t="shared" si="117"/>
        <v/>
      </c>
      <c r="H694" t="str">
        <f t="shared" si="118"/>
        <v/>
      </c>
      <c r="I694" t="str">
        <f t="shared" si="119"/>
        <v/>
      </c>
      <c r="J694" t="str">
        <f t="shared" si="120"/>
        <v/>
      </c>
    </row>
    <row r="695" spans="2:10">
      <c r="B695" t="str">
        <f t="shared" si="121"/>
        <v>Zabór</v>
      </c>
      <c r="C695" t="str">
        <f t="shared" si="114"/>
        <v/>
      </c>
      <c r="D695" t="str">
        <f t="shared" si="122"/>
        <v/>
      </c>
      <c r="E695" t="str">
        <f t="shared" si="115"/>
        <v/>
      </c>
      <c r="F695" t="str">
        <f t="shared" si="116"/>
        <v/>
      </c>
      <c r="G695" t="str">
        <f t="shared" si="117"/>
        <v/>
      </c>
      <c r="H695" t="str">
        <f t="shared" si="118"/>
        <v/>
      </c>
      <c r="I695" t="str">
        <f t="shared" si="119"/>
        <v/>
      </c>
      <c r="J695" t="str">
        <f t="shared" si="120"/>
        <v/>
      </c>
    </row>
    <row r="696" spans="2:10">
      <c r="B696" t="str">
        <f t="shared" si="121"/>
        <v>Zabór</v>
      </c>
      <c r="C696" t="str">
        <f t="shared" si="114"/>
        <v/>
      </c>
      <c r="D696" t="str">
        <f t="shared" si="122"/>
        <v/>
      </c>
      <c r="E696" t="str">
        <f t="shared" si="115"/>
        <v/>
      </c>
      <c r="F696" t="str">
        <f t="shared" si="116"/>
        <v/>
      </c>
      <c r="G696" t="str">
        <f t="shared" si="117"/>
        <v/>
      </c>
      <c r="H696" t="str">
        <f t="shared" si="118"/>
        <v/>
      </c>
      <c r="I696" t="str">
        <f t="shared" si="119"/>
        <v/>
      </c>
      <c r="J696" t="str">
        <f t="shared" si="120"/>
        <v/>
      </c>
    </row>
    <row r="697" spans="2:10">
      <c r="B697" t="str">
        <f t="shared" si="121"/>
        <v>Zabór</v>
      </c>
      <c r="C697" t="str">
        <f t="shared" si="114"/>
        <v/>
      </c>
      <c r="D697" t="str">
        <f t="shared" si="122"/>
        <v/>
      </c>
      <c r="E697" t="str">
        <f t="shared" si="115"/>
        <v/>
      </c>
      <c r="F697" t="str">
        <f t="shared" si="116"/>
        <v/>
      </c>
      <c r="G697" t="str">
        <f t="shared" si="117"/>
        <v/>
      </c>
      <c r="H697" t="str">
        <f t="shared" si="118"/>
        <v/>
      </c>
      <c r="I697" t="str">
        <f t="shared" si="119"/>
        <v/>
      </c>
      <c r="J697" t="str">
        <f t="shared" si="120"/>
        <v/>
      </c>
    </row>
    <row r="698" spans="2:10">
      <c r="B698" t="str">
        <f t="shared" si="121"/>
        <v>Zabór</v>
      </c>
      <c r="C698" t="str">
        <f t="shared" si="114"/>
        <v/>
      </c>
      <c r="D698" t="str">
        <f t="shared" si="122"/>
        <v/>
      </c>
      <c r="E698" t="str">
        <f t="shared" si="115"/>
        <v/>
      </c>
      <c r="F698" t="str">
        <f t="shared" si="116"/>
        <v/>
      </c>
      <c r="G698" t="str">
        <f t="shared" si="117"/>
        <v/>
      </c>
      <c r="H698" t="str">
        <f t="shared" si="118"/>
        <v/>
      </c>
      <c r="I698" t="str">
        <f t="shared" si="119"/>
        <v/>
      </c>
      <c r="J698" t="str">
        <f t="shared" si="120"/>
        <v/>
      </c>
    </row>
    <row r="699" spans="2:10">
      <c r="B699" t="str">
        <f t="shared" si="121"/>
        <v>Zabór</v>
      </c>
      <c r="C699" t="str">
        <f t="shared" si="114"/>
        <v/>
      </c>
      <c r="D699" t="str">
        <f t="shared" si="122"/>
        <v/>
      </c>
      <c r="E699" t="str">
        <f t="shared" si="115"/>
        <v/>
      </c>
      <c r="F699" t="str">
        <f t="shared" si="116"/>
        <v/>
      </c>
      <c r="G699" t="str">
        <f t="shared" si="117"/>
        <v/>
      </c>
      <c r="H699" t="str">
        <f t="shared" si="118"/>
        <v/>
      </c>
      <c r="I699" t="str">
        <f t="shared" si="119"/>
        <v/>
      </c>
      <c r="J699" t="str">
        <f t="shared" si="120"/>
        <v/>
      </c>
    </row>
    <row r="700" spans="2:10">
      <c r="B700" t="str">
        <f t="shared" si="121"/>
        <v>Zabór</v>
      </c>
      <c r="C700" t="str">
        <f t="shared" si="114"/>
        <v/>
      </c>
      <c r="D700" t="str">
        <f t="shared" si="122"/>
        <v/>
      </c>
      <c r="E700" t="str">
        <f t="shared" si="115"/>
        <v/>
      </c>
      <c r="F700" t="str">
        <f t="shared" si="116"/>
        <v/>
      </c>
      <c r="G700" t="str">
        <f t="shared" si="117"/>
        <v/>
      </c>
      <c r="H700" t="str">
        <f t="shared" si="118"/>
        <v/>
      </c>
      <c r="I700" t="str">
        <f t="shared" si="119"/>
        <v/>
      </c>
      <c r="J700" t="str">
        <f t="shared" si="120"/>
        <v/>
      </c>
    </row>
    <row r="701" spans="2:10">
      <c r="B701" t="str">
        <f t="shared" si="121"/>
        <v>Zabór</v>
      </c>
      <c r="C701" t="str">
        <f t="shared" si="114"/>
        <v/>
      </c>
      <c r="D701" t="str">
        <f t="shared" si="122"/>
        <v/>
      </c>
      <c r="E701" t="str">
        <f t="shared" si="115"/>
        <v/>
      </c>
      <c r="F701" t="str">
        <f t="shared" si="116"/>
        <v/>
      </c>
      <c r="G701" t="str">
        <f t="shared" si="117"/>
        <v/>
      </c>
      <c r="H701" t="str">
        <f t="shared" si="118"/>
        <v/>
      </c>
      <c r="I701" t="str">
        <f t="shared" si="119"/>
        <v/>
      </c>
      <c r="J701" t="str">
        <f t="shared" si="120"/>
        <v/>
      </c>
    </row>
    <row r="702" spans="2:10">
      <c r="B702" t="str">
        <f t="shared" si="121"/>
        <v>Zabór</v>
      </c>
      <c r="C702" t="str">
        <f t="shared" si="114"/>
        <v/>
      </c>
      <c r="D702" t="str">
        <f t="shared" si="122"/>
        <v/>
      </c>
      <c r="E702" t="str">
        <f t="shared" si="115"/>
        <v/>
      </c>
      <c r="F702" t="str">
        <f t="shared" si="116"/>
        <v/>
      </c>
      <c r="G702" t="str">
        <f t="shared" si="117"/>
        <v/>
      </c>
      <c r="H702" t="str">
        <f t="shared" si="118"/>
        <v/>
      </c>
      <c r="I702" t="str">
        <f t="shared" si="119"/>
        <v/>
      </c>
      <c r="J702" t="str">
        <f t="shared" si="120"/>
        <v/>
      </c>
    </row>
    <row r="703" spans="2:10">
      <c r="B703" t="str">
        <f t="shared" si="121"/>
        <v>Zabór</v>
      </c>
      <c r="C703" t="str">
        <f t="shared" si="114"/>
        <v/>
      </c>
      <c r="D703" t="str">
        <f t="shared" si="122"/>
        <v/>
      </c>
      <c r="E703" t="str">
        <f t="shared" si="115"/>
        <v/>
      </c>
      <c r="F703" t="str">
        <f t="shared" si="116"/>
        <v/>
      </c>
      <c r="G703" t="str">
        <f t="shared" si="117"/>
        <v/>
      </c>
      <c r="H703" t="str">
        <f t="shared" si="118"/>
        <v/>
      </c>
      <c r="I703" t="str">
        <f t="shared" si="119"/>
        <v/>
      </c>
      <c r="J703" t="str">
        <f t="shared" si="120"/>
        <v/>
      </c>
    </row>
    <row r="704" spans="2:10">
      <c r="B704" t="str">
        <f t="shared" si="121"/>
        <v>Zabór</v>
      </c>
      <c r="C704" t="str">
        <f t="shared" si="114"/>
        <v/>
      </c>
      <c r="D704" t="str">
        <f t="shared" si="122"/>
        <v/>
      </c>
      <c r="E704" t="str">
        <f t="shared" si="115"/>
        <v/>
      </c>
      <c r="F704" t="str">
        <f t="shared" si="116"/>
        <v/>
      </c>
      <c r="G704" t="str">
        <f t="shared" si="117"/>
        <v/>
      </c>
      <c r="H704" t="str">
        <f t="shared" si="118"/>
        <v/>
      </c>
      <c r="I704" t="str">
        <f t="shared" si="119"/>
        <v/>
      </c>
      <c r="J704" t="str">
        <f t="shared" si="120"/>
        <v/>
      </c>
    </row>
    <row r="705" spans="2:10">
      <c r="B705" t="str">
        <f t="shared" si="121"/>
        <v>Zabór</v>
      </c>
      <c r="C705" t="str">
        <f t="shared" si="114"/>
        <v/>
      </c>
      <c r="D705" t="str">
        <f t="shared" si="122"/>
        <v/>
      </c>
      <c r="E705" t="str">
        <f t="shared" si="115"/>
        <v/>
      </c>
      <c r="F705" t="str">
        <f t="shared" si="116"/>
        <v/>
      </c>
      <c r="G705" t="str">
        <f t="shared" si="117"/>
        <v/>
      </c>
      <c r="H705" t="str">
        <f t="shared" si="118"/>
        <v/>
      </c>
      <c r="I705" t="str">
        <f t="shared" si="119"/>
        <v/>
      </c>
      <c r="J705" t="str">
        <f t="shared" si="120"/>
        <v/>
      </c>
    </row>
    <row r="706" spans="2:10">
      <c r="B706" t="str">
        <f t="shared" si="121"/>
        <v>Zabór</v>
      </c>
      <c r="C706" t="str">
        <f t="shared" si="114"/>
        <v/>
      </c>
      <c r="D706" t="str">
        <f t="shared" si="122"/>
        <v/>
      </c>
      <c r="E706" t="str">
        <f t="shared" si="115"/>
        <v/>
      </c>
      <c r="F706" t="str">
        <f t="shared" si="116"/>
        <v/>
      </c>
      <c r="G706" t="str">
        <f t="shared" si="117"/>
        <v/>
      </c>
      <c r="H706" t="str">
        <f t="shared" si="118"/>
        <v/>
      </c>
      <c r="I706" t="str">
        <f t="shared" si="119"/>
        <v/>
      </c>
      <c r="J706" t="str">
        <f t="shared" si="120"/>
        <v/>
      </c>
    </row>
    <row r="707" spans="2:10">
      <c r="B707" t="str">
        <f t="shared" si="121"/>
        <v>Zabór</v>
      </c>
      <c r="C707" t="str">
        <f t="shared" si="114"/>
        <v/>
      </c>
      <c r="D707" t="str">
        <f t="shared" si="122"/>
        <v/>
      </c>
      <c r="E707" t="str">
        <f t="shared" si="115"/>
        <v/>
      </c>
      <c r="F707" t="str">
        <f t="shared" si="116"/>
        <v/>
      </c>
      <c r="G707" t="str">
        <f t="shared" si="117"/>
        <v/>
      </c>
      <c r="H707" t="str">
        <f t="shared" si="118"/>
        <v/>
      </c>
      <c r="I707" t="str">
        <f t="shared" si="119"/>
        <v/>
      </c>
      <c r="J707" t="str">
        <f t="shared" si="120"/>
        <v/>
      </c>
    </row>
    <row r="708" spans="2:10">
      <c r="B708" t="str">
        <f t="shared" si="121"/>
        <v>Zabór</v>
      </c>
      <c r="C708" t="str">
        <f t="shared" si="114"/>
        <v/>
      </c>
      <c r="D708" t="str">
        <f t="shared" si="122"/>
        <v/>
      </c>
      <c r="E708" t="str">
        <f t="shared" si="115"/>
        <v/>
      </c>
      <c r="F708" t="str">
        <f t="shared" si="116"/>
        <v/>
      </c>
      <c r="G708" t="str">
        <f t="shared" si="117"/>
        <v/>
      </c>
      <c r="H708" t="str">
        <f t="shared" si="118"/>
        <v/>
      </c>
      <c r="I708" t="str">
        <f t="shared" si="119"/>
        <v/>
      </c>
      <c r="J708" t="str">
        <f t="shared" si="120"/>
        <v/>
      </c>
    </row>
    <row r="709" spans="2:10">
      <c r="B709" t="str">
        <f t="shared" si="121"/>
        <v>Zabór</v>
      </c>
      <c r="C709" t="str">
        <f t="shared" si="114"/>
        <v/>
      </c>
      <c r="D709" t="str">
        <f t="shared" si="122"/>
        <v/>
      </c>
      <c r="E709" t="str">
        <f t="shared" si="115"/>
        <v/>
      </c>
      <c r="F709" t="str">
        <f t="shared" si="116"/>
        <v/>
      </c>
      <c r="G709" t="str">
        <f t="shared" si="117"/>
        <v/>
      </c>
      <c r="H709" t="str">
        <f t="shared" si="118"/>
        <v/>
      </c>
      <c r="I709" t="str">
        <f t="shared" si="119"/>
        <v/>
      </c>
      <c r="J709" t="str">
        <f t="shared" si="120"/>
        <v/>
      </c>
    </row>
    <row r="710" spans="2:10">
      <c r="B710" t="str">
        <f t="shared" si="121"/>
        <v>Zabór</v>
      </c>
      <c r="C710" t="str">
        <f t="shared" ref="C710:C773" si="123">IF(ISERR(FIND($C$1,A710,1)),"",A710)</f>
        <v/>
      </c>
      <c r="D710" t="str">
        <f t="shared" si="122"/>
        <v/>
      </c>
      <c r="E710" t="str">
        <f t="shared" ref="E710:E773" si="124">IF(C710&gt;"",A712,"")</f>
        <v/>
      </c>
      <c r="F710" t="str">
        <f t="shared" ref="F710:F773" si="125">IF(E710&gt;"",MID(A713,FIND("tel.",A713)+4,15),"")</f>
        <v/>
      </c>
      <c r="G710" t="str">
        <f t="shared" ref="G710:G773" si="126">IF(E710&gt;"",MID(A714,FIND(":",A714)+2,60),"")</f>
        <v/>
      </c>
      <c r="H710" t="str">
        <f t="shared" ref="H710:H773" si="127">IF(E710&gt;"",MID(A715,FIND("e-mail:",A715)+8,100),"")</f>
        <v/>
      </c>
      <c r="I710" t="str">
        <f t="shared" ref="I710:I773" si="128">IF(E710&gt;"",IF(ISERR(FIND("DKK",A716)),"",A716),"")</f>
        <v/>
      </c>
      <c r="J710" t="str">
        <f t="shared" ref="J710:J773" si="129">IF(E710&gt;"",IF(ISERR(FIND("DKK",A717)),"",A717),"")</f>
        <v/>
      </c>
    </row>
    <row r="711" spans="2:10">
      <c r="B711" t="str">
        <f t="shared" si="121"/>
        <v>Zabór</v>
      </c>
      <c r="C711" t="str">
        <f t="shared" si="123"/>
        <v/>
      </c>
      <c r="D711" t="str">
        <f t="shared" si="122"/>
        <v/>
      </c>
      <c r="E711" t="str">
        <f t="shared" si="124"/>
        <v/>
      </c>
      <c r="F711" t="str">
        <f t="shared" si="125"/>
        <v/>
      </c>
      <c r="G711" t="str">
        <f t="shared" si="126"/>
        <v/>
      </c>
      <c r="H711" t="str">
        <f t="shared" si="127"/>
        <v/>
      </c>
      <c r="I711" t="str">
        <f t="shared" si="128"/>
        <v/>
      </c>
      <c r="J711" t="str">
        <f t="shared" si="129"/>
        <v/>
      </c>
    </row>
    <row r="712" spans="2:10">
      <c r="B712" t="str">
        <f t="shared" si="121"/>
        <v>Zabór</v>
      </c>
      <c r="C712" t="str">
        <f t="shared" si="123"/>
        <v/>
      </c>
      <c r="D712" t="str">
        <f t="shared" si="122"/>
        <v/>
      </c>
      <c r="E712" t="str">
        <f t="shared" si="124"/>
        <v/>
      </c>
      <c r="F712" t="str">
        <f t="shared" si="125"/>
        <v/>
      </c>
      <c r="G712" t="str">
        <f t="shared" si="126"/>
        <v/>
      </c>
      <c r="H712" t="str">
        <f t="shared" si="127"/>
        <v/>
      </c>
      <c r="I712" t="str">
        <f t="shared" si="128"/>
        <v/>
      </c>
      <c r="J712" t="str">
        <f t="shared" si="129"/>
        <v/>
      </c>
    </row>
    <row r="713" spans="2:10">
      <c r="B713" t="str">
        <f t="shared" si="121"/>
        <v>Zabór</v>
      </c>
      <c r="C713" t="str">
        <f t="shared" si="123"/>
        <v/>
      </c>
      <c r="D713" t="str">
        <f t="shared" si="122"/>
        <v/>
      </c>
      <c r="E713" t="str">
        <f t="shared" si="124"/>
        <v/>
      </c>
      <c r="F713" t="str">
        <f t="shared" si="125"/>
        <v/>
      </c>
      <c r="G713" t="str">
        <f t="shared" si="126"/>
        <v/>
      </c>
      <c r="H713" t="str">
        <f t="shared" si="127"/>
        <v/>
      </c>
      <c r="I713" t="str">
        <f t="shared" si="128"/>
        <v/>
      </c>
      <c r="J713" t="str">
        <f t="shared" si="129"/>
        <v/>
      </c>
    </row>
    <row r="714" spans="2:10">
      <c r="B714" t="str">
        <f t="shared" si="121"/>
        <v>Zabór</v>
      </c>
      <c r="C714" t="str">
        <f t="shared" si="123"/>
        <v/>
      </c>
      <c r="D714" t="str">
        <f t="shared" si="122"/>
        <v/>
      </c>
      <c r="E714" t="str">
        <f t="shared" si="124"/>
        <v/>
      </c>
      <c r="F714" t="str">
        <f t="shared" si="125"/>
        <v/>
      </c>
      <c r="G714" t="str">
        <f t="shared" si="126"/>
        <v/>
      </c>
      <c r="H714" t="str">
        <f t="shared" si="127"/>
        <v/>
      </c>
      <c r="I714" t="str">
        <f t="shared" si="128"/>
        <v/>
      </c>
      <c r="J714" t="str">
        <f t="shared" si="129"/>
        <v/>
      </c>
    </row>
    <row r="715" spans="2:10">
      <c r="B715" t="str">
        <f t="shared" si="121"/>
        <v>Zabór</v>
      </c>
      <c r="C715" t="str">
        <f t="shared" si="123"/>
        <v/>
      </c>
      <c r="D715" t="str">
        <f t="shared" si="122"/>
        <v/>
      </c>
      <c r="E715" t="str">
        <f t="shared" si="124"/>
        <v/>
      </c>
      <c r="F715" t="str">
        <f t="shared" si="125"/>
        <v/>
      </c>
      <c r="G715" t="str">
        <f t="shared" si="126"/>
        <v/>
      </c>
      <c r="H715" t="str">
        <f t="shared" si="127"/>
        <v/>
      </c>
      <c r="I715" t="str">
        <f t="shared" si="128"/>
        <v/>
      </c>
      <c r="J715" t="str">
        <f t="shared" si="129"/>
        <v/>
      </c>
    </row>
    <row r="716" spans="2:10">
      <c r="B716" t="str">
        <f t="shared" si="121"/>
        <v>Zabór</v>
      </c>
      <c r="C716" t="str">
        <f t="shared" si="123"/>
        <v/>
      </c>
      <c r="D716" t="str">
        <f t="shared" si="122"/>
        <v/>
      </c>
      <c r="E716" t="str">
        <f t="shared" si="124"/>
        <v/>
      </c>
      <c r="F716" t="str">
        <f t="shared" si="125"/>
        <v/>
      </c>
      <c r="G716" t="str">
        <f t="shared" si="126"/>
        <v/>
      </c>
      <c r="H716" t="str">
        <f t="shared" si="127"/>
        <v/>
      </c>
      <c r="I716" t="str">
        <f t="shared" si="128"/>
        <v/>
      </c>
      <c r="J716" t="str">
        <f t="shared" si="129"/>
        <v/>
      </c>
    </row>
    <row r="717" spans="2:10">
      <c r="B717" t="str">
        <f t="shared" si="121"/>
        <v>Zabór</v>
      </c>
      <c r="C717" t="str">
        <f t="shared" si="123"/>
        <v/>
      </c>
      <c r="D717" t="str">
        <f t="shared" si="122"/>
        <v/>
      </c>
      <c r="E717" t="str">
        <f t="shared" si="124"/>
        <v/>
      </c>
      <c r="F717" t="str">
        <f t="shared" si="125"/>
        <v/>
      </c>
      <c r="G717" t="str">
        <f t="shared" si="126"/>
        <v/>
      </c>
      <c r="H717" t="str">
        <f t="shared" si="127"/>
        <v/>
      </c>
      <c r="I717" t="str">
        <f t="shared" si="128"/>
        <v/>
      </c>
      <c r="J717" t="str">
        <f t="shared" si="129"/>
        <v/>
      </c>
    </row>
    <row r="718" spans="2:10">
      <c r="B718" t="str">
        <f t="shared" si="121"/>
        <v>Zabór</v>
      </c>
      <c r="C718" t="str">
        <f t="shared" si="123"/>
        <v/>
      </c>
      <c r="D718" t="str">
        <f t="shared" si="122"/>
        <v/>
      </c>
      <c r="E718" t="str">
        <f t="shared" si="124"/>
        <v/>
      </c>
      <c r="F718" t="str">
        <f t="shared" si="125"/>
        <v/>
      </c>
      <c r="G718" t="str">
        <f t="shared" si="126"/>
        <v/>
      </c>
      <c r="H718" t="str">
        <f t="shared" si="127"/>
        <v/>
      </c>
      <c r="I718" t="str">
        <f t="shared" si="128"/>
        <v/>
      </c>
      <c r="J718" t="str">
        <f t="shared" si="129"/>
        <v/>
      </c>
    </row>
    <row r="719" spans="2:10">
      <c r="B719" t="str">
        <f t="shared" si="121"/>
        <v>Zabór</v>
      </c>
      <c r="C719" t="str">
        <f t="shared" si="123"/>
        <v/>
      </c>
      <c r="D719" t="str">
        <f t="shared" si="122"/>
        <v/>
      </c>
      <c r="E719" t="str">
        <f t="shared" si="124"/>
        <v/>
      </c>
      <c r="F719" t="str">
        <f t="shared" si="125"/>
        <v/>
      </c>
      <c r="G719" t="str">
        <f t="shared" si="126"/>
        <v/>
      </c>
      <c r="H719" t="str">
        <f t="shared" si="127"/>
        <v/>
      </c>
      <c r="I719" t="str">
        <f t="shared" si="128"/>
        <v/>
      </c>
      <c r="J719" t="str">
        <f t="shared" si="129"/>
        <v/>
      </c>
    </row>
    <row r="720" spans="2:10">
      <c r="B720" t="str">
        <f t="shared" si="121"/>
        <v>Zabór</v>
      </c>
      <c r="C720" t="str">
        <f t="shared" si="123"/>
        <v/>
      </c>
      <c r="D720" t="str">
        <f t="shared" si="122"/>
        <v/>
      </c>
      <c r="E720" t="str">
        <f t="shared" si="124"/>
        <v/>
      </c>
      <c r="F720" t="str">
        <f t="shared" si="125"/>
        <v/>
      </c>
      <c r="G720" t="str">
        <f t="shared" si="126"/>
        <v/>
      </c>
      <c r="H720" t="str">
        <f t="shared" si="127"/>
        <v/>
      </c>
      <c r="I720" t="str">
        <f t="shared" si="128"/>
        <v/>
      </c>
      <c r="J720" t="str">
        <f t="shared" si="129"/>
        <v/>
      </c>
    </row>
    <row r="721" spans="2:10">
      <c r="B721" t="str">
        <f t="shared" si="121"/>
        <v>Zabór</v>
      </c>
      <c r="C721" t="str">
        <f t="shared" si="123"/>
        <v/>
      </c>
      <c r="D721" t="str">
        <f t="shared" si="122"/>
        <v/>
      </c>
      <c r="E721" t="str">
        <f t="shared" si="124"/>
        <v/>
      </c>
      <c r="F721" t="str">
        <f t="shared" si="125"/>
        <v/>
      </c>
      <c r="G721" t="str">
        <f t="shared" si="126"/>
        <v/>
      </c>
      <c r="H721" t="str">
        <f t="shared" si="127"/>
        <v/>
      </c>
      <c r="I721" t="str">
        <f t="shared" si="128"/>
        <v/>
      </c>
      <c r="J721" t="str">
        <f t="shared" si="129"/>
        <v/>
      </c>
    </row>
    <row r="722" spans="2:10">
      <c r="B722" t="str">
        <f t="shared" si="121"/>
        <v>Zabór</v>
      </c>
      <c r="C722" t="str">
        <f t="shared" si="123"/>
        <v/>
      </c>
      <c r="D722" t="str">
        <f t="shared" si="122"/>
        <v/>
      </c>
      <c r="E722" t="str">
        <f t="shared" si="124"/>
        <v/>
      </c>
      <c r="F722" t="str">
        <f t="shared" si="125"/>
        <v/>
      </c>
      <c r="G722" t="str">
        <f t="shared" si="126"/>
        <v/>
      </c>
      <c r="H722" t="str">
        <f t="shared" si="127"/>
        <v/>
      </c>
      <c r="I722" t="str">
        <f t="shared" si="128"/>
        <v/>
      </c>
      <c r="J722" t="str">
        <f t="shared" si="129"/>
        <v/>
      </c>
    </row>
    <row r="723" spans="2:10">
      <c r="B723" t="str">
        <f t="shared" si="121"/>
        <v>Zabór</v>
      </c>
      <c r="C723" t="str">
        <f t="shared" si="123"/>
        <v/>
      </c>
      <c r="D723" t="str">
        <f t="shared" si="122"/>
        <v/>
      </c>
      <c r="E723" t="str">
        <f t="shared" si="124"/>
        <v/>
      </c>
      <c r="F723" t="str">
        <f t="shared" si="125"/>
        <v/>
      </c>
      <c r="G723" t="str">
        <f t="shared" si="126"/>
        <v/>
      </c>
      <c r="H723" t="str">
        <f t="shared" si="127"/>
        <v/>
      </c>
      <c r="I723" t="str">
        <f t="shared" si="128"/>
        <v/>
      </c>
      <c r="J723" t="str">
        <f t="shared" si="129"/>
        <v/>
      </c>
    </row>
    <row r="724" spans="2:10">
      <c r="B724" t="str">
        <f t="shared" si="121"/>
        <v>Zabór</v>
      </c>
      <c r="C724" t="str">
        <f t="shared" si="123"/>
        <v/>
      </c>
      <c r="D724" t="str">
        <f t="shared" si="122"/>
        <v/>
      </c>
      <c r="E724" t="str">
        <f t="shared" si="124"/>
        <v/>
      </c>
      <c r="F724" t="str">
        <f t="shared" si="125"/>
        <v/>
      </c>
      <c r="G724" t="str">
        <f t="shared" si="126"/>
        <v/>
      </c>
      <c r="H724" t="str">
        <f t="shared" si="127"/>
        <v/>
      </c>
      <c r="I724" t="str">
        <f t="shared" si="128"/>
        <v/>
      </c>
      <c r="J724" t="str">
        <f t="shared" si="129"/>
        <v/>
      </c>
    </row>
    <row r="725" spans="2:10">
      <c r="B725" t="str">
        <f t="shared" si="121"/>
        <v>Zabór</v>
      </c>
      <c r="C725" t="str">
        <f t="shared" si="123"/>
        <v/>
      </c>
      <c r="D725" t="str">
        <f t="shared" si="122"/>
        <v/>
      </c>
      <c r="E725" t="str">
        <f t="shared" si="124"/>
        <v/>
      </c>
      <c r="F725" t="str">
        <f t="shared" si="125"/>
        <v/>
      </c>
      <c r="G725" t="str">
        <f t="shared" si="126"/>
        <v/>
      </c>
      <c r="H725" t="str">
        <f t="shared" si="127"/>
        <v/>
      </c>
      <c r="I725" t="str">
        <f t="shared" si="128"/>
        <v/>
      </c>
      <c r="J725" t="str">
        <f t="shared" si="129"/>
        <v/>
      </c>
    </row>
    <row r="726" spans="2:10">
      <c r="B726" t="str">
        <f t="shared" si="121"/>
        <v>Zabór</v>
      </c>
      <c r="C726" t="str">
        <f t="shared" si="123"/>
        <v/>
      </c>
      <c r="D726" t="str">
        <f t="shared" si="122"/>
        <v/>
      </c>
      <c r="E726" t="str">
        <f t="shared" si="124"/>
        <v/>
      </c>
      <c r="F726" t="str">
        <f t="shared" si="125"/>
        <v/>
      </c>
      <c r="G726" t="str">
        <f t="shared" si="126"/>
        <v/>
      </c>
      <c r="H726" t="str">
        <f t="shared" si="127"/>
        <v/>
      </c>
      <c r="I726" t="str">
        <f t="shared" si="128"/>
        <v/>
      </c>
      <c r="J726" t="str">
        <f t="shared" si="129"/>
        <v/>
      </c>
    </row>
    <row r="727" spans="2:10">
      <c r="B727" t="str">
        <f t="shared" si="121"/>
        <v>Zabór</v>
      </c>
      <c r="C727" t="str">
        <f t="shared" si="123"/>
        <v/>
      </c>
      <c r="D727" t="str">
        <f t="shared" si="122"/>
        <v/>
      </c>
      <c r="E727" t="str">
        <f t="shared" si="124"/>
        <v/>
      </c>
      <c r="F727" t="str">
        <f t="shared" si="125"/>
        <v/>
      </c>
      <c r="G727" t="str">
        <f t="shared" si="126"/>
        <v/>
      </c>
      <c r="H727" t="str">
        <f t="shared" si="127"/>
        <v/>
      </c>
      <c r="I727" t="str">
        <f t="shared" si="128"/>
        <v/>
      </c>
      <c r="J727" t="str">
        <f t="shared" si="129"/>
        <v/>
      </c>
    </row>
    <row r="728" spans="2:10">
      <c r="B728" t="str">
        <f t="shared" si="121"/>
        <v>Zabór</v>
      </c>
      <c r="C728" t="str">
        <f t="shared" si="123"/>
        <v/>
      </c>
      <c r="D728" t="str">
        <f t="shared" si="122"/>
        <v/>
      </c>
      <c r="E728" t="str">
        <f t="shared" si="124"/>
        <v/>
      </c>
      <c r="F728" t="str">
        <f t="shared" si="125"/>
        <v/>
      </c>
      <c r="G728" t="str">
        <f t="shared" si="126"/>
        <v/>
      </c>
      <c r="H728" t="str">
        <f t="shared" si="127"/>
        <v/>
      </c>
      <c r="I728" t="str">
        <f t="shared" si="128"/>
        <v/>
      </c>
      <c r="J728" t="str">
        <f t="shared" si="129"/>
        <v/>
      </c>
    </row>
    <row r="729" spans="2:10">
      <c r="B729" t="str">
        <f t="shared" si="121"/>
        <v>Zabór</v>
      </c>
      <c r="C729" t="str">
        <f t="shared" si="123"/>
        <v/>
      </c>
      <c r="D729" t="str">
        <f t="shared" si="122"/>
        <v/>
      </c>
      <c r="E729" t="str">
        <f t="shared" si="124"/>
        <v/>
      </c>
      <c r="F729" t="str">
        <f t="shared" si="125"/>
        <v/>
      </c>
      <c r="G729" t="str">
        <f t="shared" si="126"/>
        <v/>
      </c>
      <c r="H729" t="str">
        <f t="shared" si="127"/>
        <v/>
      </c>
      <c r="I729" t="str">
        <f t="shared" si="128"/>
        <v/>
      </c>
      <c r="J729" t="str">
        <f t="shared" si="129"/>
        <v/>
      </c>
    </row>
    <row r="730" spans="2:10">
      <c r="B730" t="str">
        <f t="shared" si="121"/>
        <v>Zabór</v>
      </c>
      <c r="C730" t="str">
        <f t="shared" si="123"/>
        <v/>
      </c>
      <c r="D730" t="str">
        <f t="shared" si="122"/>
        <v/>
      </c>
      <c r="E730" t="str">
        <f t="shared" si="124"/>
        <v/>
      </c>
      <c r="F730" t="str">
        <f t="shared" si="125"/>
        <v/>
      </c>
      <c r="G730" t="str">
        <f t="shared" si="126"/>
        <v/>
      </c>
      <c r="H730" t="str">
        <f t="shared" si="127"/>
        <v/>
      </c>
      <c r="I730" t="str">
        <f t="shared" si="128"/>
        <v/>
      </c>
      <c r="J730" t="str">
        <f t="shared" si="129"/>
        <v/>
      </c>
    </row>
    <row r="731" spans="2:10">
      <c r="B731" t="str">
        <f t="shared" si="121"/>
        <v>Zabór</v>
      </c>
      <c r="C731" t="str">
        <f t="shared" si="123"/>
        <v/>
      </c>
      <c r="D731" t="str">
        <f t="shared" si="122"/>
        <v/>
      </c>
      <c r="E731" t="str">
        <f t="shared" si="124"/>
        <v/>
      </c>
      <c r="F731" t="str">
        <f t="shared" si="125"/>
        <v/>
      </c>
      <c r="G731" t="str">
        <f t="shared" si="126"/>
        <v/>
      </c>
      <c r="H731" t="str">
        <f t="shared" si="127"/>
        <v/>
      </c>
      <c r="I731" t="str">
        <f t="shared" si="128"/>
        <v/>
      </c>
      <c r="J731" t="str">
        <f t="shared" si="129"/>
        <v/>
      </c>
    </row>
    <row r="732" spans="2:10">
      <c r="B732" t="str">
        <f t="shared" si="121"/>
        <v>Zabór</v>
      </c>
      <c r="C732" t="str">
        <f t="shared" si="123"/>
        <v/>
      </c>
      <c r="D732" t="str">
        <f t="shared" si="122"/>
        <v/>
      </c>
      <c r="E732" t="str">
        <f t="shared" si="124"/>
        <v/>
      </c>
      <c r="F732" t="str">
        <f t="shared" si="125"/>
        <v/>
      </c>
      <c r="G732" t="str">
        <f t="shared" si="126"/>
        <v/>
      </c>
      <c r="H732" t="str">
        <f t="shared" si="127"/>
        <v/>
      </c>
      <c r="I732" t="str">
        <f t="shared" si="128"/>
        <v/>
      </c>
      <c r="J732" t="str">
        <f t="shared" si="129"/>
        <v/>
      </c>
    </row>
    <row r="733" spans="2:10">
      <c r="B733" t="str">
        <f t="shared" si="121"/>
        <v>Zabór</v>
      </c>
      <c r="C733" t="str">
        <f t="shared" si="123"/>
        <v/>
      </c>
      <c r="D733" t="str">
        <f t="shared" si="122"/>
        <v/>
      </c>
      <c r="E733" t="str">
        <f t="shared" si="124"/>
        <v/>
      </c>
      <c r="F733" t="str">
        <f t="shared" si="125"/>
        <v/>
      </c>
      <c r="G733" t="str">
        <f t="shared" si="126"/>
        <v/>
      </c>
      <c r="H733" t="str">
        <f t="shared" si="127"/>
        <v/>
      </c>
      <c r="I733" t="str">
        <f t="shared" si="128"/>
        <v/>
      </c>
      <c r="J733" t="str">
        <f t="shared" si="129"/>
        <v/>
      </c>
    </row>
    <row r="734" spans="2:10">
      <c r="B734" t="str">
        <f t="shared" si="121"/>
        <v>Zabór</v>
      </c>
      <c r="C734" t="str">
        <f t="shared" si="123"/>
        <v/>
      </c>
      <c r="D734" t="str">
        <f t="shared" si="122"/>
        <v/>
      </c>
      <c r="E734" t="str">
        <f t="shared" si="124"/>
        <v/>
      </c>
      <c r="F734" t="str">
        <f t="shared" si="125"/>
        <v/>
      </c>
      <c r="G734" t="str">
        <f t="shared" si="126"/>
        <v/>
      </c>
      <c r="H734" t="str">
        <f t="shared" si="127"/>
        <v/>
      </c>
      <c r="I734" t="str">
        <f t="shared" si="128"/>
        <v/>
      </c>
      <c r="J734" t="str">
        <f t="shared" si="129"/>
        <v/>
      </c>
    </row>
    <row r="735" spans="2:10">
      <c r="B735" t="str">
        <f t="shared" si="121"/>
        <v>Zabór</v>
      </c>
      <c r="C735" t="str">
        <f t="shared" si="123"/>
        <v/>
      </c>
      <c r="D735" t="str">
        <f t="shared" si="122"/>
        <v/>
      </c>
      <c r="E735" t="str">
        <f t="shared" si="124"/>
        <v/>
      </c>
      <c r="F735" t="str">
        <f t="shared" si="125"/>
        <v/>
      </c>
      <c r="G735" t="str">
        <f t="shared" si="126"/>
        <v/>
      </c>
      <c r="H735" t="str">
        <f t="shared" si="127"/>
        <v/>
      </c>
      <c r="I735" t="str">
        <f t="shared" si="128"/>
        <v/>
      </c>
      <c r="J735" t="str">
        <f t="shared" si="129"/>
        <v/>
      </c>
    </row>
    <row r="736" spans="2:10">
      <c r="B736" t="str">
        <f t="shared" ref="B736:B799" si="130">+IF(AND(C736&gt;"",ISERR(FIND("DKK",A735))),A735,B735)</f>
        <v>Zabór</v>
      </c>
      <c r="C736" t="str">
        <f t="shared" si="123"/>
        <v/>
      </c>
      <c r="D736" t="str">
        <f t="shared" si="122"/>
        <v/>
      </c>
      <c r="E736" t="str">
        <f t="shared" si="124"/>
        <v/>
      </c>
      <c r="F736" t="str">
        <f t="shared" si="125"/>
        <v/>
      </c>
      <c r="G736" t="str">
        <f t="shared" si="126"/>
        <v/>
      </c>
      <c r="H736" t="str">
        <f t="shared" si="127"/>
        <v/>
      </c>
      <c r="I736" t="str">
        <f t="shared" si="128"/>
        <v/>
      </c>
      <c r="J736" t="str">
        <f t="shared" si="129"/>
        <v/>
      </c>
    </row>
    <row r="737" spans="2:10">
      <c r="B737" t="str">
        <f t="shared" si="130"/>
        <v>Zabór</v>
      </c>
      <c r="C737" t="str">
        <f t="shared" si="123"/>
        <v/>
      </c>
      <c r="D737" t="str">
        <f t="shared" si="122"/>
        <v/>
      </c>
      <c r="E737" t="str">
        <f t="shared" si="124"/>
        <v/>
      </c>
      <c r="F737" t="str">
        <f t="shared" si="125"/>
        <v/>
      </c>
      <c r="G737" t="str">
        <f t="shared" si="126"/>
        <v/>
      </c>
      <c r="H737" t="str">
        <f t="shared" si="127"/>
        <v/>
      </c>
      <c r="I737" t="str">
        <f t="shared" si="128"/>
        <v/>
      </c>
      <c r="J737" t="str">
        <f t="shared" si="129"/>
        <v/>
      </c>
    </row>
    <row r="738" spans="2:10">
      <c r="B738" t="str">
        <f t="shared" si="130"/>
        <v>Zabór</v>
      </c>
      <c r="C738" t="str">
        <f t="shared" si="123"/>
        <v/>
      </c>
      <c r="D738" t="str">
        <f t="shared" si="122"/>
        <v/>
      </c>
      <c r="E738" t="str">
        <f t="shared" si="124"/>
        <v/>
      </c>
      <c r="F738" t="str">
        <f t="shared" si="125"/>
        <v/>
      </c>
      <c r="G738" t="str">
        <f t="shared" si="126"/>
        <v/>
      </c>
      <c r="H738" t="str">
        <f t="shared" si="127"/>
        <v/>
      </c>
      <c r="I738" t="str">
        <f t="shared" si="128"/>
        <v/>
      </c>
      <c r="J738" t="str">
        <f t="shared" si="129"/>
        <v/>
      </c>
    </row>
    <row r="739" spans="2:10">
      <c r="B739" t="str">
        <f t="shared" si="130"/>
        <v>Zabór</v>
      </c>
      <c r="C739" t="str">
        <f t="shared" si="123"/>
        <v/>
      </c>
      <c r="D739" t="str">
        <f t="shared" si="122"/>
        <v/>
      </c>
      <c r="E739" t="str">
        <f t="shared" si="124"/>
        <v/>
      </c>
      <c r="F739" t="str">
        <f t="shared" si="125"/>
        <v/>
      </c>
      <c r="G739" t="str">
        <f t="shared" si="126"/>
        <v/>
      </c>
      <c r="H739" t="str">
        <f t="shared" si="127"/>
        <v/>
      </c>
      <c r="I739" t="str">
        <f t="shared" si="128"/>
        <v/>
      </c>
      <c r="J739" t="str">
        <f t="shared" si="129"/>
        <v/>
      </c>
    </row>
    <row r="740" spans="2:10">
      <c r="B740" t="str">
        <f t="shared" si="130"/>
        <v>Zabór</v>
      </c>
      <c r="C740" t="str">
        <f t="shared" si="123"/>
        <v/>
      </c>
      <c r="D740" t="str">
        <f t="shared" si="122"/>
        <v/>
      </c>
      <c r="E740" t="str">
        <f t="shared" si="124"/>
        <v/>
      </c>
      <c r="F740" t="str">
        <f t="shared" si="125"/>
        <v/>
      </c>
      <c r="G740" t="str">
        <f t="shared" si="126"/>
        <v/>
      </c>
      <c r="H740" t="str">
        <f t="shared" si="127"/>
        <v/>
      </c>
      <c r="I740" t="str">
        <f t="shared" si="128"/>
        <v/>
      </c>
      <c r="J740" t="str">
        <f t="shared" si="129"/>
        <v/>
      </c>
    </row>
    <row r="741" spans="2:10">
      <c r="B741" t="str">
        <f t="shared" si="130"/>
        <v>Zabór</v>
      </c>
      <c r="C741" t="str">
        <f t="shared" si="123"/>
        <v/>
      </c>
      <c r="D741" t="str">
        <f t="shared" si="122"/>
        <v/>
      </c>
      <c r="E741" t="str">
        <f t="shared" si="124"/>
        <v/>
      </c>
      <c r="F741" t="str">
        <f t="shared" si="125"/>
        <v/>
      </c>
      <c r="G741" t="str">
        <f t="shared" si="126"/>
        <v/>
      </c>
      <c r="H741" t="str">
        <f t="shared" si="127"/>
        <v/>
      </c>
      <c r="I741" t="str">
        <f t="shared" si="128"/>
        <v/>
      </c>
      <c r="J741" t="str">
        <f t="shared" si="129"/>
        <v/>
      </c>
    </row>
    <row r="742" spans="2:10">
      <c r="B742" t="str">
        <f t="shared" si="130"/>
        <v>Zabór</v>
      </c>
      <c r="C742" t="str">
        <f t="shared" si="123"/>
        <v/>
      </c>
      <c r="D742" t="str">
        <f t="shared" si="122"/>
        <v/>
      </c>
      <c r="E742" t="str">
        <f t="shared" si="124"/>
        <v/>
      </c>
      <c r="F742" t="str">
        <f t="shared" si="125"/>
        <v/>
      </c>
      <c r="G742" t="str">
        <f t="shared" si="126"/>
        <v/>
      </c>
      <c r="H742" t="str">
        <f t="shared" si="127"/>
        <v/>
      </c>
      <c r="I742" t="str">
        <f t="shared" si="128"/>
        <v/>
      </c>
      <c r="J742" t="str">
        <f t="shared" si="129"/>
        <v/>
      </c>
    </row>
    <row r="743" spans="2:10">
      <c r="B743" t="str">
        <f t="shared" si="130"/>
        <v>Zabór</v>
      </c>
      <c r="C743" t="str">
        <f t="shared" si="123"/>
        <v/>
      </c>
      <c r="D743" t="str">
        <f t="shared" si="122"/>
        <v/>
      </c>
      <c r="E743" t="str">
        <f t="shared" si="124"/>
        <v/>
      </c>
      <c r="F743" t="str">
        <f t="shared" si="125"/>
        <v/>
      </c>
      <c r="G743" t="str">
        <f t="shared" si="126"/>
        <v/>
      </c>
      <c r="H743" t="str">
        <f t="shared" si="127"/>
        <v/>
      </c>
      <c r="I743" t="str">
        <f t="shared" si="128"/>
        <v/>
      </c>
      <c r="J743" t="str">
        <f t="shared" si="129"/>
        <v/>
      </c>
    </row>
    <row r="744" spans="2:10">
      <c r="B744" t="str">
        <f t="shared" si="130"/>
        <v>Zabór</v>
      </c>
      <c r="C744" t="str">
        <f t="shared" si="123"/>
        <v/>
      </c>
      <c r="D744" t="str">
        <f t="shared" si="122"/>
        <v/>
      </c>
      <c r="E744" t="str">
        <f t="shared" si="124"/>
        <v/>
      </c>
      <c r="F744" t="str">
        <f t="shared" si="125"/>
        <v/>
      </c>
      <c r="G744" t="str">
        <f t="shared" si="126"/>
        <v/>
      </c>
      <c r="H744" t="str">
        <f t="shared" si="127"/>
        <v/>
      </c>
      <c r="I744" t="str">
        <f t="shared" si="128"/>
        <v/>
      </c>
      <c r="J744" t="str">
        <f t="shared" si="129"/>
        <v/>
      </c>
    </row>
    <row r="745" spans="2:10">
      <c r="B745" t="str">
        <f t="shared" si="130"/>
        <v>Zabór</v>
      </c>
      <c r="C745" t="str">
        <f t="shared" si="123"/>
        <v/>
      </c>
      <c r="D745" t="str">
        <f t="shared" si="122"/>
        <v/>
      </c>
      <c r="E745" t="str">
        <f t="shared" si="124"/>
        <v/>
      </c>
      <c r="F745" t="str">
        <f t="shared" si="125"/>
        <v/>
      </c>
      <c r="G745" t="str">
        <f t="shared" si="126"/>
        <v/>
      </c>
      <c r="H745" t="str">
        <f t="shared" si="127"/>
        <v/>
      </c>
      <c r="I745" t="str">
        <f t="shared" si="128"/>
        <v/>
      </c>
      <c r="J745" t="str">
        <f t="shared" si="129"/>
        <v/>
      </c>
    </row>
    <row r="746" spans="2:10">
      <c r="B746" t="str">
        <f t="shared" si="130"/>
        <v>Zabór</v>
      </c>
      <c r="C746" t="str">
        <f t="shared" si="123"/>
        <v/>
      </c>
      <c r="D746" t="str">
        <f t="shared" si="122"/>
        <v/>
      </c>
      <c r="E746" t="str">
        <f t="shared" si="124"/>
        <v/>
      </c>
      <c r="F746" t="str">
        <f t="shared" si="125"/>
        <v/>
      </c>
      <c r="G746" t="str">
        <f t="shared" si="126"/>
        <v/>
      </c>
      <c r="H746" t="str">
        <f t="shared" si="127"/>
        <v/>
      </c>
      <c r="I746" t="str">
        <f t="shared" si="128"/>
        <v/>
      </c>
      <c r="J746" t="str">
        <f t="shared" si="129"/>
        <v/>
      </c>
    </row>
    <row r="747" spans="2:10">
      <c r="B747" t="str">
        <f t="shared" si="130"/>
        <v>Zabór</v>
      </c>
      <c r="C747" t="str">
        <f t="shared" si="123"/>
        <v/>
      </c>
      <c r="D747" t="str">
        <f t="shared" ref="D747:D809" si="131">IF(C747&gt;"",A748,"")</f>
        <v/>
      </c>
      <c r="E747" t="str">
        <f t="shared" si="124"/>
        <v/>
      </c>
      <c r="F747" t="str">
        <f t="shared" si="125"/>
        <v/>
      </c>
      <c r="G747" t="str">
        <f t="shared" si="126"/>
        <v/>
      </c>
      <c r="H747" t="str">
        <f t="shared" si="127"/>
        <v/>
      </c>
      <c r="I747" t="str">
        <f t="shared" si="128"/>
        <v/>
      </c>
      <c r="J747" t="str">
        <f t="shared" si="129"/>
        <v/>
      </c>
    </row>
    <row r="748" spans="2:10">
      <c r="B748" t="str">
        <f t="shared" si="130"/>
        <v>Zabór</v>
      </c>
      <c r="C748" t="str">
        <f t="shared" si="123"/>
        <v/>
      </c>
      <c r="D748" t="str">
        <f t="shared" si="131"/>
        <v/>
      </c>
      <c r="E748" t="str">
        <f t="shared" si="124"/>
        <v/>
      </c>
      <c r="F748" t="str">
        <f t="shared" si="125"/>
        <v/>
      </c>
      <c r="G748" t="str">
        <f t="shared" si="126"/>
        <v/>
      </c>
      <c r="H748" t="str">
        <f t="shared" si="127"/>
        <v/>
      </c>
      <c r="I748" t="str">
        <f t="shared" si="128"/>
        <v/>
      </c>
      <c r="J748" t="str">
        <f t="shared" si="129"/>
        <v/>
      </c>
    </row>
    <row r="749" spans="2:10">
      <c r="B749" t="str">
        <f t="shared" si="130"/>
        <v>Zabór</v>
      </c>
      <c r="C749" t="str">
        <f t="shared" si="123"/>
        <v/>
      </c>
      <c r="D749" t="str">
        <f t="shared" si="131"/>
        <v/>
      </c>
      <c r="E749" t="str">
        <f t="shared" si="124"/>
        <v/>
      </c>
      <c r="F749" t="str">
        <f t="shared" si="125"/>
        <v/>
      </c>
      <c r="G749" t="str">
        <f t="shared" si="126"/>
        <v/>
      </c>
      <c r="H749" t="str">
        <f t="shared" si="127"/>
        <v/>
      </c>
      <c r="I749" t="str">
        <f t="shared" si="128"/>
        <v/>
      </c>
      <c r="J749" t="str">
        <f t="shared" si="129"/>
        <v/>
      </c>
    </row>
    <row r="750" spans="2:10">
      <c r="B750" t="str">
        <f t="shared" si="130"/>
        <v>Zabór</v>
      </c>
      <c r="C750" t="str">
        <f t="shared" si="123"/>
        <v/>
      </c>
      <c r="D750" t="str">
        <f t="shared" si="131"/>
        <v/>
      </c>
      <c r="E750" t="str">
        <f t="shared" si="124"/>
        <v/>
      </c>
      <c r="F750" t="str">
        <f t="shared" si="125"/>
        <v/>
      </c>
      <c r="G750" t="str">
        <f t="shared" si="126"/>
        <v/>
      </c>
      <c r="H750" t="str">
        <f t="shared" si="127"/>
        <v/>
      </c>
      <c r="I750" t="str">
        <f t="shared" si="128"/>
        <v/>
      </c>
      <c r="J750" t="str">
        <f t="shared" si="129"/>
        <v/>
      </c>
    </row>
    <row r="751" spans="2:10">
      <c r="B751" t="str">
        <f t="shared" si="130"/>
        <v>Zabór</v>
      </c>
      <c r="C751" t="str">
        <f t="shared" si="123"/>
        <v/>
      </c>
      <c r="D751" t="str">
        <f t="shared" si="131"/>
        <v/>
      </c>
      <c r="E751" t="str">
        <f t="shared" si="124"/>
        <v/>
      </c>
      <c r="F751" t="str">
        <f t="shared" si="125"/>
        <v/>
      </c>
      <c r="G751" t="str">
        <f t="shared" si="126"/>
        <v/>
      </c>
      <c r="H751" t="str">
        <f t="shared" si="127"/>
        <v/>
      </c>
      <c r="I751" t="str">
        <f t="shared" si="128"/>
        <v/>
      </c>
      <c r="J751" t="str">
        <f t="shared" si="129"/>
        <v/>
      </c>
    </row>
    <row r="752" spans="2:10">
      <c r="B752" t="str">
        <f t="shared" si="130"/>
        <v>Zabór</v>
      </c>
      <c r="C752" t="str">
        <f t="shared" si="123"/>
        <v/>
      </c>
      <c r="D752" t="str">
        <f t="shared" si="131"/>
        <v/>
      </c>
      <c r="E752" t="str">
        <f t="shared" si="124"/>
        <v/>
      </c>
      <c r="F752" t="str">
        <f t="shared" si="125"/>
        <v/>
      </c>
      <c r="G752" t="str">
        <f t="shared" si="126"/>
        <v/>
      </c>
      <c r="H752" t="str">
        <f t="shared" si="127"/>
        <v/>
      </c>
      <c r="I752" t="str">
        <f t="shared" si="128"/>
        <v/>
      </c>
      <c r="J752" t="str">
        <f t="shared" si="129"/>
        <v/>
      </c>
    </row>
    <row r="753" spans="2:10">
      <c r="B753" t="str">
        <f t="shared" si="130"/>
        <v>Zabór</v>
      </c>
      <c r="C753" t="str">
        <f t="shared" si="123"/>
        <v/>
      </c>
      <c r="D753" t="str">
        <f t="shared" si="131"/>
        <v/>
      </c>
      <c r="E753" t="str">
        <f t="shared" si="124"/>
        <v/>
      </c>
      <c r="F753" t="str">
        <f t="shared" si="125"/>
        <v/>
      </c>
      <c r="G753" t="str">
        <f t="shared" si="126"/>
        <v/>
      </c>
      <c r="H753" t="str">
        <f t="shared" si="127"/>
        <v/>
      </c>
      <c r="I753" t="str">
        <f t="shared" si="128"/>
        <v/>
      </c>
      <c r="J753" t="str">
        <f t="shared" si="129"/>
        <v/>
      </c>
    </row>
    <row r="754" spans="2:10">
      <c r="B754" t="str">
        <f t="shared" si="130"/>
        <v>Zabór</v>
      </c>
      <c r="C754" t="str">
        <f t="shared" si="123"/>
        <v/>
      </c>
      <c r="D754" t="str">
        <f t="shared" si="131"/>
        <v/>
      </c>
      <c r="E754" t="str">
        <f t="shared" si="124"/>
        <v/>
      </c>
      <c r="F754" t="str">
        <f t="shared" si="125"/>
        <v/>
      </c>
      <c r="G754" t="str">
        <f t="shared" si="126"/>
        <v/>
      </c>
      <c r="H754" t="str">
        <f t="shared" si="127"/>
        <v/>
      </c>
      <c r="I754" t="str">
        <f t="shared" si="128"/>
        <v/>
      </c>
      <c r="J754" t="str">
        <f t="shared" si="129"/>
        <v/>
      </c>
    </row>
    <row r="755" spans="2:10">
      <c r="B755" t="str">
        <f t="shared" si="130"/>
        <v>Zabór</v>
      </c>
      <c r="C755" t="str">
        <f t="shared" si="123"/>
        <v/>
      </c>
      <c r="D755" t="str">
        <f t="shared" si="131"/>
        <v/>
      </c>
      <c r="E755" t="str">
        <f t="shared" si="124"/>
        <v/>
      </c>
      <c r="F755" t="str">
        <f t="shared" si="125"/>
        <v/>
      </c>
      <c r="G755" t="str">
        <f t="shared" si="126"/>
        <v/>
      </c>
      <c r="H755" t="str">
        <f t="shared" si="127"/>
        <v/>
      </c>
      <c r="I755" t="str">
        <f t="shared" si="128"/>
        <v/>
      </c>
      <c r="J755" t="str">
        <f t="shared" si="129"/>
        <v/>
      </c>
    </row>
    <row r="756" spans="2:10">
      <c r="B756" t="str">
        <f t="shared" si="130"/>
        <v>Zabór</v>
      </c>
      <c r="C756" t="str">
        <f t="shared" si="123"/>
        <v/>
      </c>
      <c r="D756" t="str">
        <f t="shared" si="131"/>
        <v/>
      </c>
      <c r="E756" t="str">
        <f t="shared" si="124"/>
        <v/>
      </c>
      <c r="F756" t="str">
        <f t="shared" si="125"/>
        <v/>
      </c>
      <c r="G756" t="str">
        <f t="shared" si="126"/>
        <v/>
      </c>
      <c r="H756" t="str">
        <f t="shared" si="127"/>
        <v/>
      </c>
      <c r="I756" t="str">
        <f t="shared" si="128"/>
        <v/>
      </c>
      <c r="J756" t="str">
        <f t="shared" si="129"/>
        <v/>
      </c>
    </row>
    <row r="757" spans="2:10">
      <c r="B757" t="str">
        <f t="shared" si="130"/>
        <v>Zabór</v>
      </c>
      <c r="C757" t="str">
        <f t="shared" si="123"/>
        <v/>
      </c>
      <c r="D757" t="str">
        <f t="shared" si="131"/>
        <v/>
      </c>
      <c r="E757" t="str">
        <f t="shared" si="124"/>
        <v/>
      </c>
      <c r="F757" t="str">
        <f t="shared" si="125"/>
        <v/>
      </c>
      <c r="G757" t="str">
        <f t="shared" si="126"/>
        <v/>
      </c>
      <c r="H757" t="str">
        <f t="shared" si="127"/>
        <v/>
      </c>
      <c r="I757" t="str">
        <f t="shared" si="128"/>
        <v/>
      </c>
      <c r="J757" t="str">
        <f t="shared" si="129"/>
        <v/>
      </c>
    </row>
    <row r="758" spans="2:10">
      <c r="B758" t="str">
        <f t="shared" si="130"/>
        <v>Zabór</v>
      </c>
      <c r="C758" t="str">
        <f t="shared" si="123"/>
        <v/>
      </c>
      <c r="D758" t="str">
        <f t="shared" si="131"/>
        <v/>
      </c>
      <c r="E758" t="str">
        <f t="shared" si="124"/>
        <v/>
      </c>
      <c r="F758" t="str">
        <f t="shared" si="125"/>
        <v/>
      </c>
      <c r="G758" t="str">
        <f t="shared" si="126"/>
        <v/>
      </c>
      <c r="H758" t="str">
        <f t="shared" si="127"/>
        <v/>
      </c>
      <c r="I758" t="str">
        <f t="shared" si="128"/>
        <v/>
      </c>
      <c r="J758" t="str">
        <f t="shared" si="129"/>
        <v/>
      </c>
    </row>
    <row r="759" spans="2:10">
      <c r="B759" t="str">
        <f t="shared" si="130"/>
        <v>Zabór</v>
      </c>
      <c r="C759" t="str">
        <f t="shared" si="123"/>
        <v/>
      </c>
      <c r="D759" t="str">
        <f t="shared" si="131"/>
        <v/>
      </c>
      <c r="E759" t="str">
        <f t="shared" si="124"/>
        <v/>
      </c>
      <c r="F759" t="str">
        <f t="shared" si="125"/>
        <v/>
      </c>
      <c r="G759" t="str">
        <f t="shared" si="126"/>
        <v/>
      </c>
      <c r="H759" t="str">
        <f t="shared" si="127"/>
        <v/>
      </c>
      <c r="I759" t="str">
        <f t="shared" si="128"/>
        <v/>
      </c>
      <c r="J759" t="str">
        <f t="shared" si="129"/>
        <v/>
      </c>
    </row>
    <row r="760" spans="2:10">
      <c r="B760" t="str">
        <f t="shared" si="130"/>
        <v>Zabór</v>
      </c>
      <c r="C760" t="str">
        <f t="shared" si="123"/>
        <v/>
      </c>
      <c r="D760" t="str">
        <f t="shared" si="131"/>
        <v/>
      </c>
      <c r="E760" t="str">
        <f t="shared" si="124"/>
        <v/>
      </c>
      <c r="F760" t="str">
        <f t="shared" si="125"/>
        <v/>
      </c>
      <c r="G760" t="str">
        <f t="shared" si="126"/>
        <v/>
      </c>
      <c r="H760" t="str">
        <f t="shared" si="127"/>
        <v/>
      </c>
      <c r="I760" t="str">
        <f t="shared" si="128"/>
        <v/>
      </c>
      <c r="J760" t="str">
        <f t="shared" si="129"/>
        <v/>
      </c>
    </row>
    <row r="761" spans="2:10">
      <c r="B761" t="str">
        <f t="shared" si="130"/>
        <v>Zabór</v>
      </c>
      <c r="C761" t="str">
        <f t="shared" si="123"/>
        <v/>
      </c>
      <c r="D761" t="str">
        <f t="shared" si="131"/>
        <v/>
      </c>
      <c r="E761" t="str">
        <f t="shared" si="124"/>
        <v/>
      </c>
      <c r="F761" t="str">
        <f t="shared" si="125"/>
        <v/>
      </c>
      <c r="G761" t="str">
        <f t="shared" si="126"/>
        <v/>
      </c>
      <c r="H761" t="str">
        <f t="shared" si="127"/>
        <v/>
      </c>
      <c r="I761" t="str">
        <f t="shared" si="128"/>
        <v/>
      </c>
      <c r="J761" t="str">
        <f t="shared" si="129"/>
        <v/>
      </c>
    </row>
    <row r="762" spans="2:10">
      <c r="B762" t="str">
        <f t="shared" si="130"/>
        <v>Zabór</v>
      </c>
      <c r="C762" t="str">
        <f t="shared" si="123"/>
        <v/>
      </c>
      <c r="D762" t="str">
        <f t="shared" si="131"/>
        <v/>
      </c>
      <c r="E762" t="str">
        <f t="shared" si="124"/>
        <v/>
      </c>
      <c r="F762" t="str">
        <f t="shared" si="125"/>
        <v/>
      </c>
      <c r="G762" t="str">
        <f t="shared" si="126"/>
        <v/>
      </c>
      <c r="H762" t="str">
        <f t="shared" si="127"/>
        <v/>
      </c>
      <c r="I762" t="str">
        <f t="shared" si="128"/>
        <v/>
      </c>
      <c r="J762" t="str">
        <f t="shared" si="129"/>
        <v/>
      </c>
    </row>
    <row r="763" spans="2:10">
      <c r="B763" t="str">
        <f t="shared" si="130"/>
        <v>Zabór</v>
      </c>
      <c r="C763" t="str">
        <f t="shared" si="123"/>
        <v/>
      </c>
      <c r="D763" t="str">
        <f t="shared" si="131"/>
        <v/>
      </c>
      <c r="E763" t="str">
        <f t="shared" si="124"/>
        <v/>
      </c>
      <c r="F763" t="str">
        <f t="shared" si="125"/>
        <v/>
      </c>
      <c r="G763" t="str">
        <f t="shared" si="126"/>
        <v/>
      </c>
      <c r="H763" t="str">
        <f t="shared" si="127"/>
        <v/>
      </c>
      <c r="I763" t="str">
        <f t="shared" si="128"/>
        <v/>
      </c>
      <c r="J763" t="str">
        <f t="shared" si="129"/>
        <v/>
      </c>
    </row>
    <row r="764" spans="2:10">
      <c r="B764" t="str">
        <f t="shared" si="130"/>
        <v>Zabór</v>
      </c>
      <c r="C764" t="str">
        <f t="shared" si="123"/>
        <v/>
      </c>
      <c r="D764" t="str">
        <f t="shared" si="131"/>
        <v/>
      </c>
      <c r="E764" t="str">
        <f t="shared" si="124"/>
        <v/>
      </c>
      <c r="F764" t="str">
        <f t="shared" si="125"/>
        <v/>
      </c>
      <c r="G764" t="str">
        <f t="shared" si="126"/>
        <v/>
      </c>
      <c r="H764" t="str">
        <f t="shared" si="127"/>
        <v/>
      </c>
      <c r="I764" t="str">
        <f t="shared" si="128"/>
        <v/>
      </c>
      <c r="J764" t="str">
        <f t="shared" si="129"/>
        <v/>
      </c>
    </row>
    <row r="765" spans="2:10">
      <c r="B765" t="str">
        <f t="shared" si="130"/>
        <v>Zabór</v>
      </c>
      <c r="C765" t="str">
        <f t="shared" si="123"/>
        <v/>
      </c>
      <c r="D765" t="str">
        <f t="shared" si="131"/>
        <v/>
      </c>
      <c r="E765" t="str">
        <f t="shared" si="124"/>
        <v/>
      </c>
      <c r="F765" t="str">
        <f t="shared" si="125"/>
        <v/>
      </c>
      <c r="G765" t="str">
        <f t="shared" si="126"/>
        <v/>
      </c>
      <c r="H765" t="str">
        <f t="shared" si="127"/>
        <v/>
      </c>
      <c r="I765" t="str">
        <f t="shared" si="128"/>
        <v/>
      </c>
      <c r="J765" t="str">
        <f t="shared" si="129"/>
        <v/>
      </c>
    </row>
    <row r="766" spans="2:10">
      <c r="B766" t="str">
        <f t="shared" si="130"/>
        <v>Zabór</v>
      </c>
      <c r="C766" t="str">
        <f t="shared" si="123"/>
        <v/>
      </c>
      <c r="D766" t="str">
        <f t="shared" si="131"/>
        <v/>
      </c>
      <c r="E766" t="str">
        <f t="shared" si="124"/>
        <v/>
      </c>
      <c r="F766" t="str">
        <f t="shared" si="125"/>
        <v/>
      </c>
      <c r="G766" t="str">
        <f t="shared" si="126"/>
        <v/>
      </c>
      <c r="H766" t="str">
        <f t="shared" si="127"/>
        <v/>
      </c>
      <c r="I766" t="str">
        <f t="shared" si="128"/>
        <v/>
      </c>
      <c r="J766" t="str">
        <f t="shared" si="129"/>
        <v/>
      </c>
    </row>
    <row r="767" spans="2:10">
      <c r="B767" t="str">
        <f t="shared" si="130"/>
        <v>Zabór</v>
      </c>
      <c r="C767" t="str">
        <f t="shared" si="123"/>
        <v/>
      </c>
      <c r="D767" t="str">
        <f t="shared" si="131"/>
        <v/>
      </c>
      <c r="E767" t="str">
        <f t="shared" si="124"/>
        <v/>
      </c>
      <c r="F767" t="str">
        <f t="shared" si="125"/>
        <v/>
      </c>
      <c r="G767" t="str">
        <f t="shared" si="126"/>
        <v/>
      </c>
      <c r="H767" t="str">
        <f t="shared" si="127"/>
        <v/>
      </c>
      <c r="I767" t="str">
        <f t="shared" si="128"/>
        <v/>
      </c>
      <c r="J767" t="str">
        <f t="shared" si="129"/>
        <v/>
      </c>
    </row>
    <row r="768" spans="2:10">
      <c r="B768" t="str">
        <f t="shared" si="130"/>
        <v>Zabór</v>
      </c>
      <c r="C768" t="str">
        <f t="shared" si="123"/>
        <v/>
      </c>
      <c r="D768" t="str">
        <f t="shared" si="131"/>
        <v/>
      </c>
      <c r="E768" t="str">
        <f t="shared" si="124"/>
        <v/>
      </c>
      <c r="F768" t="str">
        <f t="shared" si="125"/>
        <v/>
      </c>
      <c r="G768" t="str">
        <f t="shared" si="126"/>
        <v/>
      </c>
      <c r="H768" t="str">
        <f t="shared" si="127"/>
        <v/>
      </c>
      <c r="I768" t="str">
        <f t="shared" si="128"/>
        <v/>
      </c>
      <c r="J768" t="str">
        <f t="shared" si="129"/>
        <v/>
      </c>
    </row>
    <row r="769" spans="2:10">
      <c r="B769" t="str">
        <f t="shared" si="130"/>
        <v>Zabór</v>
      </c>
      <c r="C769" t="str">
        <f t="shared" si="123"/>
        <v/>
      </c>
      <c r="D769" t="str">
        <f t="shared" si="131"/>
        <v/>
      </c>
      <c r="E769" t="str">
        <f t="shared" si="124"/>
        <v/>
      </c>
      <c r="F769" t="str">
        <f t="shared" si="125"/>
        <v/>
      </c>
      <c r="G769" t="str">
        <f t="shared" si="126"/>
        <v/>
      </c>
      <c r="H769" t="str">
        <f t="shared" si="127"/>
        <v/>
      </c>
      <c r="I769" t="str">
        <f t="shared" si="128"/>
        <v/>
      </c>
      <c r="J769" t="str">
        <f t="shared" si="129"/>
        <v/>
      </c>
    </row>
    <row r="770" spans="2:10">
      <c r="B770" t="str">
        <f t="shared" si="130"/>
        <v>Zabór</v>
      </c>
      <c r="C770" t="str">
        <f t="shared" si="123"/>
        <v/>
      </c>
      <c r="D770" t="str">
        <f t="shared" si="131"/>
        <v/>
      </c>
      <c r="E770" t="str">
        <f t="shared" si="124"/>
        <v/>
      </c>
      <c r="F770" t="str">
        <f t="shared" si="125"/>
        <v/>
      </c>
      <c r="G770" t="str">
        <f t="shared" si="126"/>
        <v/>
      </c>
      <c r="H770" t="str">
        <f t="shared" si="127"/>
        <v/>
      </c>
      <c r="I770" t="str">
        <f t="shared" si="128"/>
        <v/>
      </c>
      <c r="J770" t="str">
        <f t="shared" si="129"/>
        <v/>
      </c>
    </row>
    <row r="771" spans="2:10">
      <c r="B771" t="str">
        <f t="shared" si="130"/>
        <v>Zabór</v>
      </c>
      <c r="C771" t="str">
        <f t="shared" si="123"/>
        <v/>
      </c>
      <c r="D771" t="str">
        <f t="shared" si="131"/>
        <v/>
      </c>
      <c r="E771" t="str">
        <f t="shared" si="124"/>
        <v/>
      </c>
      <c r="F771" t="str">
        <f t="shared" si="125"/>
        <v/>
      </c>
      <c r="G771" t="str">
        <f t="shared" si="126"/>
        <v/>
      </c>
      <c r="H771" t="str">
        <f t="shared" si="127"/>
        <v/>
      </c>
      <c r="I771" t="str">
        <f t="shared" si="128"/>
        <v/>
      </c>
      <c r="J771" t="str">
        <f t="shared" si="129"/>
        <v/>
      </c>
    </row>
    <row r="772" spans="2:10">
      <c r="B772" t="str">
        <f t="shared" si="130"/>
        <v>Zabór</v>
      </c>
      <c r="C772" t="str">
        <f t="shared" si="123"/>
        <v/>
      </c>
      <c r="D772" t="str">
        <f t="shared" si="131"/>
        <v/>
      </c>
      <c r="E772" t="str">
        <f t="shared" si="124"/>
        <v/>
      </c>
      <c r="F772" t="str">
        <f t="shared" si="125"/>
        <v/>
      </c>
      <c r="G772" t="str">
        <f t="shared" si="126"/>
        <v/>
      </c>
      <c r="H772" t="str">
        <f t="shared" si="127"/>
        <v/>
      </c>
      <c r="I772" t="str">
        <f t="shared" si="128"/>
        <v/>
      </c>
      <c r="J772" t="str">
        <f t="shared" si="129"/>
        <v/>
      </c>
    </row>
    <row r="773" spans="2:10">
      <c r="B773" t="str">
        <f t="shared" si="130"/>
        <v>Zabór</v>
      </c>
      <c r="C773" t="str">
        <f t="shared" si="123"/>
        <v/>
      </c>
      <c r="D773" t="str">
        <f t="shared" si="131"/>
        <v/>
      </c>
      <c r="E773" t="str">
        <f t="shared" si="124"/>
        <v/>
      </c>
      <c r="F773" t="str">
        <f t="shared" si="125"/>
        <v/>
      </c>
      <c r="G773" t="str">
        <f t="shared" si="126"/>
        <v/>
      </c>
      <c r="H773" t="str">
        <f t="shared" si="127"/>
        <v/>
      </c>
      <c r="I773" t="str">
        <f t="shared" si="128"/>
        <v/>
      </c>
      <c r="J773" t="str">
        <f t="shared" si="129"/>
        <v/>
      </c>
    </row>
    <row r="774" spans="2:10">
      <c r="B774" t="str">
        <f t="shared" si="130"/>
        <v>Zabór</v>
      </c>
      <c r="C774" t="str">
        <f t="shared" ref="C774:C834" si="132">IF(ISERR(FIND($C$1,A774,1)),"",A774)</f>
        <v/>
      </c>
      <c r="D774" t="str">
        <f t="shared" si="131"/>
        <v/>
      </c>
      <c r="E774" t="str">
        <f t="shared" ref="E774:E834" si="133">IF(C774&gt;"",A776,"")</f>
        <v/>
      </c>
      <c r="F774" t="str">
        <f t="shared" ref="F774:F834" si="134">IF(E774&gt;"",MID(A777,FIND("tel.",A777)+4,15),"")</f>
        <v/>
      </c>
      <c r="G774" t="str">
        <f t="shared" ref="G774:G834" si="135">IF(E774&gt;"",MID(A778,FIND(":",A778)+2,60),"")</f>
        <v/>
      </c>
      <c r="H774" t="str">
        <f t="shared" ref="H774:H834" si="136">IF(E774&gt;"",MID(A779,FIND("e-mail:",A779)+8,100),"")</f>
        <v/>
      </c>
      <c r="I774" t="str">
        <f t="shared" ref="I774:I834" si="137">IF(E774&gt;"",IF(ISERR(FIND("DKK",A780)),"",A780),"")</f>
        <v/>
      </c>
      <c r="J774" t="str">
        <f t="shared" ref="J774:J834" si="138">IF(E774&gt;"",IF(ISERR(FIND("DKK",A781)),"",A781),"")</f>
        <v/>
      </c>
    </row>
    <row r="775" spans="2:10">
      <c r="B775" t="str">
        <f t="shared" si="130"/>
        <v>Zabór</v>
      </c>
      <c r="C775" t="str">
        <f t="shared" si="132"/>
        <v/>
      </c>
      <c r="D775" t="str">
        <f t="shared" si="131"/>
        <v/>
      </c>
      <c r="E775" t="str">
        <f t="shared" si="133"/>
        <v/>
      </c>
      <c r="F775" t="str">
        <f t="shared" si="134"/>
        <v/>
      </c>
      <c r="G775" t="str">
        <f t="shared" si="135"/>
        <v/>
      </c>
      <c r="H775" t="str">
        <f t="shared" si="136"/>
        <v/>
      </c>
      <c r="I775" t="str">
        <f t="shared" si="137"/>
        <v/>
      </c>
      <c r="J775" t="str">
        <f t="shared" si="138"/>
        <v/>
      </c>
    </row>
    <row r="776" spans="2:10">
      <c r="B776" t="str">
        <f t="shared" si="130"/>
        <v>Zabór</v>
      </c>
      <c r="C776" t="str">
        <f t="shared" si="132"/>
        <v/>
      </c>
      <c r="D776" t="str">
        <f t="shared" si="131"/>
        <v/>
      </c>
      <c r="E776" t="str">
        <f t="shared" si="133"/>
        <v/>
      </c>
      <c r="F776" t="str">
        <f t="shared" si="134"/>
        <v/>
      </c>
      <c r="G776" t="str">
        <f t="shared" si="135"/>
        <v/>
      </c>
      <c r="H776" t="str">
        <f t="shared" si="136"/>
        <v/>
      </c>
      <c r="I776" t="str">
        <f t="shared" si="137"/>
        <v/>
      </c>
      <c r="J776" t="str">
        <f t="shared" si="138"/>
        <v/>
      </c>
    </row>
    <row r="777" spans="2:10">
      <c r="B777" t="str">
        <f t="shared" si="130"/>
        <v>Zabór</v>
      </c>
      <c r="C777" t="str">
        <f t="shared" si="132"/>
        <v/>
      </c>
      <c r="D777" t="str">
        <f t="shared" si="131"/>
        <v/>
      </c>
      <c r="E777" t="str">
        <f t="shared" si="133"/>
        <v/>
      </c>
      <c r="F777" t="str">
        <f t="shared" si="134"/>
        <v/>
      </c>
      <c r="G777" t="str">
        <f t="shared" si="135"/>
        <v/>
      </c>
      <c r="H777" t="str">
        <f t="shared" si="136"/>
        <v/>
      </c>
      <c r="I777" t="str">
        <f t="shared" si="137"/>
        <v/>
      </c>
      <c r="J777" t="str">
        <f t="shared" si="138"/>
        <v/>
      </c>
    </row>
    <row r="778" spans="2:10">
      <c r="B778" t="str">
        <f t="shared" si="130"/>
        <v>Zabór</v>
      </c>
      <c r="C778" t="str">
        <f t="shared" si="132"/>
        <v/>
      </c>
      <c r="D778" t="str">
        <f t="shared" si="131"/>
        <v/>
      </c>
      <c r="E778" t="str">
        <f t="shared" si="133"/>
        <v/>
      </c>
      <c r="F778" t="str">
        <f t="shared" si="134"/>
        <v/>
      </c>
      <c r="G778" t="str">
        <f t="shared" si="135"/>
        <v/>
      </c>
      <c r="H778" t="str">
        <f t="shared" si="136"/>
        <v/>
      </c>
      <c r="I778" t="str">
        <f t="shared" si="137"/>
        <v/>
      </c>
      <c r="J778" t="str">
        <f t="shared" si="138"/>
        <v/>
      </c>
    </row>
    <row r="779" spans="2:10">
      <c r="B779" t="str">
        <f t="shared" si="130"/>
        <v>Zabór</v>
      </c>
      <c r="C779" t="str">
        <f t="shared" si="132"/>
        <v/>
      </c>
      <c r="D779" t="str">
        <f t="shared" si="131"/>
        <v/>
      </c>
      <c r="E779" t="str">
        <f t="shared" si="133"/>
        <v/>
      </c>
      <c r="F779" t="str">
        <f t="shared" si="134"/>
        <v/>
      </c>
      <c r="G779" t="str">
        <f t="shared" si="135"/>
        <v/>
      </c>
      <c r="H779" t="str">
        <f t="shared" si="136"/>
        <v/>
      </c>
      <c r="I779" t="str">
        <f t="shared" si="137"/>
        <v/>
      </c>
      <c r="J779" t="str">
        <f t="shared" si="138"/>
        <v/>
      </c>
    </row>
    <row r="780" spans="2:10">
      <c r="B780" t="str">
        <f t="shared" si="130"/>
        <v>Zabór</v>
      </c>
      <c r="C780" t="str">
        <f t="shared" si="132"/>
        <v/>
      </c>
      <c r="D780" t="str">
        <f t="shared" si="131"/>
        <v/>
      </c>
      <c r="E780" t="str">
        <f t="shared" si="133"/>
        <v/>
      </c>
      <c r="F780" t="str">
        <f t="shared" si="134"/>
        <v/>
      </c>
      <c r="G780" t="str">
        <f t="shared" si="135"/>
        <v/>
      </c>
      <c r="H780" t="str">
        <f t="shared" si="136"/>
        <v/>
      </c>
      <c r="I780" t="str">
        <f t="shared" si="137"/>
        <v/>
      </c>
      <c r="J780" t="str">
        <f t="shared" si="138"/>
        <v/>
      </c>
    </row>
    <row r="781" spans="2:10">
      <c r="B781" t="str">
        <f t="shared" si="130"/>
        <v>Zabór</v>
      </c>
      <c r="C781" t="str">
        <f t="shared" si="132"/>
        <v/>
      </c>
      <c r="D781" t="str">
        <f t="shared" si="131"/>
        <v/>
      </c>
      <c r="E781" t="str">
        <f t="shared" si="133"/>
        <v/>
      </c>
      <c r="F781" t="str">
        <f t="shared" si="134"/>
        <v/>
      </c>
      <c r="G781" t="str">
        <f t="shared" si="135"/>
        <v/>
      </c>
      <c r="H781" t="str">
        <f t="shared" si="136"/>
        <v/>
      </c>
      <c r="I781" t="str">
        <f t="shared" si="137"/>
        <v/>
      </c>
      <c r="J781" t="str">
        <f t="shared" si="138"/>
        <v/>
      </c>
    </row>
    <row r="782" spans="2:10">
      <c r="B782" t="str">
        <f t="shared" si="130"/>
        <v>Zabór</v>
      </c>
      <c r="C782" t="str">
        <f t="shared" si="132"/>
        <v/>
      </c>
      <c r="D782" t="str">
        <f t="shared" si="131"/>
        <v/>
      </c>
      <c r="E782" t="str">
        <f t="shared" si="133"/>
        <v/>
      </c>
      <c r="F782" t="str">
        <f t="shared" si="134"/>
        <v/>
      </c>
      <c r="G782" t="str">
        <f t="shared" si="135"/>
        <v/>
      </c>
      <c r="H782" t="str">
        <f t="shared" si="136"/>
        <v/>
      </c>
      <c r="I782" t="str">
        <f t="shared" si="137"/>
        <v/>
      </c>
      <c r="J782" t="str">
        <f t="shared" si="138"/>
        <v/>
      </c>
    </row>
    <row r="783" spans="2:10">
      <c r="B783" t="str">
        <f t="shared" si="130"/>
        <v>Zabór</v>
      </c>
      <c r="C783" t="str">
        <f t="shared" si="132"/>
        <v/>
      </c>
      <c r="D783" t="str">
        <f t="shared" si="131"/>
        <v/>
      </c>
      <c r="E783" t="str">
        <f t="shared" si="133"/>
        <v/>
      </c>
      <c r="F783" t="str">
        <f t="shared" si="134"/>
        <v/>
      </c>
      <c r="G783" t="str">
        <f t="shared" si="135"/>
        <v/>
      </c>
      <c r="H783" t="str">
        <f t="shared" si="136"/>
        <v/>
      </c>
      <c r="I783" t="str">
        <f t="shared" si="137"/>
        <v/>
      </c>
      <c r="J783" t="str">
        <f t="shared" si="138"/>
        <v/>
      </c>
    </row>
    <row r="784" spans="2:10">
      <c r="B784" t="str">
        <f t="shared" si="130"/>
        <v>Zabór</v>
      </c>
      <c r="C784" t="str">
        <f t="shared" si="132"/>
        <v/>
      </c>
      <c r="D784" t="str">
        <f t="shared" si="131"/>
        <v/>
      </c>
      <c r="E784" t="str">
        <f t="shared" si="133"/>
        <v/>
      </c>
      <c r="F784" t="str">
        <f t="shared" si="134"/>
        <v/>
      </c>
      <c r="G784" t="str">
        <f t="shared" si="135"/>
        <v/>
      </c>
      <c r="H784" t="str">
        <f t="shared" si="136"/>
        <v/>
      </c>
      <c r="I784" t="str">
        <f t="shared" si="137"/>
        <v/>
      </c>
      <c r="J784" t="str">
        <f t="shared" si="138"/>
        <v/>
      </c>
    </row>
    <row r="785" spans="2:10">
      <c r="B785" t="str">
        <f t="shared" si="130"/>
        <v>Zabór</v>
      </c>
      <c r="C785" t="str">
        <f t="shared" si="132"/>
        <v/>
      </c>
      <c r="D785" t="str">
        <f t="shared" si="131"/>
        <v/>
      </c>
      <c r="E785" t="str">
        <f t="shared" si="133"/>
        <v/>
      </c>
      <c r="F785" t="str">
        <f t="shared" si="134"/>
        <v/>
      </c>
      <c r="G785" t="str">
        <f t="shared" si="135"/>
        <v/>
      </c>
      <c r="H785" t="str">
        <f t="shared" si="136"/>
        <v/>
      </c>
      <c r="I785" t="str">
        <f t="shared" si="137"/>
        <v/>
      </c>
      <c r="J785" t="str">
        <f t="shared" si="138"/>
        <v/>
      </c>
    </row>
    <row r="786" spans="2:10">
      <c r="B786" t="str">
        <f t="shared" si="130"/>
        <v>Zabór</v>
      </c>
      <c r="C786" t="str">
        <f t="shared" si="132"/>
        <v/>
      </c>
      <c r="D786" t="str">
        <f t="shared" si="131"/>
        <v/>
      </c>
      <c r="E786" t="str">
        <f t="shared" si="133"/>
        <v/>
      </c>
      <c r="F786" t="str">
        <f t="shared" si="134"/>
        <v/>
      </c>
      <c r="G786" t="str">
        <f t="shared" si="135"/>
        <v/>
      </c>
      <c r="H786" t="str">
        <f t="shared" si="136"/>
        <v/>
      </c>
      <c r="I786" t="str">
        <f t="shared" si="137"/>
        <v/>
      </c>
      <c r="J786" t="str">
        <f t="shared" si="138"/>
        <v/>
      </c>
    </row>
    <row r="787" spans="2:10">
      <c r="B787" t="str">
        <f t="shared" si="130"/>
        <v>Zabór</v>
      </c>
      <c r="C787" t="str">
        <f t="shared" si="132"/>
        <v/>
      </c>
      <c r="D787" t="str">
        <f t="shared" si="131"/>
        <v/>
      </c>
      <c r="E787" t="str">
        <f t="shared" si="133"/>
        <v/>
      </c>
      <c r="F787" t="str">
        <f t="shared" si="134"/>
        <v/>
      </c>
      <c r="G787" t="str">
        <f t="shared" si="135"/>
        <v/>
      </c>
      <c r="H787" t="str">
        <f t="shared" si="136"/>
        <v/>
      </c>
      <c r="I787" t="str">
        <f t="shared" si="137"/>
        <v/>
      </c>
      <c r="J787" t="str">
        <f t="shared" si="138"/>
        <v/>
      </c>
    </row>
    <row r="788" spans="2:10">
      <c r="B788" t="str">
        <f t="shared" si="130"/>
        <v>Zabór</v>
      </c>
      <c r="C788" t="str">
        <f t="shared" si="132"/>
        <v/>
      </c>
      <c r="D788" t="str">
        <f t="shared" si="131"/>
        <v/>
      </c>
      <c r="E788" t="str">
        <f t="shared" si="133"/>
        <v/>
      </c>
      <c r="F788" t="str">
        <f t="shared" si="134"/>
        <v/>
      </c>
      <c r="G788" t="str">
        <f t="shared" si="135"/>
        <v/>
      </c>
      <c r="H788" t="str">
        <f t="shared" si="136"/>
        <v/>
      </c>
      <c r="I788" t="str">
        <f t="shared" si="137"/>
        <v/>
      </c>
      <c r="J788" t="str">
        <f t="shared" si="138"/>
        <v/>
      </c>
    </row>
    <row r="789" spans="2:10">
      <c r="B789" t="str">
        <f t="shared" si="130"/>
        <v>Zabór</v>
      </c>
      <c r="C789" t="str">
        <f t="shared" si="132"/>
        <v/>
      </c>
      <c r="D789" t="str">
        <f t="shared" si="131"/>
        <v/>
      </c>
      <c r="E789" t="str">
        <f t="shared" si="133"/>
        <v/>
      </c>
      <c r="F789" t="str">
        <f t="shared" si="134"/>
        <v/>
      </c>
      <c r="G789" t="str">
        <f t="shared" si="135"/>
        <v/>
      </c>
      <c r="H789" t="str">
        <f t="shared" si="136"/>
        <v/>
      </c>
      <c r="I789" t="str">
        <f t="shared" si="137"/>
        <v/>
      </c>
      <c r="J789" t="str">
        <f t="shared" si="138"/>
        <v/>
      </c>
    </row>
    <row r="790" spans="2:10">
      <c r="B790" t="str">
        <f t="shared" si="130"/>
        <v>Zabór</v>
      </c>
      <c r="C790" t="str">
        <f t="shared" si="132"/>
        <v/>
      </c>
      <c r="D790" t="str">
        <f t="shared" si="131"/>
        <v/>
      </c>
      <c r="E790" t="str">
        <f t="shared" si="133"/>
        <v/>
      </c>
      <c r="F790" t="str">
        <f t="shared" si="134"/>
        <v/>
      </c>
      <c r="G790" t="str">
        <f t="shared" si="135"/>
        <v/>
      </c>
      <c r="H790" t="str">
        <f t="shared" si="136"/>
        <v/>
      </c>
      <c r="I790" t="str">
        <f t="shared" si="137"/>
        <v/>
      </c>
      <c r="J790" t="str">
        <f t="shared" si="138"/>
        <v/>
      </c>
    </row>
    <row r="791" spans="2:10">
      <c r="B791" t="str">
        <f t="shared" si="130"/>
        <v>Zabór</v>
      </c>
      <c r="C791" t="str">
        <f t="shared" si="132"/>
        <v/>
      </c>
      <c r="D791" t="str">
        <f t="shared" si="131"/>
        <v/>
      </c>
      <c r="E791" t="str">
        <f t="shared" si="133"/>
        <v/>
      </c>
      <c r="F791" t="str">
        <f t="shared" si="134"/>
        <v/>
      </c>
      <c r="G791" t="str">
        <f t="shared" si="135"/>
        <v/>
      </c>
      <c r="H791" t="str">
        <f t="shared" si="136"/>
        <v/>
      </c>
      <c r="I791" t="str">
        <f t="shared" si="137"/>
        <v/>
      </c>
      <c r="J791" t="str">
        <f t="shared" si="138"/>
        <v/>
      </c>
    </row>
    <row r="792" spans="2:10">
      <c r="B792" t="str">
        <f t="shared" si="130"/>
        <v>Zabór</v>
      </c>
      <c r="C792" t="str">
        <f t="shared" si="132"/>
        <v/>
      </c>
      <c r="D792" t="str">
        <f t="shared" si="131"/>
        <v/>
      </c>
      <c r="E792" t="str">
        <f t="shared" si="133"/>
        <v/>
      </c>
      <c r="F792" t="str">
        <f t="shared" si="134"/>
        <v/>
      </c>
      <c r="G792" t="str">
        <f t="shared" si="135"/>
        <v/>
      </c>
      <c r="H792" t="str">
        <f t="shared" si="136"/>
        <v/>
      </c>
      <c r="I792" t="str">
        <f t="shared" si="137"/>
        <v/>
      </c>
      <c r="J792" t="str">
        <f t="shared" si="138"/>
        <v/>
      </c>
    </row>
    <row r="793" spans="2:10">
      <c r="B793" t="str">
        <f t="shared" si="130"/>
        <v>Zabór</v>
      </c>
      <c r="C793" t="str">
        <f t="shared" si="132"/>
        <v/>
      </c>
      <c r="D793" t="str">
        <f t="shared" si="131"/>
        <v/>
      </c>
      <c r="E793" t="str">
        <f t="shared" si="133"/>
        <v/>
      </c>
      <c r="F793" t="str">
        <f t="shared" si="134"/>
        <v/>
      </c>
      <c r="G793" t="str">
        <f t="shared" si="135"/>
        <v/>
      </c>
      <c r="H793" t="str">
        <f t="shared" si="136"/>
        <v/>
      </c>
      <c r="I793" t="str">
        <f t="shared" si="137"/>
        <v/>
      </c>
      <c r="J793" t="str">
        <f t="shared" si="138"/>
        <v/>
      </c>
    </row>
    <row r="794" spans="2:10">
      <c r="B794" t="str">
        <f t="shared" si="130"/>
        <v>Zabór</v>
      </c>
      <c r="C794" t="str">
        <f t="shared" si="132"/>
        <v/>
      </c>
      <c r="D794" t="str">
        <f t="shared" si="131"/>
        <v/>
      </c>
      <c r="E794" t="str">
        <f t="shared" si="133"/>
        <v/>
      </c>
      <c r="F794" t="str">
        <f t="shared" si="134"/>
        <v/>
      </c>
      <c r="G794" t="str">
        <f t="shared" si="135"/>
        <v/>
      </c>
      <c r="H794" t="str">
        <f t="shared" si="136"/>
        <v/>
      </c>
      <c r="I794" t="str">
        <f t="shared" si="137"/>
        <v/>
      </c>
      <c r="J794" t="str">
        <f t="shared" si="138"/>
        <v/>
      </c>
    </row>
    <row r="795" spans="2:10">
      <c r="B795" t="str">
        <f t="shared" si="130"/>
        <v>Zabór</v>
      </c>
      <c r="C795" t="str">
        <f t="shared" si="132"/>
        <v/>
      </c>
      <c r="D795" t="str">
        <f t="shared" si="131"/>
        <v/>
      </c>
      <c r="E795" t="str">
        <f t="shared" si="133"/>
        <v/>
      </c>
      <c r="F795" t="str">
        <f t="shared" si="134"/>
        <v/>
      </c>
      <c r="G795" t="str">
        <f t="shared" si="135"/>
        <v/>
      </c>
      <c r="H795" t="str">
        <f t="shared" si="136"/>
        <v/>
      </c>
      <c r="I795" t="str">
        <f t="shared" si="137"/>
        <v/>
      </c>
      <c r="J795" t="str">
        <f t="shared" si="138"/>
        <v/>
      </c>
    </row>
    <row r="796" spans="2:10">
      <c r="B796" t="str">
        <f t="shared" si="130"/>
        <v>Zabór</v>
      </c>
      <c r="C796" t="str">
        <f t="shared" si="132"/>
        <v/>
      </c>
      <c r="D796" t="str">
        <f t="shared" si="131"/>
        <v/>
      </c>
      <c r="E796" t="str">
        <f t="shared" si="133"/>
        <v/>
      </c>
      <c r="F796" t="str">
        <f t="shared" si="134"/>
        <v/>
      </c>
      <c r="G796" t="str">
        <f t="shared" si="135"/>
        <v/>
      </c>
      <c r="H796" t="str">
        <f t="shared" si="136"/>
        <v/>
      </c>
      <c r="I796" t="str">
        <f t="shared" si="137"/>
        <v/>
      </c>
      <c r="J796" t="str">
        <f t="shared" si="138"/>
        <v/>
      </c>
    </row>
    <row r="797" spans="2:10">
      <c r="B797" t="str">
        <f t="shared" si="130"/>
        <v>Zabór</v>
      </c>
      <c r="C797" t="str">
        <f t="shared" si="132"/>
        <v/>
      </c>
      <c r="D797" t="str">
        <f t="shared" si="131"/>
        <v/>
      </c>
      <c r="E797" t="str">
        <f t="shared" si="133"/>
        <v/>
      </c>
      <c r="F797" t="str">
        <f t="shared" si="134"/>
        <v/>
      </c>
      <c r="G797" t="str">
        <f t="shared" si="135"/>
        <v/>
      </c>
      <c r="H797" t="str">
        <f t="shared" si="136"/>
        <v/>
      </c>
      <c r="I797" t="str">
        <f t="shared" si="137"/>
        <v/>
      </c>
      <c r="J797" t="str">
        <f t="shared" si="138"/>
        <v/>
      </c>
    </row>
    <row r="798" spans="2:10">
      <c r="B798" t="str">
        <f t="shared" si="130"/>
        <v>Zabór</v>
      </c>
      <c r="C798" t="str">
        <f t="shared" si="132"/>
        <v/>
      </c>
      <c r="D798" t="str">
        <f t="shared" si="131"/>
        <v/>
      </c>
      <c r="E798" t="str">
        <f t="shared" si="133"/>
        <v/>
      </c>
      <c r="F798" t="str">
        <f t="shared" si="134"/>
        <v/>
      </c>
      <c r="G798" t="str">
        <f t="shared" si="135"/>
        <v/>
      </c>
      <c r="H798" t="str">
        <f t="shared" si="136"/>
        <v/>
      </c>
      <c r="I798" t="str">
        <f t="shared" si="137"/>
        <v/>
      </c>
      <c r="J798" t="str">
        <f>IF(E798&gt;"",IF(ISERR(FIND("DKK",#REF!)),"",#REF!),"")</f>
        <v/>
      </c>
    </row>
    <row r="799" spans="2:10">
      <c r="B799" t="str">
        <f t="shared" si="130"/>
        <v>Zabór</v>
      </c>
      <c r="C799" t="str">
        <f t="shared" si="132"/>
        <v/>
      </c>
      <c r="D799" t="str">
        <f t="shared" si="131"/>
        <v/>
      </c>
      <c r="E799" t="str">
        <f t="shared" si="133"/>
        <v/>
      </c>
      <c r="F799" t="str">
        <f t="shared" si="134"/>
        <v/>
      </c>
      <c r="G799" t="str">
        <f t="shared" si="135"/>
        <v/>
      </c>
      <c r="H799" t="str">
        <f t="shared" si="136"/>
        <v/>
      </c>
      <c r="I799" t="str">
        <f>IF(E799&gt;"",IF(ISERR(FIND("DKK",#REF!)),"",#REF!),"")</f>
        <v/>
      </c>
      <c r="J799" t="str">
        <f t="shared" ref="J799:J804" si="139">IF(E799&gt;"",IF(ISERR(FIND("DKK",A805)),"",A805),"")</f>
        <v/>
      </c>
    </row>
    <row r="800" spans="2:10">
      <c r="B800" t="str">
        <f t="shared" ref="B800:B863" si="140">+IF(AND(C800&gt;"",ISERR(FIND("DKK",A799))),A799,B799)</f>
        <v>Zabór</v>
      </c>
      <c r="C800" t="str">
        <f t="shared" si="132"/>
        <v/>
      </c>
      <c r="D800" t="str">
        <f t="shared" si="131"/>
        <v/>
      </c>
      <c r="E800" t="str">
        <f t="shared" si="133"/>
        <v/>
      </c>
      <c r="F800" t="str">
        <f t="shared" si="134"/>
        <v/>
      </c>
      <c r="G800" t="str">
        <f t="shared" si="135"/>
        <v/>
      </c>
      <c r="H800" t="str">
        <f>IF(E800&gt;"",MID(#REF!,FIND("e-mail:",#REF!)+8,100),"")</f>
        <v/>
      </c>
      <c r="I800" t="str">
        <f>IF(E800&gt;"",IF(ISERR(FIND("DKK",A805)),"",A805),"")</f>
        <v/>
      </c>
      <c r="J800" t="str">
        <f t="shared" si="139"/>
        <v/>
      </c>
    </row>
    <row r="801" spans="2:10">
      <c r="B801" t="str">
        <f t="shared" si="140"/>
        <v>Zabór</v>
      </c>
      <c r="C801" t="str">
        <f t="shared" si="132"/>
        <v/>
      </c>
      <c r="D801" t="str">
        <f t="shared" si="131"/>
        <v/>
      </c>
      <c r="E801" t="str">
        <f t="shared" si="133"/>
        <v/>
      </c>
      <c r="F801" t="str">
        <f t="shared" si="134"/>
        <v/>
      </c>
      <c r="G801" t="str">
        <f>IF(E801&gt;"",MID(#REF!,FIND(":",#REF!)+2,60),"")</f>
        <v/>
      </c>
      <c r="H801" t="str">
        <f>IF(E801&gt;"",MID(A805,FIND("e-mail:",A805)+8,100),"")</f>
        <v/>
      </c>
      <c r="I801" t="str">
        <f>IF(E801&gt;"",IF(ISERR(FIND("DKK",A806)),"",A806),"")</f>
        <v/>
      </c>
      <c r="J801" t="str">
        <f t="shared" si="139"/>
        <v/>
      </c>
    </row>
    <row r="802" spans="2:10">
      <c r="B802" t="str">
        <f t="shared" si="140"/>
        <v>Zabór</v>
      </c>
      <c r="C802" t="str">
        <f t="shared" si="132"/>
        <v/>
      </c>
      <c r="D802" t="str">
        <f t="shared" si="131"/>
        <v/>
      </c>
      <c r="E802" t="str">
        <f t="shared" si="133"/>
        <v/>
      </c>
      <c r="F802" t="str">
        <f>IF(E802&gt;"",MID(#REF!,FIND("tel.",#REF!)+4,15),"")</f>
        <v/>
      </c>
      <c r="G802" t="str">
        <f>IF(E802&gt;"",MID(A805,FIND(":",A805)+2,60),"")</f>
        <v/>
      </c>
      <c r="H802" t="str">
        <f>IF(E802&gt;"",MID(A806,FIND("e-mail:",A806)+8,100),"")</f>
        <v/>
      </c>
      <c r="I802" t="str">
        <f>IF(E802&gt;"",IF(ISERR(FIND("DKK",A807)),"",A807),"")</f>
        <v/>
      </c>
      <c r="J802" t="str">
        <f t="shared" si="139"/>
        <v/>
      </c>
    </row>
    <row r="803" spans="2:10">
      <c r="B803" t="str">
        <f t="shared" si="140"/>
        <v>Zabór</v>
      </c>
      <c r="C803" t="str">
        <f t="shared" si="132"/>
        <v/>
      </c>
      <c r="D803" t="str">
        <f t="shared" si="131"/>
        <v/>
      </c>
      <c r="E803" t="str">
        <f>IF(C803&gt;"",#REF!,"")</f>
        <v/>
      </c>
      <c r="F803" t="str">
        <f>IF(E803&gt;"",MID(A805,FIND("tel.",A805)+4,15),"")</f>
        <v/>
      </c>
      <c r="G803" t="str">
        <f>IF(E803&gt;"",MID(A806,FIND(":",A806)+2,60),"")</f>
        <v/>
      </c>
      <c r="H803" t="str">
        <f>IF(E803&gt;"",MID(A807,FIND("e-mail:",A807)+8,100),"")</f>
        <v/>
      </c>
      <c r="I803" t="str">
        <f>IF(E803&gt;"",IF(ISERR(FIND("DKK",A808)),"",A808),"")</f>
        <v/>
      </c>
      <c r="J803" t="str">
        <f t="shared" si="139"/>
        <v/>
      </c>
    </row>
    <row r="804" spans="2:10">
      <c r="B804" t="str">
        <f t="shared" si="140"/>
        <v>Zabór</v>
      </c>
      <c r="C804" t="str">
        <f t="shared" si="132"/>
        <v/>
      </c>
      <c r="D804" t="str">
        <f>IF(C804&gt;"",#REF!,"")</f>
        <v/>
      </c>
      <c r="E804" t="str">
        <f>IF(C804&gt;"",A805,"")</f>
        <v/>
      </c>
      <c r="F804" t="str">
        <f>IF(E804&gt;"",MID(A806,FIND("tel.",A806)+4,15),"")</f>
        <v/>
      </c>
      <c r="G804" t="str">
        <f>IF(E804&gt;"",MID(A807,FIND(":",A807)+2,60),"")</f>
        <v/>
      </c>
      <c r="H804" t="str">
        <f>IF(E804&gt;"",MID(A808,FIND("e-mail:",A808)+8,100),"")</f>
        <v/>
      </c>
      <c r="I804" t="str">
        <f>IF(E804&gt;"",IF(ISERR(FIND("DKK",A809)),"",A809),"")</f>
        <v/>
      </c>
      <c r="J804" t="str">
        <f t="shared" si="139"/>
        <v/>
      </c>
    </row>
    <row r="805" spans="2:10">
      <c r="B805" t="str">
        <f t="shared" si="140"/>
        <v>Zabór</v>
      </c>
      <c r="C805" t="str">
        <f t="shared" si="132"/>
        <v/>
      </c>
      <c r="D805" t="str">
        <f t="shared" si="131"/>
        <v/>
      </c>
      <c r="E805" t="str">
        <f t="shared" si="133"/>
        <v/>
      </c>
      <c r="F805" t="str">
        <f t="shared" si="134"/>
        <v/>
      </c>
      <c r="G805" t="str">
        <f t="shared" si="135"/>
        <v/>
      </c>
      <c r="H805" t="str">
        <f t="shared" si="136"/>
        <v/>
      </c>
      <c r="I805" t="str">
        <f t="shared" si="137"/>
        <v/>
      </c>
      <c r="J805" t="str">
        <f>IF(E805&gt;"",IF(ISERR(FIND("DKK",#REF!)),"",#REF!),"")</f>
        <v/>
      </c>
    </row>
    <row r="806" spans="2:10">
      <c r="B806" t="str">
        <f t="shared" si="140"/>
        <v>Zabór</v>
      </c>
      <c r="C806" t="str">
        <f t="shared" si="132"/>
        <v/>
      </c>
      <c r="D806" t="str">
        <f t="shared" si="131"/>
        <v/>
      </c>
      <c r="E806" t="str">
        <f t="shared" si="133"/>
        <v/>
      </c>
      <c r="F806" t="str">
        <f t="shared" si="134"/>
        <v/>
      </c>
      <c r="G806" t="str">
        <f t="shared" si="135"/>
        <v/>
      </c>
      <c r="H806" t="str">
        <f t="shared" si="136"/>
        <v/>
      </c>
      <c r="I806" t="str">
        <f>IF(E806&gt;"",IF(ISERR(FIND("DKK",#REF!)),"",#REF!),"")</f>
        <v/>
      </c>
      <c r="J806" t="str">
        <f t="shared" ref="J806:J811" si="141">IF(E806&gt;"",IF(ISERR(FIND("DKK",A812)),"",A812),"")</f>
        <v/>
      </c>
    </row>
    <row r="807" spans="2:10">
      <c r="B807" t="str">
        <f t="shared" si="140"/>
        <v>Zabór</v>
      </c>
      <c r="C807" t="str">
        <f t="shared" si="132"/>
        <v/>
      </c>
      <c r="D807" t="str">
        <f t="shared" si="131"/>
        <v/>
      </c>
      <c r="E807" t="str">
        <f t="shared" si="133"/>
        <v/>
      </c>
      <c r="F807" t="str">
        <f t="shared" si="134"/>
        <v/>
      </c>
      <c r="G807" t="str">
        <f t="shared" si="135"/>
        <v/>
      </c>
      <c r="H807" t="str">
        <f>IF(E807&gt;"",MID(#REF!,FIND("e-mail:",#REF!)+8,100),"")</f>
        <v/>
      </c>
      <c r="I807" t="str">
        <f>IF(E807&gt;"",IF(ISERR(FIND("DKK",A812)),"",A812),"")</f>
        <v/>
      </c>
      <c r="J807" t="str">
        <f t="shared" si="141"/>
        <v/>
      </c>
    </row>
    <row r="808" spans="2:10">
      <c r="B808" t="str">
        <f t="shared" si="140"/>
        <v>Zabór</v>
      </c>
      <c r="C808" t="str">
        <f t="shared" si="132"/>
        <v/>
      </c>
      <c r="D808" t="str">
        <f t="shared" si="131"/>
        <v/>
      </c>
      <c r="E808" t="str">
        <f t="shared" si="133"/>
        <v/>
      </c>
      <c r="F808" t="str">
        <f t="shared" si="134"/>
        <v/>
      </c>
      <c r="G808" t="str">
        <f>IF(E808&gt;"",MID(#REF!,FIND(":",#REF!)+2,60),"")</f>
        <v/>
      </c>
      <c r="H808" t="str">
        <f>IF(E808&gt;"",MID(A812,FIND("e-mail:",A812)+8,100),"")</f>
        <v/>
      </c>
      <c r="I808" t="str">
        <f>IF(E808&gt;"",IF(ISERR(FIND("DKK",A813)),"",A813),"")</f>
        <v/>
      </c>
      <c r="J808" t="str">
        <f t="shared" si="141"/>
        <v/>
      </c>
    </row>
    <row r="809" spans="2:10">
      <c r="B809" t="str">
        <f t="shared" si="140"/>
        <v>Zabór</v>
      </c>
      <c r="C809" t="str">
        <f t="shared" si="132"/>
        <v/>
      </c>
      <c r="D809" t="str">
        <f t="shared" si="131"/>
        <v/>
      </c>
      <c r="E809" t="str">
        <f t="shared" si="133"/>
        <v/>
      </c>
      <c r="F809" t="str">
        <f>IF(E809&gt;"",MID(#REF!,FIND("tel.",#REF!)+4,15),"")</f>
        <v/>
      </c>
      <c r="G809" t="str">
        <f>IF(E809&gt;"",MID(A812,FIND(":",A812)+2,60),"")</f>
        <v/>
      </c>
      <c r="H809" t="str">
        <f>IF(E809&gt;"",MID(A813,FIND("e-mail:",A813)+8,100),"")</f>
        <v/>
      </c>
      <c r="I809" t="str">
        <f>IF(E809&gt;"",IF(ISERR(FIND("DKK",A814)),"",A814),"")</f>
        <v/>
      </c>
      <c r="J809" t="str">
        <f t="shared" si="141"/>
        <v/>
      </c>
    </row>
    <row r="810" spans="2:10">
      <c r="B810" t="str">
        <f t="shared" si="140"/>
        <v>Zabór</v>
      </c>
      <c r="C810" t="str">
        <f t="shared" si="132"/>
        <v/>
      </c>
      <c r="D810" t="str">
        <f t="shared" ref="D810:D870" si="142">IF(C810&gt;"",A811,"")</f>
        <v/>
      </c>
      <c r="E810" t="str">
        <f>IF(C810&gt;"",#REF!,"")</f>
        <v/>
      </c>
      <c r="F810" t="str">
        <f>IF(E810&gt;"",MID(A812,FIND("tel.",A812)+4,15),"")</f>
        <v/>
      </c>
      <c r="G810" t="str">
        <f>IF(E810&gt;"",MID(A813,FIND(":",A813)+2,60),"")</f>
        <v/>
      </c>
      <c r="H810" t="str">
        <f>IF(E810&gt;"",MID(A814,FIND("e-mail:",A814)+8,100),"")</f>
        <v/>
      </c>
      <c r="I810" t="str">
        <f>IF(E810&gt;"",IF(ISERR(FIND("DKK",A815)),"",A815),"")</f>
        <v/>
      </c>
      <c r="J810" t="str">
        <f t="shared" si="141"/>
        <v/>
      </c>
    </row>
    <row r="811" spans="2:10">
      <c r="B811" t="str">
        <f t="shared" si="140"/>
        <v>Zabór</v>
      </c>
      <c r="C811" t="str">
        <f t="shared" si="132"/>
        <v/>
      </c>
      <c r="D811" t="str">
        <f>IF(C811&gt;"",#REF!,"")</f>
        <v/>
      </c>
      <c r="E811" t="str">
        <f>IF(C811&gt;"",A812,"")</f>
        <v/>
      </c>
      <c r="F811" t="str">
        <f>IF(E811&gt;"",MID(A813,FIND("tel.",A813)+4,15),"")</f>
        <v/>
      </c>
      <c r="G811" t="str">
        <f>IF(E811&gt;"",MID(A814,FIND(":",A814)+2,60),"")</f>
        <v/>
      </c>
      <c r="H811" t="str">
        <f>IF(E811&gt;"",MID(A815,FIND("e-mail:",A815)+8,100),"")</f>
        <v/>
      </c>
      <c r="I811" t="str">
        <f>IF(E811&gt;"",IF(ISERR(FIND("DKK",A816)),"",A816),"")</f>
        <v/>
      </c>
      <c r="J811" t="str">
        <f t="shared" si="141"/>
        <v/>
      </c>
    </row>
    <row r="812" spans="2:10">
      <c r="B812" t="str">
        <f t="shared" si="140"/>
        <v>Zabór</v>
      </c>
      <c r="C812" t="str">
        <f t="shared" si="132"/>
        <v/>
      </c>
      <c r="D812" t="str">
        <f t="shared" si="142"/>
        <v/>
      </c>
      <c r="E812" t="str">
        <f t="shared" si="133"/>
        <v/>
      </c>
      <c r="F812" t="str">
        <f t="shared" si="134"/>
        <v/>
      </c>
      <c r="G812" t="str">
        <f t="shared" si="135"/>
        <v/>
      </c>
      <c r="H812" t="str">
        <f t="shared" si="136"/>
        <v/>
      </c>
      <c r="I812" t="str">
        <f t="shared" si="137"/>
        <v/>
      </c>
      <c r="J812" t="str">
        <f t="shared" si="138"/>
        <v/>
      </c>
    </row>
    <row r="813" spans="2:10">
      <c r="B813" t="str">
        <f t="shared" si="140"/>
        <v>Zabór</v>
      </c>
      <c r="C813" t="str">
        <f t="shared" si="132"/>
        <v/>
      </c>
      <c r="D813" t="str">
        <f t="shared" si="142"/>
        <v/>
      </c>
      <c r="E813" t="str">
        <f t="shared" si="133"/>
        <v/>
      </c>
      <c r="F813" t="str">
        <f t="shared" si="134"/>
        <v/>
      </c>
      <c r="G813" t="str">
        <f t="shared" si="135"/>
        <v/>
      </c>
      <c r="H813" t="str">
        <f t="shared" si="136"/>
        <v/>
      </c>
      <c r="I813" t="str">
        <f t="shared" si="137"/>
        <v/>
      </c>
      <c r="J813" t="str">
        <f t="shared" si="138"/>
        <v/>
      </c>
    </row>
    <row r="814" spans="2:10">
      <c r="B814" t="str">
        <f t="shared" si="140"/>
        <v>Zabór</v>
      </c>
      <c r="C814" t="str">
        <f t="shared" si="132"/>
        <v/>
      </c>
      <c r="D814" t="str">
        <f t="shared" si="142"/>
        <v/>
      </c>
      <c r="E814" t="str">
        <f t="shared" si="133"/>
        <v/>
      </c>
      <c r="F814" t="str">
        <f t="shared" si="134"/>
        <v/>
      </c>
      <c r="G814" t="str">
        <f t="shared" si="135"/>
        <v/>
      </c>
      <c r="H814" t="str">
        <f t="shared" si="136"/>
        <v/>
      </c>
      <c r="I814" t="str">
        <f t="shared" si="137"/>
        <v/>
      </c>
      <c r="J814" t="str">
        <f t="shared" si="138"/>
        <v/>
      </c>
    </row>
    <row r="815" spans="2:10">
      <c r="B815" t="str">
        <f t="shared" si="140"/>
        <v>Zabór</v>
      </c>
      <c r="C815" t="str">
        <f t="shared" si="132"/>
        <v/>
      </c>
      <c r="D815" t="str">
        <f t="shared" si="142"/>
        <v/>
      </c>
      <c r="E815" t="str">
        <f t="shared" si="133"/>
        <v/>
      </c>
      <c r="F815" t="str">
        <f t="shared" si="134"/>
        <v/>
      </c>
      <c r="G815" t="str">
        <f t="shared" si="135"/>
        <v/>
      </c>
      <c r="H815" t="str">
        <f t="shared" si="136"/>
        <v/>
      </c>
      <c r="I815" t="str">
        <f t="shared" si="137"/>
        <v/>
      </c>
      <c r="J815" t="str">
        <f t="shared" si="138"/>
        <v/>
      </c>
    </row>
    <row r="816" spans="2:10">
      <c r="B816" t="str">
        <f t="shared" si="140"/>
        <v>Zabór</v>
      </c>
      <c r="C816" t="str">
        <f t="shared" si="132"/>
        <v/>
      </c>
      <c r="D816" t="str">
        <f t="shared" si="142"/>
        <v/>
      </c>
      <c r="E816" t="str">
        <f t="shared" si="133"/>
        <v/>
      </c>
      <c r="F816" t="str">
        <f t="shared" si="134"/>
        <v/>
      </c>
      <c r="G816" t="str">
        <f t="shared" si="135"/>
        <v/>
      </c>
      <c r="H816" t="str">
        <f t="shared" si="136"/>
        <v/>
      </c>
      <c r="I816" t="str">
        <f t="shared" si="137"/>
        <v/>
      </c>
      <c r="J816" t="str">
        <f t="shared" si="138"/>
        <v/>
      </c>
    </row>
    <row r="817" spans="2:10">
      <c r="B817" t="str">
        <f t="shared" si="140"/>
        <v>Zabór</v>
      </c>
      <c r="C817" t="str">
        <f t="shared" si="132"/>
        <v/>
      </c>
      <c r="D817" t="str">
        <f t="shared" si="142"/>
        <v/>
      </c>
      <c r="E817" t="str">
        <f t="shared" si="133"/>
        <v/>
      </c>
      <c r="F817" t="str">
        <f t="shared" si="134"/>
        <v/>
      </c>
      <c r="G817" t="str">
        <f t="shared" si="135"/>
        <v/>
      </c>
      <c r="H817" t="str">
        <f t="shared" si="136"/>
        <v/>
      </c>
      <c r="I817" t="str">
        <f t="shared" si="137"/>
        <v/>
      </c>
      <c r="J817" t="str">
        <f t="shared" si="138"/>
        <v/>
      </c>
    </row>
    <row r="818" spans="2:10">
      <c r="B818" t="str">
        <f t="shared" si="140"/>
        <v>Zabór</v>
      </c>
      <c r="C818" t="str">
        <f t="shared" si="132"/>
        <v/>
      </c>
      <c r="D818" t="str">
        <f t="shared" si="142"/>
        <v/>
      </c>
      <c r="E818" t="str">
        <f t="shared" si="133"/>
        <v/>
      </c>
      <c r="F818" t="str">
        <f t="shared" si="134"/>
        <v/>
      </c>
      <c r="G818" t="str">
        <f t="shared" si="135"/>
        <v/>
      </c>
      <c r="H818" t="str">
        <f t="shared" si="136"/>
        <v/>
      </c>
      <c r="I818" t="str">
        <f t="shared" si="137"/>
        <v/>
      </c>
      <c r="J818" t="str">
        <f t="shared" si="138"/>
        <v/>
      </c>
    </row>
    <row r="819" spans="2:10">
      <c r="B819" t="str">
        <f t="shared" si="140"/>
        <v>Zabór</v>
      </c>
      <c r="C819" t="str">
        <f t="shared" si="132"/>
        <v/>
      </c>
      <c r="D819" t="str">
        <f t="shared" si="142"/>
        <v/>
      </c>
      <c r="E819" t="str">
        <f t="shared" si="133"/>
        <v/>
      </c>
      <c r="F819" t="str">
        <f t="shared" si="134"/>
        <v/>
      </c>
      <c r="G819" t="str">
        <f t="shared" si="135"/>
        <v/>
      </c>
      <c r="H819" t="str">
        <f t="shared" si="136"/>
        <v/>
      </c>
      <c r="I819" t="str">
        <f t="shared" si="137"/>
        <v/>
      </c>
      <c r="J819" t="str">
        <f t="shared" si="138"/>
        <v/>
      </c>
    </row>
    <row r="820" spans="2:10">
      <c r="B820" t="str">
        <f t="shared" si="140"/>
        <v>Zabór</v>
      </c>
      <c r="C820" t="str">
        <f t="shared" si="132"/>
        <v/>
      </c>
      <c r="D820" t="str">
        <f t="shared" si="142"/>
        <v/>
      </c>
      <c r="E820" t="str">
        <f t="shared" si="133"/>
        <v/>
      </c>
      <c r="F820" t="str">
        <f t="shared" si="134"/>
        <v/>
      </c>
      <c r="G820" t="str">
        <f t="shared" si="135"/>
        <v/>
      </c>
      <c r="H820" t="str">
        <f t="shared" si="136"/>
        <v/>
      </c>
      <c r="I820" t="str">
        <f t="shared" si="137"/>
        <v/>
      </c>
      <c r="J820" t="str">
        <f>IF(E820&gt;"",IF(ISERR(FIND("DKK",#REF!)),"",#REF!),"")</f>
        <v/>
      </c>
    </row>
    <row r="821" spans="2:10">
      <c r="B821" t="str">
        <f t="shared" si="140"/>
        <v>Zabór</v>
      </c>
      <c r="C821" t="str">
        <f t="shared" si="132"/>
        <v/>
      </c>
      <c r="D821" t="str">
        <f t="shared" si="142"/>
        <v/>
      </c>
      <c r="E821" t="str">
        <f t="shared" si="133"/>
        <v/>
      </c>
      <c r="F821" t="str">
        <f t="shared" si="134"/>
        <v/>
      </c>
      <c r="G821" t="str">
        <f t="shared" si="135"/>
        <v/>
      </c>
      <c r="H821" t="str">
        <f t="shared" si="136"/>
        <v/>
      </c>
      <c r="I821" t="str">
        <f>IF(E821&gt;"",IF(ISERR(FIND("DKK",#REF!)),"",#REF!),"")</f>
        <v/>
      </c>
      <c r="J821" t="str">
        <f t="shared" ref="J821:J826" si="143">IF(E821&gt;"",IF(ISERR(FIND("DKK",A827)),"",A827),"")</f>
        <v/>
      </c>
    </row>
    <row r="822" spans="2:10">
      <c r="B822" t="str">
        <f t="shared" si="140"/>
        <v>Zabór</v>
      </c>
      <c r="C822" t="str">
        <f t="shared" si="132"/>
        <v/>
      </c>
      <c r="D822" t="str">
        <f t="shared" si="142"/>
        <v/>
      </c>
      <c r="E822" t="str">
        <f t="shared" si="133"/>
        <v/>
      </c>
      <c r="F822" t="str">
        <f t="shared" si="134"/>
        <v/>
      </c>
      <c r="G822" t="str">
        <f t="shared" si="135"/>
        <v/>
      </c>
      <c r="H822" t="str">
        <f>IF(E822&gt;"",MID(#REF!,FIND("e-mail:",#REF!)+8,100),"")</f>
        <v/>
      </c>
      <c r="I822" t="str">
        <f>IF(E822&gt;"",IF(ISERR(FIND("DKK",A827)),"",A827),"")</f>
        <v/>
      </c>
      <c r="J822" t="str">
        <f t="shared" si="143"/>
        <v/>
      </c>
    </row>
    <row r="823" spans="2:10">
      <c r="B823" t="str">
        <f t="shared" si="140"/>
        <v>Zabór</v>
      </c>
      <c r="C823" t="str">
        <f t="shared" si="132"/>
        <v/>
      </c>
      <c r="D823" t="str">
        <f t="shared" si="142"/>
        <v/>
      </c>
      <c r="E823" t="str">
        <f t="shared" si="133"/>
        <v/>
      </c>
      <c r="F823" t="str">
        <f t="shared" si="134"/>
        <v/>
      </c>
      <c r="G823" t="str">
        <f>IF(E823&gt;"",MID(#REF!,FIND(":",#REF!)+2,60),"")</f>
        <v/>
      </c>
      <c r="H823" t="str">
        <f>IF(E823&gt;"",MID(A827,FIND("e-mail:",A827)+8,100),"")</f>
        <v/>
      </c>
      <c r="I823" t="str">
        <f>IF(E823&gt;"",IF(ISERR(FIND("DKK",A828)),"",A828),"")</f>
        <v/>
      </c>
      <c r="J823" t="str">
        <f t="shared" si="143"/>
        <v/>
      </c>
    </row>
    <row r="824" spans="2:10">
      <c r="B824" t="str">
        <f t="shared" si="140"/>
        <v>Zabór</v>
      </c>
      <c r="C824" t="str">
        <f t="shared" si="132"/>
        <v/>
      </c>
      <c r="D824" t="str">
        <f t="shared" si="142"/>
        <v/>
      </c>
      <c r="E824" t="str">
        <f t="shared" si="133"/>
        <v/>
      </c>
      <c r="F824" t="str">
        <f>IF(E824&gt;"",MID(#REF!,FIND("tel.",#REF!)+4,15),"")</f>
        <v/>
      </c>
      <c r="G824" t="str">
        <f>IF(E824&gt;"",MID(A827,FIND(":",A827)+2,60),"")</f>
        <v/>
      </c>
      <c r="H824" t="str">
        <f>IF(E824&gt;"",MID(A828,FIND("e-mail:",A828)+8,100),"")</f>
        <v/>
      </c>
      <c r="I824" t="str">
        <f>IF(E824&gt;"",IF(ISERR(FIND("DKK",A829)),"",A829),"")</f>
        <v/>
      </c>
      <c r="J824" t="str">
        <f t="shared" si="143"/>
        <v/>
      </c>
    </row>
    <row r="825" spans="2:10">
      <c r="B825" t="str">
        <f t="shared" si="140"/>
        <v>Zabór</v>
      </c>
      <c r="C825" t="str">
        <f t="shared" si="132"/>
        <v/>
      </c>
      <c r="D825" t="str">
        <f t="shared" si="142"/>
        <v/>
      </c>
      <c r="E825" t="str">
        <f>IF(C825&gt;"",#REF!,"")</f>
        <v/>
      </c>
      <c r="F825" t="str">
        <f>IF(E825&gt;"",MID(A827,FIND("tel.",A827)+4,15),"")</f>
        <v/>
      </c>
      <c r="G825" t="str">
        <f>IF(E825&gt;"",MID(A828,FIND(":",A828)+2,60),"")</f>
        <v/>
      </c>
      <c r="H825" t="str">
        <f>IF(E825&gt;"",MID(A829,FIND("e-mail:",A829)+8,100),"")</f>
        <v/>
      </c>
      <c r="I825" t="str">
        <f>IF(E825&gt;"",IF(ISERR(FIND("DKK",A830)),"",A830),"")</f>
        <v/>
      </c>
      <c r="J825" t="str">
        <f t="shared" si="143"/>
        <v/>
      </c>
    </row>
    <row r="826" spans="2:10">
      <c r="B826" t="str">
        <f t="shared" si="140"/>
        <v>Zabór</v>
      </c>
      <c r="C826" t="str">
        <f t="shared" si="132"/>
        <v/>
      </c>
      <c r="D826" t="str">
        <f>IF(C826&gt;"",#REF!,"")</f>
        <v/>
      </c>
      <c r="E826" t="str">
        <f>IF(C826&gt;"",A827,"")</f>
        <v/>
      </c>
      <c r="F826" t="str">
        <f>IF(E826&gt;"",MID(A828,FIND("tel.",A828)+4,15),"")</f>
        <v/>
      </c>
      <c r="G826" t="str">
        <f>IF(E826&gt;"",MID(A829,FIND(":",A829)+2,60),"")</f>
        <v/>
      </c>
      <c r="H826" t="str">
        <f>IF(E826&gt;"",MID(A830,FIND("e-mail:",A830)+8,100),"")</f>
        <v/>
      </c>
      <c r="I826" t="str">
        <f>IF(E826&gt;"",IF(ISERR(FIND("DKK",A831)),"",A831),"")</f>
        <v/>
      </c>
      <c r="J826" t="str">
        <f t="shared" si="143"/>
        <v/>
      </c>
    </row>
    <row r="827" spans="2:10">
      <c r="B827" t="str">
        <f t="shared" si="140"/>
        <v>Zabór</v>
      </c>
      <c r="C827" t="str">
        <f t="shared" si="132"/>
        <v/>
      </c>
      <c r="D827" t="str">
        <f t="shared" si="142"/>
        <v/>
      </c>
      <c r="E827" t="str">
        <f t="shared" si="133"/>
        <v/>
      </c>
      <c r="F827" t="str">
        <f t="shared" si="134"/>
        <v/>
      </c>
      <c r="G827" t="str">
        <f t="shared" si="135"/>
        <v/>
      </c>
      <c r="H827" t="str">
        <f t="shared" si="136"/>
        <v/>
      </c>
      <c r="I827" t="str">
        <f t="shared" si="137"/>
        <v/>
      </c>
      <c r="J827" t="str">
        <f t="shared" si="138"/>
        <v/>
      </c>
    </row>
    <row r="828" spans="2:10">
      <c r="B828" t="str">
        <f t="shared" si="140"/>
        <v>Zabór</v>
      </c>
      <c r="C828" t="str">
        <f t="shared" si="132"/>
        <v/>
      </c>
      <c r="D828" t="str">
        <f t="shared" si="142"/>
        <v/>
      </c>
      <c r="E828" t="str">
        <f t="shared" si="133"/>
        <v/>
      </c>
      <c r="F828" t="str">
        <f t="shared" si="134"/>
        <v/>
      </c>
      <c r="G828" t="str">
        <f t="shared" si="135"/>
        <v/>
      </c>
      <c r="H828" t="str">
        <f t="shared" si="136"/>
        <v/>
      </c>
      <c r="I828" t="str">
        <f t="shared" si="137"/>
        <v/>
      </c>
      <c r="J828" t="str">
        <f t="shared" si="138"/>
        <v/>
      </c>
    </row>
    <row r="829" spans="2:10">
      <c r="B829" t="str">
        <f t="shared" si="140"/>
        <v>Zabór</v>
      </c>
      <c r="C829" t="str">
        <f t="shared" si="132"/>
        <v/>
      </c>
      <c r="D829" t="str">
        <f t="shared" si="142"/>
        <v/>
      </c>
      <c r="E829" t="str">
        <f t="shared" si="133"/>
        <v/>
      </c>
      <c r="F829" t="str">
        <f t="shared" si="134"/>
        <v/>
      </c>
      <c r="G829" t="str">
        <f t="shared" si="135"/>
        <v/>
      </c>
      <c r="H829" t="str">
        <f t="shared" si="136"/>
        <v/>
      </c>
      <c r="I829" t="str">
        <f t="shared" si="137"/>
        <v/>
      </c>
      <c r="J829" t="str">
        <f t="shared" si="138"/>
        <v/>
      </c>
    </row>
    <row r="830" spans="2:10">
      <c r="B830" t="str">
        <f t="shared" si="140"/>
        <v>Zabór</v>
      </c>
      <c r="C830" t="str">
        <f t="shared" si="132"/>
        <v/>
      </c>
      <c r="D830" t="str">
        <f t="shared" si="142"/>
        <v/>
      </c>
      <c r="E830" t="str">
        <f t="shared" si="133"/>
        <v/>
      </c>
      <c r="F830" t="str">
        <f t="shared" si="134"/>
        <v/>
      </c>
      <c r="G830" t="str">
        <f t="shared" si="135"/>
        <v/>
      </c>
      <c r="H830" t="str">
        <f t="shared" si="136"/>
        <v/>
      </c>
      <c r="I830" t="str">
        <f t="shared" si="137"/>
        <v/>
      </c>
      <c r="J830" t="str">
        <f t="shared" si="138"/>
        <v/>
      </c>
    </row>
    <row r="831" spans="2:10">
      <c r="B831" t="str">
        <f t="shared" si="140"/>
        <v>Zabór</v>
      </c>
      <c r="C831" t="str">
        <f t="shared" si="132"/>
        <v/>
      </c>
      <c r="D831" t="str">
        <f t="shared" si="142"/>
        <v/>
      </c>
      <c r="E831" t="str">
        <f t="shared" si="133"/>
        <v/>
      </c>
      <c r="F831" t="str">
        <f t="shared" si="134"/>
        <v/>
      </c>
      <c r="G831" t="str">
        <f t="shared" si="135"/>
        <v/>
      </c>
      <c r="H831" t="str">
        <f t="shared" si="136"/>
        <v/>
      </c>
      <c r="I831" t="str">
        <f t="shared" si="137"/>
        <v/>
      </c>
      <c r="J831" t="str">
        <f t="shared" si="138"/>
        <v/>
      </c>
    </row>
    <row r="832" spans="2:10">
      <c r="B832" t="str">
        <f t="shared" si="140"/>
        <v>Zabór</v>
      </c>
      <c r="C832" t="str">
        <f t="shared" si="132"/>
        <v/>
      </c>
      <c r="D832" t="str">
        <f t="shared" si="142"/>
        <v/>
      </c>
      <c r="E832" t="str">
        <f t="shared" si="133"/>
        <v/>
      </c>
      <c r="F832" t="str">
        <f t="shared" si="134"/>
        <v/>
      </c>
      <c r="G832" t="str">
        <f t="shared" si="135"/>
        <v/>
      </c>
      <c r="H832" t="str">
        <f t="shared" si="136"/>
        <v/>
      </c>
      <c r="I832" t="str">
        <f t="shared" si="137"/>
        <v/>
      </c>
      <c r="J832" t="str">
        <f t="shared" si="138"/>
        <v/>
      </c>
    </row>
    <row r="833" spans="2:10">
      <c r="B833" t="str">
        <f t="shared" si="140"/>
        <v>Zabór</v>
      </c>
      <c r="C833" t="str">
        <f t="shared" si="132"/>
        <v/>
      </c>
      <c r="D833" t="str">
        <f t="shared" si="142"/>
        <v/>
      </c>
      <c r="E833" t="str">
        <f t="shared" si="133"/>
        <v/>
      </c>
      <c r="F833" t="str">
        <f t="shared" si="134"/>
        <v/>
      </c>
      <c r="G833" t="str">
        <f t="shared" si="135"/>
        <v/>
      </c>
      <c r="H833" t="str">
        <f t="shared" si="136"/>
        <v/>
      </c>
      <c r="I833" t="str">
        <f t="shared" si="137"/>
        <v/>
      </c>
      <c r="J833" t="str">
        <f t="shared" si="138"/>
        <v/>
      </c>
    </row>
    <row r="834" spans="2:10">
      <c r="B834" t="str">
        <f t="shared" si="140"/>
        <v>Zabór</v>
      </c>
      <c r="C834" t="str">
        <f t="shared" si="132"/>
        <v/>
      </c>
      <c r="D834" t="str">
        <f t="shared" si="142"/>
        <v/>
      </c>
      <c r="E834" t="str">
        <f t="shared" si="133"/>
        <v/>
      </c>
      <c r="F834" t="str">
        <f t="shared" si="134"/>
        <v/>
      </c>
      <c r="G834" t="str">
        <f t="shared" si="135"/>
        <v/>
      </c>
      <c r="H834" t="str">
        <f t="shared" si="136"/>
        <v/>
      </c>
      <c r="I834" t="str">
        <f t="shared" si="137"/>
        <v/>
      </c>
      <c r="J834" t="str">
        <f t="shared" si="138"/>
        <v/>
      </c>
    </row>
    <row r="835" spans="2:10">
      <c r="B835" t="str">
        <f t="shared" si="140"/>
        <v>Zabór</v>
      </c>
      <c r="C835" t="str">
        <f t="shared" ref="C835:C895" si="144">IF(ISERR(FIND($C$1,A835,1)),"",A835)</f>
        <v/>
      </c>
      <c r="D835" t="str">
        <f t="shared" si="142"/>
        <v/>
      </c>
      <c r="E835" t="str">
        <f t="shared" ref="E835:E895" si="145">IF(C835&gt;"",A837,"")</f>
        <v/>
      </c>
      <c r="F835" t="str">
        <f t="shared" ref="F835:F894" si="146">IF(E835&gt;"",MID(A838,FIND("tel.",A838)+4,15),"")</f>
        <v/>
      </c>
      <c r="G835" t="str">
        <f t="shared" ref="G835:G893" si="147">IF(E835&gt;"",MID(A839,FIND(":",A839)+2,60),"")</f>
        <v/>
      </c>
      <c r="H835" t="str">
        <f t="shared" ref="H835:H892" si="148">IF(E835&gt;"",MID(A840,FIND("e-mail:",A840)+8,100),"")</f>
        <v/>
      </c>
      <c r="I835" t="str">
        <f t="shared" ref="I835:I891" si="149">IF(E835&gt;"",IF(ISERR(FIND("DKK",A841)),"",A841),"")</f>
        <v/>
      </c>
      <c r="J835" t="str">
        <f t="shared" ref="J835:J881" si="150">IF(E835&gt;"",IF(ISERR(FIND("DKK",A842)),"",A842),"")</f>
        <v/>
      </c>
    </row>
    <row r="836" spans="2:10">
      <c r="B836" t="str">
        <f t="shared" si="140"/>
        <v>Zabór</v>
      </c>
      <c r="C836" t="str">
        <f t="shared" si="144"/>
        <v/>
      </c>
      <c r="D836" t="str">
        <f t="shared" si="142"/>
        <v/>
      </c>
      <c r="E836" t="str">
        <f t="shared" si="145"/>
        <v/>
      </c>
      <c r="F836" t="str">
        <f t="shared" si="146"/>
        <v/>
      </c>
      <c r="G836" t="str">
        <f t="shared" si="147"/>
        <v/>
      </c>
      <c r="H836" t="str">
        <f t="shared" si="148"/>
        <v/>
      </c>
      <c r="I836" t="str">
        <f t="shared" si="149"/>
        <v/>
      </c>
      <c r="J836" t="str">
        <f t="shared" si="150"/>
        <v/>
      </c>
    </row>
    <row r="837" spans="2:10">
      <c r="B837" t="str">
        <f t="shared" si="140"/>
        <v>Zabór</v>
      </c>
      <c r="C837" t="str">
        <f t="shared" si="144"/>
        <v/>
      </c>
      <c r="D837" t="str">
        <f t="shared" si="142"/>
        <v/>
      </c>
      <c r="E837" t="str">
        <f t="shared" si="145"/>
        <v/>
      </c>
      <c r="F837" t="str">
        <f t="shared" si="146"/>
        <v/>
      </c>
      <c r="G837" t="str">
        <f t="shared" si="147"/>
        <v/>
      </c>
      <c r="H837" t="str">
        <f t="shared" si="148"/>
        <v/>
      </c>
      <c r="I837" t="str">
        <f t="shared" si="149"/>
        <v/>
      </c>
      <c r="J837" t="str">
        <f t="shared" si="150"/>
        <v/>
      </c>
    </row>
    <row r="838" spans="2:10">
      <c r="B838" t="str">
        <f t="shared" si="140"/>
        <v>Zabór</v>
      </c>
      <c r="C838" t="str">
        <f t="shared" si="144"/>
        <v/>
      </c>
      <c r="D838" t="str">
        <f t="shared" si="142"/>
        <v/>
      </c>
      <c r="E838" t="str">
        <f t="shared" si="145"/>
        <v/>
      </c>
      <c r="F838" t="str">
        <f t="shared" si="146"/>
        <v/>
      </c>
      <c r="G838" t="str">
        <f t="shared" si="147"/>
        <v/>
      </c>
      <c r="H838" t="str">
        <f t="shared" si="148"/>
        <v/>
      </c>
      <c r="I838" t="str">
        <f t="shared" si="149"/>
        <v/>
      </c>
      <c r="J838" t="str">
        <f t="shared" si="150"/>
        <v/>
      </c>
    </row>
    <row r="839" spans="2:10">
      <c r="B839" t="str">
        <f t="shared" si="140"/>
        <v>Zabór</v>
      </c>
      <c r="C839" t="str">
        <f t="shared" si="144"/>
        <v/>
      </c>
      <c r="D839" t="str">
        <f t="shared" si="142"/>
        <v/>
      </c>
      <c r="E839" t="str">
        <f t="shared" si="145"/>
        <v/>
      </c>
      <c r="F839" t="str">
        <f t="shared" si="146"/>
        <v/>
      </c>
      <c r="G839" t="str">
        <f t="shared" si="147"/>
        <v/>
      </c>
      <c r="H839" t="str">
        <f t="shared" si="148"/>
        <v/>
      </c>
      <c r="I839" t="str">
        <f t="shared" si="149"/>
        <v/>
      </c>
      <c r="J839" t="str">
        <f t="shared" si="150"/>
        <v/>
      </c>
    </row>
    <row r="840" spans="2:10">
      <c r="B840" t="str">
        <f t="shared" si="140"/>
        <v>Zabór</v>
      </c>
      <c r="C840" t="str">
        <f t="shared" si="144"/>
        <v/>
      </c>
      <c r="D840" t="str">
        <f t="shared" si="142"/>
        <v/>
      </c>
      <c r="E840" t="str">
        <f t="shared" si="145"/>
        <v/>
      </c>
      <c r="F840" t="str">
        <f t="shared" si="146"/>
        <v/>
      </c>
      <c r="G840" t="str">
        <f t="shared" si="147"/>
        <v/>
      </c>
      <c r="H840" t="str">
        <f t="shared" si="148"/>
        <v/>
      </c>
      <c r="I840" t="str">
        <f t="shared" si="149"/>
        <v/>
      </c>
      <c r="J840" t="str">
        <f t="shared" si="150"/>
        <v/>
      </c>
    </row>
    <row r="841" spans="2:10">
      <c r="B841" t="str">
        <f t="shared" si="140"/>
        <v>Zabór</v>
      </c>
      <c r="C841" t="str">
        <f t="shared" si="144"/>
        <v/>
      </c>
      <c r="D841" t="str">
        <f t="shared" si="142"/>
        <v/>
      </c>
      <c r="E841" t="str">
        <f t="shared" si="145"/>
        <v/>
      </c>
      <c r="F841" t="str">
        <f t="shared" si="146"/>
        <v/>
      </c>
      <c r="G841" t="str">
        <f t="shared" si="147"/>
        <v/>
      </c>
      <c r="H841" t="str">
        <f t="shared" si="148"/>
        <v/>
      </c>
      <c r="I841" t="str">
        <f t="shared" si="149"/>
        <v/>
      </c>
      <c r="J841" t="str">
        <f t="shared" si="150"/>
        <v/>
      </c>
    </row>
    <row r="842" spans="2:10">
      <c r="B842" t="str">
        <f t="shared" si="140"/>
        <v>Zabór</v>
      </c>
      <c r="C842" t="str">
        <f t="shared" si="144"/>
        <v/>
      </c>
      <c r="D842" t="str">
        <f t="shared" si="142"/>
        <v/>
      </c>
      <c r="E842" t="str">
        <f t="shared" si="145"/>
        <v/>
      </c>
      <c r="F842" t="str">
        <f t="shared" si="146"/>
        <v/>
      </c>
      <c r="G842" t="str">
        <f t="shared" si="147"/>
        <v/>
      </c>
      <c r="H842" t="str">
        <f t="shared" si="148"/>
        <v/>
      </c>
      <c r="I842" t="str">
        <f t="shared" si="149"/>
        <v/>
      </c>
      <c r="J842" t="str">
        <f t="shared" si="150"/>
        <v/>
      </c>
    </row>
    <row r="843" spans="2:10">
      <c r="B843" t="str">
        <f t="shared" si="140"/>
        <v>Zabór</v>
      </c>
      <c r="C843" t="str">
        <f t="shared" si="144"/>
        <v/>
      </c>
      <c r="D843" t="str">
        <f t="shared" si="142"/>
        <v/>
      </c>
      <c r="E843" t="str">
        <f t="shared" si="145"/>
        <v/>
      </c>
      <c r="F843" t="str">
        <f t="shared" si="146"/>
        <v/>
      </c>
      <c r="G843" t="str">
        <f t="shared" si="147"/>
        <v/>
      </c>
      <c r="H843" t="str">
        <f t="shared" si="148"/>
        <v/>
      </c>
      <c r="I843" t="str">
        <f t="shared" si="149"/>
        <v/>
      </c>
      <c r="J843" t="str">
        <f t="shared" si="150"/>
        <v/>
      </c>
    </row>
    <row r="844" spans="2:10">
      <c r="B844" t="str">
        <f t="shared" si="140"/>
        <v>Zabór</v>
      </c>
      <c r="C844" t="str">
        <f t="shared" si="144"/>
        <v/>
      </c>
      <c r="D844" t="str">
        <f t="shared" si="142"/>
        <v/>
      </c>
      <c r="E844" t="str">
        <f t="shared" si="145"/>
        <v/>
      </c>
      <c r="F844" t="str">
        <f t="shared" si="146"/>
        <v/>
      </c>
      <c r="G844" t="str">
        <f t="shared" si="147"/>
        <v/>
      </c>
      <c r="H844" t="str">
        <f t="shared" si="148"/>
        <v/>
      </c>
      <c r="I844" t="str">
        <f t="shared" si="149"/>
        <v/>
      </c>
      <c r="J844" t="str">
        <f t="shared" si="150"/>
        <v/>
      </c>
    </row>
    <row r="845" spans="2:10">
      <c r="B845" t="str">
        <f t="shared" si="140"/>
        <v>Zabór</v>
      </c>
      <c r="C845" t="str">
        <f t="shared" si="144"/>
        <v/>
      </c>
      <c r="D845" t="str">
        <f t="shared" si="142"/>
        <v/>
      </c>
      <c r="E845" t="str">
        <f t="shared" si="145"/>
        <v/>
      </c>
      <c r="F845" t="str">
        <f t="shared" si="146"/>
        <v/>
      </c>
      <c r="G845" t="str">
        <f t="shared" si="147"/>
        <v/>
      </c>
      <c r="H845" t="str">
        <f t="shared" si="148"/>
        <v/>
      </c>
      <c r="I845" t="str">
        <f t="shared" si="149"/>
        <v/>
      </c>
      <c r="J845" t="str">
        <f t="shared" si="150"/>
        <v/>
      </c>
    </row>
    <row r="846" spans="2:10">
      <c r="B846" t="str">
        <f t="shared" si="140"/>
        <v>Zabór</v>
      </c>
      <c r="C846" t="str">
        <f t="shared" si="144"/>
        <v/>
      </c>
      <c r="D846" t="str">
        <f t="shared" si="142"/>
        <v/>
      </c>
      <c r="E846" t="str">
        <f t="shared" si="145"/>
        <v/>
      </c>
      <c r="F846" t="str">
        <f t="shared" si="146"/>
        <v/>
      </c>
      <c r="G846" t="str">
        <f t="shared" si="147"/>
        <v/>
      </c>
      <c r="H846" t="str">
        <f t="shared" si="148"/>
        <v/>
      </c>
      <c r="I846" t="str">
        <f t="shared" si="149"/>
        <v/>
      </c>
      <c r="J846" t="str">
        <f>IF(E846&gt;"",IF(ISERR(FIND("DKK",#REF!)),"",#REF!),"")</f>
        <v/>
      </c>
    </row>
    <row r="847" spans="2:10">
      <c r="B847" t="str">
        <f t="shared" si="140"/>
        <v>Zabór</v>
      </c>
      <c r="C847" t="str">
        <f t="shared" si="144"/>
        <v/>
      </c>
      <c r="D847" t="str">
        <f t="shared" si="142"/>
        <v/>
      </c>
      <c r="E847" t="str">
        <f t="shared" si="145"/>
        <v/>
      </c>
      <c r="F847" t="str">
        <f t="shared" si="146"/>
        <v/>
      </c>
      <c r="G847" t="str">
        <f t="shared" si="147"/>
        <v/>
      </c>
      <c r="H847" t="str">
        <f t="shared" si="148"/>
        <v/>
      </c>
      <c r="I847" t="str">
        <f>IF(E847&gt;"",IF(ISERR(FIND("DKK",#REF!)),"",#REF!),"")</f>
        <v/>
      </c>
      <c r="J847" t="str">
        <f t="shared" ref="J847:J852" si="151">IF(E847&gt;"",IF(ISERR(FIND("DKK",A853)),"",A853),"")</f>
        <v/>
      </c>
    </row>
    <row r="848" spans="2:10">
      <c r="B848" t="str">
        <f t="shared" si="140"/>
        <v>Zabór</v>
      </c>
      <c r="C848" t="str">
        <f t="shared" si="144"/>
        <v/>
      </c>
      <c r="D848" t="str">
        <f t="shared" si="142"/>
        <v/>
      </c>
      <c r="E848" t="str">
        <f t="shared" si="145"/>
        <v/>
      </c>
      <c r="F848" t="str">
        <f t="shared" si="146"/>
        <v/>
      </c>
      <c r="G848" t="str">
        <f t="shared" si="147"/>
        <v/>
      </c>
      <c r="H848" t="str">
        <f>IF(E848&gt;"",MID(#REF!,FIND("e-mail:",#REF!)+8,100),"")</f>
        <v/>
      </c>
      <c r="I848" t="str">
        <f>IF(E848&gt;"",IF(ISERR(FIND("DKK",A853)),"",A853),"")</f>
        <v/>
      </c>
      <c r="J848" t="str">
        <f t="shared" si="151"/>
        <v/>
      </c>
    </row>
    <row r="849" spans="2:10">
      <c r="B849" t="str">
        <f t="shared" si="140"/>
        <v>Zabór</v>
      </c>
      <c r="C849" t="str">
        <f t="shared" si="144"/>
        <v/>
      </c>
      <c r="D849" t="str">
        <f t="shared" si="142"/>
        <v/>
      </c>
      <c r="E849" t="str">
        <f t="shared" si="145"/>
        <v/>
      </c>
      <c r="F849" t="str">
        <f t="shared" si="146"/>
        <v/>
      </c>
      <c r="G849" t="str">
        <f>IF(E849&gt;"",MID(#REF!,FIND(":",#REF!)+2,60),"")</f>
        <v/>
      </c>
      <c r="H849" t="str">
        <f>IF(E849&gt;"",MID(A853,FIND("e-mail:",A853)+8,100),"")</f>
        <v/>
      </c>
      <c r="I849" t="str">
        <f>IF(E849&gt;"",IF(ISERR(FIND("DKK",A854)),"",A854),"")</f>
        <v/>
      </c>
      <c r="J849" t="str">
        <f t="shared" si="151"/>
        <v/>
      </c>
    </row>
    <row r="850" spans="2:10">
      <c r="B850" t="str">
        <f t="shared" si="140"/>
        <v>Zabór</v>
      </c>
      <c r="C850" t="str">
        <f t="shared" si="144"/>
        <v/>
      </c>
      <c r="D850" t="str">
        <f t="shared" si="142"/>
        <v/>
      </c>
      <c r="E850" t="str">
        <f t="shared" si="145"/>
        <v/>
      </c>
      <c r="F850" t="str">
        <f>IF(E850&gt;"",MID(#REF!,FIND("tel.",#REF!)+4,15),"")</f>
        <v/>
      </c>
      <c r="G850" t="str">
        <f>IF(E850&gt;"",MID(A853,FIND(":",A853)+2,60),"")</f>
        <v/>
      </c>
      <c r="H850" t="str">
        <f>IF(E850&gt;"",MID(A854,FIND("e-mail:",A854)+8,100),"")</f>
        <v/>
      </c>
      <c r="I850" t="str">
        <f>IF(E850&gt;"",IF(ISERR(FIND("DKK",A855)),"",A855),"")</f>
        <v/>
      </c>
      <c r="J850" t="str">
        <f t="shared" si="151"/>
        <v/>
      </c>
    </row>
    <row r="851" spans="2:10">
      <c r="B851" t="str">
        <f t="shared" si="140"/>
        <v>Zabór</v>
      </c>
      <c r="C851" t="str">
        <f t="shared" si="144"/>
        <v/>
      </c>
      <c r="D851" t="str">
        <f t="shared" si="142"/>
        <v/>
      </c>
      <c r="E851" t="str">
        <f>IF(C851&gt;"",#REF!,"")</f>
        <v/>
      </c>
      <c r="F851" t="str">
        <f>IF(E851&gt;"",MID(A853,FIND("tel.",A853)+4,15),"")</f>
        <v/>
      </c>
      <c r="G851" t="str">
        <f>IF(E851&gt;"",MID(A854,FIND(":",A854)+2,60),"")</f>
        <v/>
      </c>
      <c r="H851" t="str">
        <f>IF(E851&gt;"",MID(A855,FIND("e-mail:",A855)+8,100),"")</f>
        <v/>
      </c>
      <c r="I851" t="str">
        <f>IF(E851&gt;"",IF(ISERR(FIND("DKK",A856)),"",A856),"")</f>
        <v/>
      </c>
      <c r="J851" t="str">
        <f t="shared" si="151"/>
        <v/>
      </c>
    </row>
    <row r="852" spans="2:10">
      <c r="B852" t="str">
        <f t="shared" si="140"/>
        <v>Zabór</v>
      </c>
      <c r="C852" t="str">
        <f t="shared" si="144"/>
        <v/>
      </c>
      <c r="D852" t="str">
        <f>IF(C852&gt;"",#REF!,"")</f>
        <v/>
      </c>
      <c r="E852" t="str">
        <f>IF(C852&gt;"",A853,"")</f>
        <v/>
      </c>
      <c r="F852" t="str">
        <f>IF(E852&gt;"",MID(A854,FIND("tel.",A854)+4,15),"")</f>
        <v/>
      </c>
      <c r="G852" t="str">
        <f>IF(E852&gt;"",MID(A855,FIND(":",A855)+2,60),"")</f>
        <v/>
      </c>
      <c r="H852" t="str">
        <f>IF(E852&gt;"",MID(A856,FIND("e-mail:",A856)+8,100),"")</f>
        <v/>
      </c>
      <c r="I852" t="str">
        <f>IF(E852&gt;"",IF(ISERR(FIND("DKK",A857)),"",A857),"")</f>
        <v/>
      </c>
      <c r="J852" t="str">
        <f t="shared" si="151"/>
        <v/>
      </c>
    </row>
    <row r="853" spans="2:10">
      <c r="B853" t="str">
        <f t="shared" si="140"/>
        <v>Zabór</v>
      </c>
      <c r="C853" t="str">
        <f t="shared" si="144"/>
        <v/>
      </c>
      <c r="D853" t="str">
        <f t="shared" si="142"/>
        <v/>
      </c>
      <c r="E853" t="str">
        <f t="shared" si="145"/>
        <v/>
      </c>
      <c r="F853" t="str">
        <f t="shared" si="146"/>
        <v/>
      </c>
      <c r="G853" t="str">
        <f t="shared" si="147"/>
        <v/>
      </c>
      <c r="H853" t="str">
        <f t="shared" si="148"/>
        <v/>
      </c>
      <c r="I853" t="str">
        <f t="shared" si="149"/>
        <v/>
      </c>
      <c r="J853" t="str">
        <f t="shared" si="150"/>
        <v/>
      </c>
    </row>
    <row r="854" spans="2:10">
      <c r="B854" t="str">
        <f t="shared" si="140"/>
        <v>Zabór</v>
      </c>
      <c r="C854" t="str">
        <f t="shared" si="144"/>
        <v/>
      </c>
      <c r="D854" t="str">
        <f t="shared" si="142"/>
        <v/>
      </c>
      <c r="E854" t="str">
        <f t="shared" si="145"/>
        <v/>
      </c>
      <c r="F854" t="str">
        <f t="shared" si="146"/>
        <v/>
      </c>
      <c r="G854" t="str">
        <f t="shared" si="147"/>
        <v/>
      </c>
      <c r="H854" t="str">
        <f t="shared" si="148"/>
        <v/>
      </c>
      <c r="I854" t="str">
        <f t="shared" si="149"/>
        <v/>
      </c>
      <c r="J854" t="str">
        <f t="shared" si="150"/>
        <v/>
      </c>
    </row>
    <row r="855" spans="2:10">
      <c r="B855" t="str">
        <f t="shared" si="140"/>
        <v>Zabór</v>
      </c>
      <c r="C855" t="str">
        <f t="shared" si="144"/>
        <v/>
      </c>
      <c r="D855" t="str">
        <f t="shared" si="142"/>
        <v/>
      </c>
      <c r="E855" t="str">
        <f t="shared" si="145"/>
        <v/>
      </c>
      <c r="F855" t="str">
        <f t="shared" si="146"/>
        <v/>
      </c>
      <c r="G855" t="str">
        <f t="shared" si="147"/>
        <v/>
      </c>
      <c r="H855" t="str">
        <f t="shared" si="148"/>
        <v/>
      </c>
      <c r="I855" t="str">
        <f t="shared" si="149"/>
        <v/>
      </c>
      <c r="J855" t="str">
        <f t="shared" si="150"/>
        <v/>
      </c>
    </row>
    <row r="856" spans="2:10">
      <c r="B856" t="str">
        <f t="shared" si="140"/>
        <v>Zabór</v>
      </c>
      <c r="C856" t="str">
        <f t="shared" si="144"/>
        <v/>
      </c>
      <c r="D856" t="str">
        <f t="shared" si="142"/>
        <v/>
      </c>
      <c r="E856" t="str">
        <f t="shared" si="145"/>
        <v/>
      </c>
      <c r="F856" t="str">
        <f t="shared" si="146"/>
        <v/>
      </c>
      <c r="G856" t="str">
        <f t="shared" si="147"/>
        <v/>
      </c>
      <c r="H856" t="str">
        <f t="shared" si="148"/>
        <v/>
      </c>
      <c r="I856" t="str">
        <f t="shared" si="149"/>
        <v/>
      </c>
      <c r="J856" t="str">
        <f t="shared" si="150"/>
        <v/>
      </c>
    </row>
    <row r="857" spans="2:10">
      <c r="B857" t="str">
        <f t="shared" si="140"/>
        <v>Zabór</v>
      </c>
      <c r="C857" t="str">
        <f t="shared" si="144"/>
        <v/>
      </c>
      <c r="D857" t="str">
        <f t="shared" si="142"/>
        <v/>
      </c>
      <c r="E857" t="str">
        <f t="shared" si="145"/>
        <v/>
      </c>
      <c r="F857" t="str">
        <f t="shared" si="146"/>
        <v/>
      </c>
      <c r="G857" t="str">
        <f t="shared" si="147"/>
        <v/>
      </c>
      <c r="H857" t="str">
        <f t="shared" si="148"/>
        <v/>
      </c>
      <c r="I857" t="str">
        <f t="shared" si="149"/>
        <v/>
      </c>
      <c r="J857" t="str">
        <f t="shared" si="150"/>
        <v/>
      </c>
    </row>
    <row r="858" spans="2:10">
      <c r="B858" t="str">
        <f t="shared" si="140"/>
        <v>Zabór</v>
      </c>
      <c r="C858" t="str">
        <f t="shared" si="144"/>
        <v/>
      </c>
      <c r="D858" t="str">
        <f t="shared" si="142"/>
        <v/>
      </c>
      <c r="E858" t="str">
        <f t="shared" si="145"/>
        <v/>
      </c>
      <c r="F858" t="str">
        <f t="shared" si="146"/>
        <v/>
      </c>
      <c r="G858" t="str">
        <f t="shared" si="147"/>
        <v/>
      </c>
      <c r="H858" t="str">
        <f t="shared" si="148"/>
        <v/>
      </c>
      <c r="I858" t="str">
        <f t="shared" si="149"/>
        <v/>
      </c>
      <c r="J858" t="str">
        <f t="shared" si="150"/>
        <v/>
      </c>
    </row>
    <row r="859" spans="2:10">
      <c r="B859" t="str">
        <f t="shared" si="140"/>
        <v>Zabór</v>
      </c>
      <c r="C859" t="str">
        <f t="shared" si="144"/>
        <v/>
      </c>
      <c r="D859" t="str">
        <f t="shared" si="142"/>
        <v/>
      </c>
      <c r="E859" t="str">
        <f t="shared" si="145"/>
        <v/>
      </c>
      <c r="F859" t="str">
        <f t="shared" si="146"/>
        <v/>
      </c>
      <c r="G859" t="str">
        <f t="shared" si="147"/>
        <v/>
      </c>
      <c r="H859" t="str">
        <f t="shared" si="148"/>
        <v/>
      </c>
      <c r="I859" t="str">
        <f t="shared" si="149"/>
        <v/>
      </c>
      <c r="J859" t="str">
        <f t="shared" si="150"/>
        <v/>
      </c>
    </row>
    <row r="860" spans="2:10">
      <c r="B860" t="str">
        <f t="shared" si="140"/>
        <v>Zabór</v>
      </c>
      <c r="C860" t="str">
        <f t="shared" si="144"/>
        <v/>
      </c>
      <c r="D860" t="str">
        <f t="shared" si="142"/>
        <v/>
      </c>
      <c r="E860" t="str">
        <f t="shared" si="145"/>
        <v/>
      </c>
      <c r="F860" t="str">
        <f t="shared" si="146"/>
        <v/>
      </c>
      <c r="G860" t="str">
        <f t="shared" si="147"/>
        <v/>
      </c>
      <c r="H860" t="str">
        <f t="shared" si="148"/>
        <v/>
      </c>
      <c r="I860" t="str">
        <f t="shared" si="149"/>
        <v/>
      </c>
      <c r="J860" t="str">
        <f t="shared" si="150"/>
        <v/>
      </c>
    </row>
    <row r="861" spans="2:10">
      <c r="B861" t="str">
        <f t="shared" si="140"/>
        <v>Zabór</v>
      </c>
      <c r="C861" t="str">
        <f t="shared" si="144"/>
        <v/>
      </c>
      <c r="D861" t="str">
        <f t="shared" si="142"/>
        <v/>
      </c>
      <c r="E861" t="str">
        <f t="shared" si="145"/>
        <v/>
      </c>
      <c r="F861" t="str">
        <f t="shared" si="146"/>
        <v/>
      </c>
      <c r="G861" t="str">
        <f t="shared" si="147"/>
        <v/>
      </c>
      <c r="H861" t="str">
        <f t="shared" si="148"/>
        <v/>
      </c>
      <c r="I861" t="str">
        <f t="shared" si="149"/>
        <v/>
      </c>
      <c r="J861" t="str">
        <f t="shared" si="150"/>
        <v/>
      </c>
    </row>
    <row r="862" spans="2:10">
      <c r="B862" t="str">
        <f t="shared" si="140"/>
        <v>Zabór</v>
      </c>
      <c r="C862" t="str">
        <f t="shared" si="144"/>
        <v/>
      </c>
      <c r="D862" t="str">
        <f t="shared" si="142"/>
        <v/>
      </c>
      <c r="E862" t="str">
        <f t="shared" si="145"/>
        <v/>
      </c>
      <c r="F862" t="str">
        <f t="shared" si="146"/>
        <v/>
      </c>
      <c r="G862" t="str">
        <f t="shared" si="147"/>
        <v/>
      </c>
      <c r="H862" t="str">
        <f t="shared" si="148"/>
        <v/>
      </c>
      <c r="I862" t="str">
        <f t="shared" si="149"/>
        <v/>
      </c>
      <c r="J862" t="str">
        <f t="shared" si="150"/>
        <v/>
      </c>
    </row>
    <row r="863" spans="2:10">
      <c r="B863" t="str">
        <f t="shared" si="140"/>
        <v>Zabór</v>
      </c>
      <c r="C863" t="str">
        <f t="shared" si="144"/>
        <v/>
      </c>
      <c r="D863" t="str">
        <f t="shared" si="142"/>
        <v/>
      </c>
      <c r="E863" t="str">
        <f t="shared" si="145"/>
        <v/>
      </c>
      <c r="F863" t="str">
        <f t="shared" si="146"/>
        <v/>
      </c>
      <c r="G863" t="str">
        <f t="shared" si="147"/>
        <v/>
      </c>
      <c r="H863" t="str">
        <f t="shared" si="148"/>
        <v/>
      </c>
      <c r="I863" t="str">
        <f t="shared" si="149"/>
        <v/>
      </c>
      <c r="J863" t="str">
        <f t="shared" si="150"/>
        <v/>
      </c>
    </row>
    <row r="864" spans="2:10">
      <c r="B864" t="str">
        <f t="shared" ref="B864:B927" si="152">+IF(AND(C864&gt;"",ISERR(FIND("DKK",A863))),A863,B863)</f>
        <v>Zabór</v>
      </c>
      <c r="C864" t="str">
        <f t="shared" si="144"/>
        <v/>
      </c>
      <c r="D864" t="str">
        <f t="shared" si="142"/>
        <v/>
      </c>
      <c r="E864" t="str">
        <f t="shared" si="145"/>
        <v/>
      </c>
      <c r="F864" t="str">
        <f t="shared" si="146"/>
        <v/>
      </c>
      <c r="G864" t="str">
        <f t="shared" si="147"/>
        <v/>
      </c>
      <c r="H864" t="str">
        <f t="shared" si="148"/>
        <v/>
      </c>
      <c r="I864" t="str">
        <f t="shared" si="149"/>
        <v/>
      </c>
      <c r="J864" t="str">
        <f t="shared" si="150"/>
        <v/>
      </c>
    </row>
    <row r="865" spans="2:10">
      <c r="B865" t="str">
        <f t="shared" si="152"/>
        <v>Zabór</v>
      </c>
      <c r="C865" t="str">
        <f t="shared" si="144"/>
        <v/>
      </c>
      <c r="D865" t="str">
        <f t="shared" si="142"/>
        <v/>
      </c>
      <c r="E865" t="str">
        <f t="shared" si="145"/>
        <v/>
      </c>
      <c r="F865" t="str">
        <f t="shared" si="146"/>
        <v/>
      </c>
      <c r="G865" t="str">
        <f t="shared" si="147"/>
        <v/>
      </c>
      <c r="H865" t="str">
        <f t="shared" si="148"/>
        <v/>
      </c>
      <c r="I865" t="str">
        <f t="shared" si="149"/>
        <v/>
      </c>
      <c r="J865" t="str">
        <f t="shared" si="150"/>
        <v/>
      </c>
    </row>
    <row r="866" spans="2:10">
      <c r="B866" t="str">
        <f t="shared" si="152"/>
        <v>Zabór</v>
      </c>
      <c r="C866" t="str">
        <f t="shared" si="144"/>
        <v/>
      </c>
      <c r="D866" t="str">
        <f t="shared" si="142"/>
        <v/>
      </c>
      <c r="E866" t="str">
        <f t="shared" si="145"/>
        <v/>
      </c>
      <c r="F866" t="str">
        <f t="shared" si="146"/>
        <v/>
      </c>
      <c r="G866" t="str">
        <f t="shared" si="147"/>
        <v/>
      </c>
      <c r="H866" t="str">
        <f t="shared" si="148"/>
        <v/>
      </c>
      <c r="I866" t="str">
        <f t="shared" si="149"/>
        <v/>
      </c>
      <c r="J866" t="str">
        <f t="shared" si="150"/>
        <v/>
      </c>
    </row>
    <row r="867" spans="2:10">
      <c r="B867" t="str">
        <f t="shared" si="152"/>
        <v>Zabór</v>
      </c>
      <c r="C867" t="str">
        <f t="shared" si="144"/>
        <v/>
      </c>
      <c r="D867" t="str">
        <f t="shared" si="142"/>
        <v/>
      </c>
      <c r="E867" t="str">
        <f t="shared" si="145"/>
        <v/>
      </c>
      <c r="F867" t="str">
        <f t="shared" si="146"/>
        <v/>
      </c>
      <c r="G867" t="str">
        <f t="shared" si="147"/>
        <v/>
      </c>
      <c r="H867" t="str">
        <f t="shared" si="148"/>
        <v/>
      </c>
      <c r="I867" t="str">
        <f t="shared" si="149"/>
        <v/>
      </c>
      <c r="J867" t="str">
        <f t="shared" si="150"/>
        <v/>
      </c>
    </row>
    <row r="868" spans="2:10">
      <c r="B868" t="str">
        <f t="shared" si="152"/>
        <v>Zabór</v>
      </c>
      <c r="C868" t="str">
        <f t="shared" si="144"/>
        <v/>
      </c>
      <c r="D868" t="str">
        <f t="shared" si="142"/>
        <v/>
      </c>
      <c r="E868" t="str">
        <f t="shared" si="145"/>
        <v/>
      </c>
      <c r="F868" t="str">
        <f t="shared" si="146"/>
        <v/>
      </c>
      <c r="G868" t="str">
        <f t="shared" si="147"/>
        <v/>
      </c>
      <c r="H868" t="str">
        <f t="shared" si="148"/>
        <v/>
      </c>
      <c r="I868" t="str">
        <f t="shared" si="149"/>
        <v/>
      </c>
      <c r="J868" t="str">
        <f t="shared" si="150"/>
        <v/>
      </c>
    </row>
    <row r="869" spans="2:10">
      <c r="B869" t="str">
        <f t="shared" si="152"/>
        <v>Zabór</v>
      </c>
      <c r="C869" t="str">
        <f t="shared" si="144"/>
        <v/>
      </c>
      <c r="D869" t="str">
        <f t="shared" si="142"/>
        <v/>
      </c>
      <c r="E869" t="str">
        <f t="shared" si="145"/>
        <v/>
      </c>
      <c r="F869" t="str">
        <f t="shared" si="146"/>
        <v/>
      </c>
      <c r="G869" t="str">
        <f t="shared" si="147"/>
        <v/>
      </c>
      <c r="H869" t="str">
        <f t="shared" si="148"/>
        <v/>
      </c>
      <c r="I869" t="str">
        <f t="shared" si="149"/>
        <v/>
      </c>
      <c r="J869" t="str">
        <f t="shared" si="150"/>
        <v/>
      </c>
    </row>
    <row r="870" spans="2:10">
      <c r="B870" t="str">
        <f t="shared" si="152"/>
        <v>Zabór</v>
      </c>
      <c r="C870" t="str">
        <f t="shared" si="144"/>
        <v/>
      </c>
      <c r="D870" t="str">
        <f t="shared" si="142"/>
        <v/>
      </c>
      <c r="E870" t="str">
        <f t="shared" si="145"/>
        <v/>
      </c>
      <c r="F870" t="str">
        <f t="shared" si="146"/>
        <v/>
      </c>
      <c r="G870" t="str">
        <f t="shared" si="147"/>
        <v/>
      </c>
      <c r="H870" t="str">
        <f t="shared" si="148"/>
        <v/>
      </c>
      <c r="I870" t="str">
        <f t="shared" si="149"/>
        <v/>
      </c>
      <c r="J870" t="str">
        <f t="shared" si="150"/>
        <v/>
      </c>
    </row>
    <row r="871" spans="2:10">
      <c r="B871" t="str">
        <f t="shared" si="152"/>
        <v>Zabór</v>
      </c>
      <c r="C871" t="str">
        <f t="shared" si="144"/>
        <v/>
      </c>
      <c r="D871" t="str">
        <f t="shared" ref="D871:D930" si="153">IF(C871&gt;"",A872,"")</f>
        <v/>
      </c>
      <c r="E871" t="str">
        <f t="shared" si="145"/>
        <v/>
      </c>
      <c r="F871" t="str">
        <f t="shared" si="146"/>
        <v/>
      </c>
      <c r="G871" t="str">
        <f t="shared" si="147"/>
        <v/>
      </c>
      <c r="H871" t="str">
        <f t="shared" si="148"/>
        <v/>
      </c>
      <c r="I871" t="str">
        <f t="shared" si="149"/>
        <v/>
      </c>
      <c r="J871" t="str">
        <f t="shared" si="150"/>
        <v/>
      </c>
    </row>
    <row r="872" spans="2:10">
      <c r="B872" t="str">
        <f t="shared" si="152"/>
        <v>Zabór</v>
      </c>
      <c r="C872" t="str">
        <f t="shared" si="144"/>
        <v/>
      </c>
      <c r="D872" t="str">
        <f t="shared" si="153"/>
        <v/>
      </c>
      <c r="E872" t="str">
        <f t="shared" si="145"/>
        <v/>
      </c>
      <c r="F872" t="str">
        <f t="shared" si="146"/>
        <v/>
      </c>
      <c r="G872" t="str">
        <f t="shared" si="147"/>
        <v/>
      </c>
      <c r="H872" t="str">
        <f t="shared" si="148"/>
        <v/>
      </c>
      <c r="I872" t="str">
        <f t="shared" si="149"/>
        <v/>
      </c>
      <c r="J872" t="str">
        <f t="shared" si="150"/>
        <v/>
      </c>
    </row>
    <row r="873" spans="2:10">
      <c r="B873" t="str">
        <f t="shared" si="152"/>
        <v>Zabór</v>
      </c>
      <c r="C873" t="str">
        <f t="shared" si="144"/>
        <v/>
      </c>
      <c r="D873" t="str">
        <f t="shared" si="153"/>
        <v/>
      </c>
      <c r="E873" t="str">
        <f t="shared" si="145"/>
        <v/>
      </c>
      <c r="F873" t="str">
        <f t="shared" si="146"/>
        <v/>
      </c>
      <c r="G873" t="str">
        <f t="shared" si="147"/>
        <v/>
      </c>
      <c r="H873" t="str">
        <f t="shared" si="148"/>
        <v/>
      </c>
      <c r="I873" t="str">
        <f t="shared" si="149"/>
        <v/>
      </c>
      <c r="J873" t="str">
        <f t="shared" si="150"/>
        <v/>
      </c>
    </row>
    <row r="874" spans="2:10">
      <c r="B874" t="str">
        <f t="shared" si="152"/>
        <v>Zabór</v>
      </c>
      <c r="C874" t="str">
        <f t="shared" si="144"/>
        <v/>
      </c>
      <c r="D874" t="str">
        <f t="shared" si="153"/>
        <v/>
      </c>
      <c r="E874" t="str">
        <f t="shared" si="145"/>
        <v/>
      </c>
      <c r="F874" t="str">
        <f t="shared" si="146"/>
        <v/>
      </c>
      <c r="G874" t="str">
        <f t="shared" si="147"/>
        <v/>
      </c>
      <c r="H874" t="str">
        <f t="shared" si="148"/>
        <v/>
      </c>
      <c r="I874" t="str">
        <f t="shared" si="149"/>
        <v/>
      </c>
      <c r="J874" t="str">
        <f t="shared" si="150"/>
        <v/>
      </c>
    </row>
    <row r="875" spans="2:10">
      <c r="B875" t="str">
        <f t="shared" si="152"/>
        <v>Zabór</v>
      </c>
      <c r="C875" t="str">
        <f t="shared" si="144"/>
        <v/>
      </c>
      <c r="D875" t="str">
        <f t="shared" si="153"/>
        <v/>
      </c>
      <c r="E875" t="str">
        <f t="shared" si="145"/>
        <v/>
      </c>
      <c r="F875" t="str">
        <f t="shared" si="146"/>
        <v/>
      </c>
      <c r="G875" t="str">
        <f t="shared" si="147"/>
        <v/>
      </c>
      <c r="H875" t="str">
        <f t="shared" si="148"/>
        <v/>
      </c>
      <c r="I875" t="str">
        <f t="shared" si="149"/>
        <v/>
      </c>
      <c r="J875" t="str">
        <f t="shared" si="150"/>
        <v/>
      </c>
    </row>
    <row r="876" spans="2:10">
      <c r="B876" t="str">
        <f t="shared" si="152"/>
        <v>Zabór</v>
      </c>
      <c r="C876" t="str">
        <f t="shared" si="144"/>
        <v/>
      </c>
      <c r="D876" t="str">
        <f t="shared" si="153"/>
        <v/>
      </c>
      <c r="E876" t="str">
        <f t="shared" si="145"/>
        <v/>
      </c>
      <c r="F876" t="str">
        <f t="shared" si="146"/>
        <v/>
      </c>
      <c r="G876" t="str">
        <f t="shared" si="147"/>
        <v/>
      </c>
      <c r="H876" t="str">
        <f t="shared" si="148"/>
        <v/>
      </c>
      <c r="I876" t="str">
        <f t="shared" si="149"/>
        <v/>
      </c>
      <c r="J876" t="str">
        <f t="shared" si="150"/>
        <v/>
      </c>
    </row>
    <row r="877" spans="2:10">
      <c r="B877" t="str">
        <f t="shared" si="152"/>
        <v>Zabór</v>
      </c>
      <c r="C877" t="str">
        <f t="shared" si="144"/>
        <v/>
      </c>
      <c r="D877" t="str">
        <f t="shared" si="153"/>
        <v/>
      </c>
      <c r="E877" t="str">
        <f t="shared" si="145"/>
        <v/>
      </c>
      <c r="F877" t="str">
        <f t="shared" si="146"/>
        <v/>
      </c>
      <c r="G877" t="str">
        <f t="shared" si="147"/>
        <v/>
      </c>
      <c r="H877" t="str">
        <f t="shared" si="148"/>
        <v/>
      </c>
      <c r="I877" t="str">
        <f t="shared" si="149"/>
        <v/>
      </c>
      <c r="J877" t="str">
        <f t="shared" si="150"/>
        <v/>
      </c>
    </row>
    <row r="878" spans="2:10">
      <c r="B878" t="str">
        <f t="shared" si="152"/>
        <v>Zabór</v>
      </c>
      <c r="C878" t="str">
        <f t="shared" si="144"/>
        <v/>
      </c>
      <c r="D878" t="str">
        <f t="shared" si="153"/>
        <v/>
      </c>
      <c r="E878" t="str">
        <f t="shared" si="145"/>
        <v/>
      </c>
      <c r="F878" t="str">
        <f t="shared" si="146"/>
        <v/>
      </c>
      <c r="G878" t="str">
        <f t="shared" si="147"/>
        <v/>
      </c>
      <c r="H878" t="str">
        <f t="shared" si="148"/>
        <v/>
      </c>
      <c r="I878" t="str">
        <f t="shared" si="149"/>
        <v/>
      </c>
      <c r="J878" t="str">
        <f t="shared" si="150"/>
        <v/>
      </c>
    </row>
    <row r="879" spans="2:10">
      <c r="B879" t="str">
        <f t="shared" si="152"/>
        <v>Zabór</v>
      </c>
      <c r="C879" t="str">
        <f t="shared" si="144"/>
        <v/>
      </c>
      <c r="D879" t="str">
        <f t="shared" si="153"/>
        <v/>
      </c>
      <c r="E879" t="str">
        <f t="shared" si="145"/>
        <v/>
      </c>
      <c r="F879" t="str">
        <f t="shared" si="146"/>
        <v/>
      </c>
      <c r="G879" t="str">
        <f t="shared" si="147"/>
        <v/>
      </c>
      <c r="H879" t="str">
        <f t="shared" si="148"/>
        <v/>
      </c>
      <c r="I879" t="str">
        <f t="shared" si="149"/>
        <v/>
      </c>
      <c r="J879" t="str">
        <f t="shared" si="150"/>
        <v/>
      </c>
    </row>
    <row r="880" spans="2:10">
      <c r="B880" t="str">
        <f t="shared" si="152"/>
        <v>Zabór</v>
      </c>
      <c r="C880" t="str">
        <f t="shared" si="144"/>
        <v/>
      </c>
      <c r="D880" t="str">
        <f t="shared" si="153"/>
        <v/>
      </c>
      <c r="E880" t="str">
        <f t="shared" si="145"/>
        <v/>
      </c>
      <c r="F880" t="str">
        <f t="shared" si="146"/>
        <v/>
      </c>
      <c r="G880" t="str">
        <f t="shared" si="147"/>
        <v/>
      </c>
      <c r="H880" t="str">
        <f t="shared" si="148"/>
        <v/>
      </c>
      <c r="I880" t="str">
        <f t="shared" si="149"/>
        <v/>
      </c>
      <c r="J880" t="str">
        <f t="shared" si="150"/>
        <v/>
      </c>
    </row>
    <row r="881" spans="2:10">
      <c r="B881" t="str">
        <f t="shared" si="152"/>
        <v>Zabór</v>
      </c>
      <c r="C881" t="str">
        <f t="shared" si="144"/>
        <v/>
      </c>
      <c r="D881" t="str">
        <f t="shared" si="153"/>
        <v/>
      </c>
      <c r="E881" t="str">
        <f t="shared" si="145"/>
        <v/>
      </c>
      <c r="F881" t="str">
        <f t="shared" si="146"/>
        <v/>
      </c>
      <c r="G881" t="str">
        <f t="shared" si="147"/>
        <v/>
      </c>
      <c r="H881" t="str">
        <f t="shared" si="148"/>
        <v/>
      </c>
      <c r="I881" t="str">
        <f t="shared" si="149"/>
        <v/>
      </c>
      <c r="J881" t="str">
        <f t="shared" si="150"/>
        <v/>
      </c>
    </row>
    <row r="882" spans="2:10">
      <c r="B882" t="str">
        <f t="shared" si="152"/>
        <v>Zabór</v>
      </c>
      <c r="C882" t="str">
        <f t="shared" si="144"/>
        <v/>
      </c>
      <c r="D882" t="str">
        <f t="shared" si="153"/>
        <v/>
      </c>
      <c r="E882" t="str">
        <f t="shared" si="145"/>
        <v/>
      </c>
      <c r="F882" t="str">
        <f t="shared" si="146"/>
        <v/>
      </c>
      <c r="G882" t="str">
        <f t="shared" si="147"/>
        <v/>
      </c>
      <c r="H882" t="str">
        <f t="shared" si="148"/>
        <v/>
      </c>
      <c r="I882" t="str">
        <f t="shared" si="149"/>
        <v/>
      </c>
      <c r="J882" t="str">
        <f>IF(E882&gt;"",IF(ISERR(FIND("DKK",#REF!)),"",#REF!),"")</f>
        <v/>
      </c>
    </row>
    <row r="883" spans="2:10">
      <c r="B883" t="str">
        <f t="shared" si="152"/>
        <v>Zabór</v>
      </c>
      <c r="C883" t="str">
        <f t="shared" si="144"/>
        <v/>
      </c>
      <c r="D883" t="str">
        <f t="shared" si="153"/>
        <v/>
      </c>
      <c r="E883" t="str">
        <f t="shared" si="145"/>
        <v/>
      </c>
      <c r="F883" t="str">
        <f t="shared" si="146"/>
        <v/>
      </c>
      <c r="G883" t="str">
        <f t="shared" si="147"/>
        <v/>
      </c>
      <c r="H883" t="str">
        <f t="shared" si="148"/>
        <v/>
      </c>
      <c r="I883" t="str">
        <f>IF(E883&gt;"",IF(ISERR(FIND("DKK",#REF!)),"",#REF!),"")</f>
        <v/>
      </c>
      <c r="J883" t="str">
        <f>IF(E883&gt;"",IF(ISERR(FIND("DKK",A889)),"",A889),"")</f>
        <v/>
      </c>
    </row>
    <row r="884" spans="2:10">
      <c r="B884" t="str">
        <f t="shared" si="152"/>
        <v>Zabór</v>
      </c>
      <c r="C884" t="str">
        <f t="shared" si="144"/>
        <v/>
      </c>
      <c r="D884" t="str">
        <f t="shared" si="153"/>
        <v/>
      </c>
      <c r="E884" t="str">
        <f t="shared" si="145"/>
        <v/>
      </c>
      <c r="F884" t="str">
        <f t="shared" si="146"/>
        <v/>
      </c>
      <c r="G884" t="str">
        <f t="shared" si="147"/>
        <v/>
      </c>
      <c r="H884" t="str">
        <f>IF(E884&gt;"",MID(#REF!,FIND("e-mail:",#REF!)+8,100),"")</f>
        <v/>
      </c>
      <c r="I884" t="str">
        <f>IF(E884&gt;"",IF(ISERR(FIND("DKK",A889)),"",A889),"")</f>
        <v/>
      </c>
      <c r="J884" t="str">
        <f>IF(E884&gt;"",IF(ISERR(FIND("DKK",A890)),"",A890),"")</f>
        <v/>
      </c>
    </row>
    <row r="885" spans="2:10">
      <c r="B885" t="str">
        <f t="shared" si="152"/>
        <v>Zabór</v>
      </c>
      <c r="C885" t="str">
        <f t="shared" si="144"/>
        <v/>
      </c>
      <c r="D885" t="str">
        <f t="shared" si="153"/>
        <v/>
      </c>
      <c r="E885" t="str">
        <f t="shared" si="145"/>
        <v/>
      </c>
      <c r="F885" t="str">
        <f t="shared" si="146"/>
        <v/>
      </c>
      <c r="G885" t="str">
        <f>IF(E885&gt;"",MID(#REF!,FIND(":",#REF!)+2,60),"")</f>
        <v/>
      </c>
      <c r="H885" t="str">
        <f>IF(E885&gt;"",MID(A889,FIND("e-mail:",A889)+8,100),"")</f>
        <v/>
      </c>
      <c r="I885" t="str">
        <f>IF(E885&gt;"",IF(ISERR(FIND("DKK",A890)),"",A890),"")</f>
        <v/>
      </c>
      <c r="J885" t="str">
        <f>IF(E885&gt;"",IF(ISERR(FIND("DKK",#REF!)),"",#REF!),"")</f>
        <v/>
      </c>
    </row>
    <row r="886" spans="2:10">
      <c r="B886" t="str">
        <f t="shared" si="152"/>
        <v>Zabór</v>
      </c>
      <c r="C886" t="str">
        <f t="shared" si="144"/>
        <v/>
      </c>
      <c r="D886" t="str">
        <f t="shared" si="153"/>
        <v/>
      </c>
      <c r="E886" t="str">
        <f t="shared" si="145"/>
        <v/>
      </c>
      <c r="F886" t="str">
        <f>IF(E886&gt;"",MID(#REF!,FIND("tel.",#REF!)+4,15),"")</f>
        <v/>
      </c>
      <c r="G886" t="str">
        <f>IF(E886&gt;"",MID(A889,FIND(":",A889)+2,60),"")</f>
        <v/>
      </c>
      <c r="H886" t="str">
        <f>IF(E886&gt;"",MID(A890,FIND("e-mail:",A890)+8,100),"")</f>
        <v/>
      </c>
      <c r="I886" t="str">
        <f>IF(E886&gt;"",IF(ISERR(FIND("DKK",#REF!)),"",#REF!),"")</f>
        <v/>
      </c>
      <c r="J886" t="str">
        <f>IF(E886&gt;"",IF(ISERR(FIND("DKK",A891)),"",A891),"")</f>
        <v/>
      </c>
    </row>
    <row r="887" spans="2:10">
      <c r="B887" t="str">
        <f t="shared" si="152"/>
        <v>Zabór</v>
      </c>
      <c r="C887" t="str">
        <f t="shared" si="144"/>
        <v/>
      </c>
      <c r="D887" t="str">
        <f t="shared" si="153"/>
        <v/>
      </c>
      <c r="E887" t="str">
        <f>IF(C887&gt;"",#REF!,"")</f>
        <v/>
      </c>
      <c r="F887" t="str">
        <f>IF(E887&gt;"",MID(A889,FIND("tel.",A889)+4,15),"")</f>
        <v/>
      </c>
      <c r="G887" t="str">
        <f>IF(E887&gt;"",MID(A890,FIND(":",A890)+2,60),"")</f>
        <v/>
      </c>
      <c r="H887" t="str">
        <f>IF(E887&gt;"",MID(#REF!,FIND("e-mail:",#REF!)+8,100),"")</f>
        <v/>
      </c>
      <c r="I887" t="str">
        <f>IF(E887&gt;"",IF(ISERR(FIND("DKK",A891)),"",A891),"")</f>
        <v/>
      </c>
      <c r="J887" t="str">
        <f>IF(E887&gt;"",IF(ISERR(FIND("DKK",A892)),"",A892),"")</f>
        <v/>
      </c>
    </row>
    <row r="888" spans="2:10">
      <c r="B888" t="str">
        <f t="shared" si="152"/>
        <v>Zabór</v>
      </c>
      <c r="C888" t="str">
        <f t="shared" si="144"/>
        <v/>
      </c>
      <c r="D888" t="str">
        <f>IF(C888&gt;"",#REF!,"")</f>
        <v/>
      </c>
      <c r="E888" t="str">
        <f>IF(C888&gt;"",A889,"")</f>
        <v/>
      </c>
      <c r="F888" t="str">
        <f>IF(E888&gt;"",MID(A890,FIND("tel.",A890)+4,15),"")</f>
        <v/>
      </c>
      <c r="G888" t="str">
        <f>IF(E888&gt;"",MID(#REF!,FIND(":",#REF!)+2,60),"")</f>
        <v/>
      </c>
      <c r="H888" t="str">
        <f>IF(E888&gt;"",MID(A891,FIND("e-mail:",A891)+8,100),"")</f>
        <v/>
      </c>
      <c r="I888" t="str">
        <f>IF(E888&gt;"",IF(ISERR(FIND("DKK",A892)),"",A892),"")</f>
        <v/>
      </c>
      <c r="J888" t="str">
        <f>IF(E888&gt;"",IF(ISERR(FIND("DKK",A893)),"",A893),"")</f>
        <v/>
      </c>
    </row>
    <row r="889" spans="2:10">
      <c r="B889" t="str">
        <f t="shared" si="152"/>
        <v>Zabór</v>
      </c>
      <c r="C889" t="str">
        <f t="shared" si="144"/>
        <v/>
      </c>
      <c r="D889" t="str">
        <f t="shared" si="153"/>
        <v/>
      </c>
      <c r="E889" t="str">
        <f>IF(C889&gt;"",#REF!,"")</f>
        <v/>
      </c>
      <c r="F889" t="str">
        <f>IF(E889&gt;"",MID(A891,FIND("tel.",A891)+4,15),"")</f>
        <v/>
      </c>
      <c r="G889" t="str">
        <f>IF(E889&gt;"",MID(A892,FIND(":",A892)+2,60),"")</f>
        <v/>
      </c>
      <c r="H889" t="str">
        <f>IF(E889&gt;"",MID(A893,FIND("e-mail:",A893)+8,100),"")</f>
        <v/>
      </c>
      <c r="I889" t="str">
        <f>IF(E889&gt;"",IF(ISERR(FIND("DKK",A894)),"",A894),"")</f>
        <v/>
      </c>
      <c r="J889" t="str">
        <f>IF(E889&gt;"",IF(ISERR(FIND("DKK",A895)),"",A895),"")</f>
        <v/>
      </c>
    </row>
    <row r="890" spans="2:10">
      <c r="B890" t="str">
        <f t="shared" si="152"/>
        <v>Zabór</v>
      </c>
      <c r="C890" t="str">
        <f t="shared" si="144"/>
        <v/>
      </c>
      <c r="D890" t="str">
        <f>IF(C890&gt;"",#REF!,"")</f>
        <v/>
      </c>
      <c r="E890" t="str">
        <f>IF(C890&gt;"",A891,"")</f>
        <v/>
      </c>
      <c r="F890" t="str">
        <f>IF(E890&gt;"",MID(A892,FIND("tel.",A892)+4,15),"")</f>
        <v/>
      </c>
      <c r="G890" t="str">
        <f>IF(E890&gt;"",MID(A893,FIND(":",A893)+2,60),"")</f>
        <v/>
      </c>
      <c r="H890" t="str">
        <f>IF(E890&gt;"",MID(A894,FIND("e-mail:",A894)+8,100),"")</f>
        <v/>
      </c>
      <c r="I890" t="str">
        <f>IF(E890&gt;"",IF(ISERR(FIND("DKK",A895)),"",A895),"")</f>
        <v/>
      </c>
      <c r="J890" t="str">
        <f>IF(E890&gt;"",IF(ISERR(FIND("DKK",A896)),"",A896),"")</f>
        <v/>
      </c>
    </row>
    <row r="891" spans="2:10">
      <c r="B891" t="str">
        <f t="shared" si="152"/>
        <v>Zabór</v>
      </c>
      <c r="C891" t="str">
        <f t="shared" si="144"/>
        <v/>
      </c>
      <c r="D891" t="str">
        <f t="shared" si="153"/>
        <v/>
      </c>
      <c r="E891" t="str">
        <f t="shared" si="145"/>
        <v/>
      </c>
      <c r="F891" t="str">
        <f t="shared" si="146"/>
        <v/>
      </c>
      <c r="G891" t="str">
        <f t="shared" si="147"/>
        <v/>
      </c>
      <c r="H891" t="str">
        <f t="shared" si="148"/>
        <v/>
      </c>
      <c r="I891" t="str">
        <f t="shared" si="149"/>
        <v/>
      </c>
      <c r="J891" t="str">
        <f>IF(E891&gt;"",IF(ISERR(FIND("DKK",#REF!)),"",#REF!),"")</f>
        <v/>
      </c>
    </row>
    <row r="892" spans="2:10">
      <c r="B892" t="str">
        <f t="shared" si="152"/>
        <v>Zabór</v>
      </c>
      <c r="C892" t="str">
        <f t="shared" si="144"/>
        <v/>
      </c>
      <c r="D892" t="str">
        <f t="shared" si="153"/>
        <v/>
      </c>
      <c r="E892" t="str">
        <f t="shared" si="145"/>
        <v/>
      </c>
      <c r="F892" t="str">
        <f t="shared" si="146"/>
        <v/>
      </c>
      <c r="G892" t="str">
        <f t="shared" si="147"/>
        <v/>
      </c>
      <c r="H892" t="str">
        <f t="shared" si="148"/>
        <v/>
      </c>
      <c r="I892" t="str">
        <f>IF(E892&gt;"",IF(ISERR(FIND("DKK",#REF!)),"",#REF!),"")</f>
        <v/>
      </c>
      <c r="J892" t="str">
        <f t="shared" ref="J892:J897" si="154">IF(E892&gt;"",IF(ISERR(FIND("DKK",A898)),"",A898),"")</f>
        <v/>
      </c>
    </row>
    <row r="893" spans="2:10">
      <c r="B893" t="str">
        <f t="shared" si="152"/>
        <v>Zabór</v>
      </c>
      <c r="C893" t="str">
        <f t="shared" si="144"/>
        <v/>
      </c>
      <c r="D893" t="str">
        <f t="shared" si="153"/>
        <v/>
      </c>
      <c r="E893" t="str">
        <f t="shared" si="145"/>
        <v/>
      </c>
      <c r="F893" t="str">
        <f t="shared" si="146"/>
        <v/>
      </c>
      <c r="G893" t="str">
        <f t="shared" si="147"/>
        <v/>
      </c>
      <c r="H893" t="str">
        <f>IF(E893&gt;"",MID(#REF!,FIND("e-mail:",#REF!)+8,100),"")</f>
        <v/>
      </c>
      <c r="I893" t="str">
        <f>IF(E893&gt;"",IF(ISERR(FIND("DKK",A898)),"",A898),"")</f>
        <v/>
      </c>
      <c r="J893" t="str">
        <f t="shared" si="154"/>
        <v/>
      </c>
    </row>
    <row r="894" spans="2:10">
      <c r="B894" t="str">
        <f t="shared" si="152"/>
        <v>Zabór</v>
      </c>
      <c r="C894" t="str">
        <f t="shared" si="144"/>
        <v/>
      </c>
      <c r="D894" t="str">
        <f t="shared" si="153"/>
        <v/>
      </c>
      <c r="E894" t="str">
        <f t="shared" si="145"/>
        <v/>
      </c>
      <c r="F894" t="str">
        <f t="shared" si="146"/>
        <v/>
      </c>
      <c r="G894" t="str">
        <f>IF(E894&gt;"",MID(#REF!,FIND(":",#REF!)+2,60),"")</f>
        <v/>
      </c>
      <c r="H894" t="str">
        <f>IF(E894&gt;"",MID(A898,FIND("e-mail:",A898)+8,100),"")</f>
        <v/>
      </c>
      <c r="I894" t="str">
        <f>IF(E894&gt;"",IF(ISERR(FIND("DKK",A899)),"",A899),"")</f>
        <v/>
      </c>
      <c r="J894" t="str">
        <f t="shared" si="154"/>
        <v/>
      </c>
    </row>
    <row r="895" spans="2:10">
      <c r="B895" t="str">
        <f t="shared" si="152"/>
        <v>Zabór</v>
      </c>
      <c r="C895" t="str">
        <f t="shared" si="144"/>
        <v/>
      </c>
      <c r="D895" t="str">
        <f t="shared" si="153"/>
        <v/>
      </c>
      <c r="E895" t="str">
        <f t="shared" si="145"/>
        <v/>
      </c>
      <c r="F895" t="str">
        <f>IF(E895&gt;"",MID(#REF!,FIND("tel.",#REF!)+4,15),"")</f>
        <v/>
      </c>
      <c r="G895" t="str">
        <f>IF(E895&gt;"",MID(A898,FIND(":",A898)+2,60),"")</f>
        <v/>
      </c>
      <c r="H895" t="str">
        <f>IF(E895&gt;"",MID(A899,FIND("e-mail:",A899)+8,100),"")</f>
        <v/>
      </c>
      <c r="I895" t="str">
        <f>IF(E895&gt;"",IF(ISERR(FIND("DKK",A900)),"",A900),"")</f>
        <v/>
      </c>
      <c r="J895" t="str">
        <f t="shared" si="154"/>
        <v/>
      </c>
    </row>
    <row r="896" spans="2:10">
      <c r="B896" t="str">
        <f t="shared" si="152"/>
        <v>Zabór</v>
      </c>
      <c r="C896" t="str">
        <f t="shared" ref="C896:C957" si="155">IF(ISERR(FIND($C$1,A896,1)),"",A896)</f>
        <v/>
      </c>
      <c r="D896" t="str">
        <f t="shared" si="153"/>
        <v/>
      </c>
      <c r="E896" t="str">
        <f>IF(C896&gt;"",#REF!,"")</f>
        <v/>
      </c>
      <c r="F896" t="str">
        <f>IF(E896&gt;"",MID(A898,FIND("tel.",A898)+4,15),"")</f>
        <v/>
      </c>
      <c r="G896" t="str">
        <f>IF(E896&gt;"",MID(A899,FIND(":",A899)+2,60),"")</f>
        <v/>
      </c>
      <c r="H896" t="str">
        <f>IF(E896&gt;"",MID(A900,FIND("e-mail:",A900)+8,100),"")</f>
        <v/>
      </c>
      <c r="I896" t="str">
        <f>IF(E896&gt;"",IF(ISERR(FIND("DKK",A901)),"",A901),"")</f>
        <v/>
      </c>
      <c r="J896" t="str">
        <f t="shared" si="154"/>
        <v/>
      </c>
    </row>
    <row r="897" spans="2:10">
      <c r="B897" t="str">
        <f t="shared" si="152"/>
        <v>Zabór</v>
      </c>
      <c r="C897" t="str">
        <f t="shared" si="155"/>
        <v/>
      </c>
      <c r="D897" t="str">
        <f>IF(C897&gt;"",#REF!,"")</f>
        <v/>
      </c>
      <c r="E897" t="str">
        <f>IF(C897&gt;"",A898,"")</f>
        <v/>
      </c>
      <c r="F897" t="str">
        <f>IF(E897&gt;"",MID(A899,FIND("tel.",A899)+4,15),"")</f>
        <v/>
      </c>
      <c r="G897" t="str">
        <f>IF(E897&gt;"",MID(A900,FIND(":",A900)+2,60),"")</f>
        <v/>
      </c>
      <c r="H897" t="str">
        <f>IF(E897&gt;"",MID(A901,FIND("e-mail:",A901)+8,100),"")</f>
        <v/>
      </c>
      <c r="I897" t="str">
        <f>IF(E897&gt;"",IF(ISERR(FIND("DKK",A902)),"",A902),"")</f>
        <v/>
      </c>
      <c r="J897" t="str">
        <f t="shared" si="154"/>
        <v/>
      </c>
    </row>
    <row r="898" spans="2:10">
      <c r="B898" t="str">
        <f t="shared" si="152"/>
        <v>Zabór</v>
      </c>
      <c r="C898" t="str">
        <f t="shared" si="155"/>
        <v/>
      </c>
      <c r="D898" t="str">
        <f t="shared" si="153"/>
        <v/>
      </c>
      <c r="E898" t="str">
        <f t="shared" ref="E898:E957" si="156">IF(C898&gt;"",A900,"")</f>
        <v/>
      </c>
      <c r="F898" t="str">
        <f t="shared" ref="F898:F957" si="157">IF(E898&gt;"",MID(A901,FIND("tel.",A901)+4,15),"")</f>
        <v/>
      </c>
      <c r="G898" t="str">
        <f t="shared" ref="G898:G957" si="158">IF(E898&gt;"",MID(A902,FIND(":",A902)+2,60),"")</f>
        <v/>
      </c>
      <c r="H898" t="str">
        <f t="shared" ref="H898:H957" si="159">IF(E898&gt;"",MID(A903,FIND("e-mail:",A903)+8,100),"")</f>
        <v/>
      </c>
      <c r="I898" t="str">
        <f t="shared" ref="I898:I957" si="160">IF(E898&gt;"",IF(ISERR(FIND("DKK",A904)),"",A904),"")</f>
        <v/>
      </c>
      <c r="J898" t="str">
        <f>IF(E898&gt;"",IF(ISERR(FIND("DKK",#REF!)),"",#REF!),"")</f>
        <v/>
      </c>
    </row>
    <row r="899" spans="2:10">
      <c r="B899" t="str">
        <f t="shared" si="152"/>
        <v>Zabór</v>
      </c>
      <c r="C899" t="str">
        <f t="shared" si="155"/>
        <v/>
      </c>
      <c r="D899" t="str">
        <f t="shared" si="153"/>
        <v/>
      </c>
      <c r="E899" t="str">
        <f t="shared" si="156"/>
        <v/>
      </c>
      <c r="F899" t="str">
        <f t="shared" si="157"/>
        <v/>
      </c>
      <c r="G899" t="str">
        <f t="shared" si="158"/>
        <v/>
      </c>
      <c r="H899" t="str">
        <f t="shared" si="159"/>
        <v/>
      </c>
      <c r="I899" t="str">
        <f>IF(E899&gt;"",IF(ISERR(FIND("DKK",#REF!)),"",#REF!),"")</f>
        <v/>
      </c>
      <c r="J899" t="str">
        <f t="shared" ref="J899:J904" si="161">IF(E899&gt;"",IF(ISERR(FIND("DKK",A905)),"",A905),"")</f>
        <v/>
      </c>
    </row>
    <row r="900" spans="2:10">
      <c r="B900" t="str">
        <f t="shared" si="152"/>
        <v>Zabór</v>
      </c>
      <c r="C900" t="str">
        <f t="shared" si="155"/>
        <v/>
      </c>
      <c r="D900" t="str">
        <f t="shared" si="153"/>
        <v/>
      </c>
      <c r="E900" t="str">
        <f t="shared" si="156"/>
        <v/>
      </c>
      <c r="F900" t="str">
        <f t="shared" si="157"/>
        <v/>
      </c>
      <c r="G900" t="str">
        <f t="shared" si="158"/>
        <v/>
      </c>
      <c r="H900" t="str">
        <f>IF(E900&gt;"",MID(#REF!,FIND("e-mail:",#REF!)+8,100),"")</f>
        <v/>
      </c>
      <c r="I900" t="str">
        <f>IF(E900&gt;"",IF(ISERR(FIND("DKK",A905)),"",A905),"")</f>
        <v/>
      </c>
      <c r="J900" t="str">
        <f t="shared" si="161"/>
        <v/>
      </c>
    </row>
    <row r="901" spans="2:10">
      <c r="B901" t="str">
        <f t="shared" si="152"/>
        <v>Zabór</v>
      </c>
      <c r="C901" t="str">
        <f t="shared" si="155"/>
        <v/>
      </c>
      <c r="D901" t="str">
        <f t="shared" si="153"/>
        <v/>
      </c>
      <c r="E901" t="str">
        <f t="shared" si="156"/>
        <v/>
      </c>
      <c r="F901" t="str">
        <f t="shared" si="157"/>
        <v/>
      </c>
      <c r="G901" t="str">
        <f>IF(E901&gt;"",MID(#REF!,FIND(":",#REF!)+2,60),"")</f>
        <v/>
      </c>
      <c r="H901" t="str">
        <f>IF(E901&gt;"",MID(A905,FIND("e-mail:",A905)+8,100),"")</f>
        <v/>
      </c>
      <c r="I901" t="str">
        <f>IF(E901&gt;"",IF(ISERR(FIND("DKK",A906)),"",A906),"")</f>
        <v/>
      </c>
      <c r="J901" t="str">
        <f t="shared" si="161"/>
        <v/>
      </c>
    </row>
    <row r="902" spans="2:10">
      <c r="B902" t="str">
        <f t="shared" si="152"/>
        <v>Zabór</v>
      </c>
      <c r="C902" t="str">
        <f t="shared" si="155"/>
        <v/>
      </c>
      <c r="D902" t="str">
        <f t="shared" si="153"/>
        <v/>
      </c>
      <c r="E902" t="str">
        <f t="shared" si="156"/>
        <v/>
      </c>
      <c r="F902" t="str">
        <f>IF(E902&gt;"",MID(#REF!,FIND("tel.",#REF!)+4,15),"")</f>
        <v/>
      </c>
      <c r="G902" t="str">
        <f>IF(E902&gt;"",MID(A905,FIND(":",A905)+2,60),"")</f>
        <v/>
      </c>
      <c r="H902" t="str">
        <f>IF(E902&gt;"",MID(A906,FIND("e-mail:",A906)+8,100),"")</f>
        <v/>
      </c>
      <c r="I902" t="str">
        <f>IF(E902&gt;"",IF(ISERR(FIND("DKK",A907)),"",A907),"")</f>
        <v/>
      </c>
      <c r="J902" t="str">
        <f t="shared" si="161"/>
        <v/>
      </c>
    </row>
    <row r="903" spans="2:10">
      <c r="B903" t="str">
        <f t="shared" si="152"/>
        <v>Zabór</v>
      </c>
      <c r="C903" t="str">
        <f t="shared" si="155"/>
        <v/>
      </c>
      <c r="D903" t="str">
        <f t="shared" si="153"/>
        <v/>
      </c>
      <c r="E903" t="str">
        <f>IF(C903&gt;"",#REF!,"")</f>
        <v/>
      </c>
      <c r="F903" t="str">
        <f>IF(E903&gt;"",MID(A905,FIND("tel.",A905)+4,15),"")</f>
        <v/>
      </c>
      <c r="G903" t="str">
        <f>IF(E903&gt;"",MID(A906,FIND(":",A906)+2,60),"")</f>
        <v/>
      </c>
      <c r="H903" t="str">
        <f>IF(E903&gt;"",MID(A907,FIND("e-mail:",A907)+8,100),"")</f>
        <v/>
      </c>
      <c r="I903" t="str">
        <f>IF(E903&gt;"",IF(ISERR(FIND("DKK",A908)),"",A908),"")</f>
        <v/>
      </c>
      <c r="J903" t="str">
        <f t="shared" si="161"/>
        <v/>
      </c>
    </row>
    <row r="904" spans="2:10">
      <c r="B904" t="str">
        <f t="shared" si="152"/>
        <v>Zabór</v>
      </c>
      <c r="C904" t="str">
        <f t="shared" si="155"/>
        <v/>
      </c>
      <c r="D904" t="str">
        <f>IF(C904&gt;"",#REF!,"")</f>
        <v/>
      </c>
      <c r="E904" t="str">
        <f>IF(C904&gt;"",A905,"")</f>
        <v/>
      </c>
      <c r="F904" t="str">
        <f>IF(E904&gt;"",MID(A906,FIND("tel.",A906)+4,15),"")</f>
        <v/>
      </c>
      <c r="G904" t="str">
        <f>IF(E904&gt;"",MID(A907,FIND(":",A907)+2,60),"")</f>
        <v/>
      </c>
      <c r="H904" t="str">
        <f>IF(E904&gt;"",MID(A908,FIND("e-mail:",A908)+8,100),"")</f>
        <v/>
      </c>
      <c r="I904" t="str">
        <f>IF(E904&gt;"",IF(ISERR(FIND("DKK",A909)),"",A909),"")</f>
        <v/>
      </c>
      <c r="J904" t="str">
        <f t="shared" si="161"/>
        <v/>
      </c>
    </row>
    <row r="905" spans="2:10">
      <c r="B905" t="str">
        <f t="shared" si="152"/>
        <v>Zabór</v>
      </c>
      <c r="C905" t="str">
        <f t="shared" si="155"/>
        <v/>
      </c>
      <c r="D905" t="str">
        <f t="shared" si="153"/>
        <v/>
      </c>
      <c r="E905" t="str">
        <f t="shared" si="156"/>
        <v/>
      </c>
      <c r="F905" t="str">
        <f t="shared" si="157"/>
        <v/>
      </c>
      <c r="G905" t="str">
        <f t="shared" si="158"/>
        <v/>
      </c>
      <c r="H905" t="str">
        <f t="shared" si="159"/>
        <v/>
      </c>
      <c r="I905" t="str">
        <f t="shared" si="160"/>
        <v/>
      </c>
      <c r="J905" t="str">
        <f t="shared" ref="J905:J956" si="162">IF(E905&gt;"",IF(ISERR(FIND("DKK",A912)),"",A912),"")</f>
        <v/>
      </c>
    </row>
    <row r="906" spans="2:10">
      <c r="B906" t="str">
        <f t="shared" si="152"/>
        <v>Zabór</v>
      </c>
      <c r="C906" t="str">
        <f t="shared" si="155"/>
        <v/>
      </c>
      <c r="D906" t="str">
        <f t="shared" si="153"/>
        <v/>
      </c>
      <c r="E906" t="str">
        <f t="shared" si="156"/>
        <v/>
      </c>
      <c r="F906" t="str">
        <f t="shared" si="157"/>
        <v/>
      </c>
      <c r="G906" t="str">
        <f t="shared" si="158"/>
        <v/>
      </c>
      <c r="H906" t="str">
        <f t="shared" si="159"/>
        <v/>
      </c>
      <c r="I906" t="str">
        <f t="shared" si="160"/>
        <v/>
      </c>
      <c r="J906" t="str">
        <f t="shared" si="162"/>
        <v/>
      </c>
    </row>
    <row r="907" spans="2:10">
      <c r="B907" t="str">
        <f t="shared" si="152"/>
        <v>Zabór</v>
      </c>
      <c r="C907" t="str">
        <f t="shared" si="155"/>
        <v/>
      </c>
      <c r="D907" t="str">
        <f t="shared" si="153"/>
        <v/>
      </c>
      <c r="E907" t="str">
        <f t="shared" si="156"/>
        <v/>
      </c>
      <c r="F907" t="str">
        <f t="shared" si="157"/>
        <v/>
      </c>
      <c r="G907" t="str">
        <f t="shared" si="158"/>
        <v/>
      </c>
      <c r="H907" t="str">
        <f t="shared" si="159"/>
        <v/>
      </c>
      <c r="I907" t="str">
        <f t="shared" si="160"/>
        <v/>
      </c>
      <c r="J907" t="str">
        <f t="shared" si="162"/>
        <v/>
      </c>
    </row>
    <row r="908" spans="2:10">
      <c r="B908" t="str">
        <f t="shared" si="152"/>
        <v>Zabór</v>
      </c>
      <c r="C908" t="str">
        <f t="shared" si="155"/>
        <v/>
      </c>
      <c r="D908" t="str">
        <f t="shared" si="153"/>
        <v/>
      </c>
      <c r="E908" t="str">
        <f t="shared" si="156"/>
        <v/>
      </c>
      <c r="F908" t="str">
        <f t="shared" si="157"/>
        <v/>
      </c>
      <c r="G908" t="str">
        <f t="shared" si="158"/>
        <v/>
      </c>
      <c r="H908" t="str">
        <f t="shared" si="159"/>
        <v/>
      </c>
      <c r="I908" t="str">
        <f t="shared" si="160"/>
        <v/>
      </c>
      <c r="J908" t="str">
        <f t="shared" si="162"/>
        <v/>
      </c>
    </row>
    <row r="909" spans="2:10">
      <c r="B909" t="str">
        <f t="shared" si="152"/>
        <v>Zabór</v>
      </c>
      <c r="C909" t="str">
        <f t="shared" si="155"/>
        <v/>
      </c>
      <c r="D909" t="str">
        <f t="shared" si="153"/>
        <v/>
      </c>
      <c r="E909" t="str">
        <f t="shared" si="156"/>
        <v/>
      </c>
      <c r="F909" t="str">
        <f t="shared" si="157"/>
        <v/>
      </c>
      <c r="G909" t="str">
        <f t="shared" si="158"/>
        <v/>
      </c>
      <c r="H909" t="str">
        <f t="shared" si="159"/>
        <v/>
      </c>
      <c r="I909" t="str">
        <f t="shared" si="160"/>
        <v/>
      </c>
      <c r="J909" t="str">
        <f t="shared" si="162"/>
        <v/>
      </c>
    </row>
    <row r="910" spans="2:10">
      <c r="B910" t="str">
        <f t="shared" si="152"/>
        <v>Zabór</v>
      </c>
      <c r="C910" t="str">
        <f t="shared" si="155"/>
        <v/>
      </c>
      <c r="D910" t="str">
        <f t="shared" si="153"/>
        <v/>
      </c>
      <c r="E910" t="str">
        <f t="shared" si="156"/>
        <v/>
      </c>
      <c r="F910" t="str">
        <f t="shared" si="157"/>
        <v/>
      </c>
      <c r="G910" t="str">
        <f t="shared" si="158"/>
        <v/>
      </c>
      <c r="H910" t="str">
        <f t="shared" si="159"/>
        <v/>
      </c>
      <c r="I910" t="str">
        <f t="shared" si="160"/>
        <v/>
      </c>
      <c r="J910" t="str">
        <f t="shared" si="162"/>
        <v/>
      </c>
    </row>
    <row r="911" spans="2:10">
      <c r="B911" t="str">
        <f t="shared" si="152"/>
        <v>Zabór</v>
      </c>
      <c r="C911" t="str">
        <f t="shared" si="155"/>
        <v/>
      </c>
      <c r="D911" t="str">
        <f t="shared" si="153"/>
        <v/>
      </c>
      <c r="E911" t="str">
        <f t="shared" si="156"/>
        <v/>
      </c>
      <c r="F911" t="str">
        <f t="shared" si="157"/>
        <v/>
      </c>
      <c r="G911" t="str">
        <f t="shared" si="158"/>
        <v/>
      </c>
      <c r="H911" t="str">
        <f t="shared" si="159"/>
        <v/>
      </c>
      <c r="I911" t="str">
        <f t="shared" si="160"/>
        <v/>
      </c>
      <c r="J911" t="str">
        <f t="shared" si="162"/>
        <v/>
      </c>
    </row>
    <row r="912" spans="2:10">
      <c r="B912" t="str">
        <f t="shared" si="152"/>
        <v>Zabór</v>
      </c>
      <c r="C912" t="str">
        <f t="shared" si="155"/>
        <v/>
      </c>
      <c r="D912" t="str">
        <f t="shared" si="153"/>
        <v/>
      </c>
      <c r="E912" t="str">
        <f t="shared" si="156"/>
        <v/>
      </c>
      <c r="F912" t="str">
        <f t="shared" si="157"/>
        <v/>
      </c>
      <c r="G912" t="str">
        <f t="shared" si="158"/>
        <v/>
      </c>
      <c r="H912" t="str">
        <f t="shared" si="159"/>
        <v/>
      </c>
      <c r="I912" t="str">
        <f t="shared" si="160"/>
        <v/>
      </c>
      <c r="J912" t="str">
        <f t="shared" si="162"/>
        <v/>
      </c>
    </row>
    <row r="913" spans="2:10">
      <c r="B913" t="str">
        <f t="shared" si="152"/>
        <v>Zabór</v>
      </c>
      <c r="C913" t="str">
        <f t="shared" si="155"/>
        <v/>
      </c>
      <c r="D913" t="str">
        <f t="shared" si="153"/>
        <v/>
      </c>
      <c r="E913" t="str">
        <f t="shared" si="156"/>
        <v/>
      </c>
      <c r="F913" t="str">
        <f t="shared" si="157"/>
        <v/>
      </c>
      <c r="G913" t="str">
        <f t="shared" si="158"/>
        <v/>
      </c>
      <c r="H913" t="str">
        <f t="shared" si="159"/>
        <v/>
      </c>
      <c r="I913" t="str">
        <f t="shared" si="160"/>
        <v/>
      </c>
      <c r="J913" t="str">
        <f t="shared" si="162"/>
        <v/>
      </c>
    </row>
    <row r="914" spans="2:10">
      <c r="B914" t="str">
        <f t="shared" si="152"/>
        <v>Zabór</v>
      </c>
      <c r="C914" t="str">
        <f t="shared" si="155"/>
        <v/>
      </c>
      <c r="D914" t="str">
        <f t="shared" si="153"/>
        <v/>
      </c>
      <c r="E914" t="str">
        <f t="shared" si="156"/>
        <v/>
      </c>
      <c r="F914" t="str">
        <f t="shared" si="157"/>
        <v/>
      </c>
      <c r="G914" t="str">
        <f t="shared" si="158"/>
        <v/>
      </c>
      <c r="H914" t="str">
        <f t="shared" si="159"/>
        <v/>
      </c>
      <c r="I914" t="str">
        <f t="shared" si="160"/>
        <v/>
      </c>
      <c r="J914" t="str">
        <f t="shared" si="162"/>
        <v/>
      </c>
    </row>
    <row r="915" spans="2:10">
      <c r="B915" t="str">
        <f t="shared" si="152"/>
        <v>Zabór</v>
      </c>
      <c r="C915" t="str">
        <f t="shared" si="155"/>
        <v/>
      </c>
      <c r="D915" t="str">
        <f t="shared" si="153"/>
        <v/>
      </c>
      <c r="E915" t="str">
        <f t="shared" si="156"/>
        <v/>
      </c>
      <c r="F915" t="str">
        <f t="shared" si="157"/>
        <v/>
      </c>
      <c r="G915" t="str">
        <f t="shared" si="158"/>
        <v/>
      </c>
      <c r="H915" t="str">
        <f t="shared" si="159"/>
        <v/>
      </c>
      <c r="I915" t="str">
        <f t="shared" si="160"/>
        <v/>
      </c>
      <c r="J915" t="str">
        <f t="shared" si="162"/>
        <v/>
      </c>
    </row>
    <row r="916" spans="2:10">
      <c r="B916" t="str">
        <f t="shared" si="152"/>
        <v>Zabór</v>
      </c>
      <c r="C916" t="str">
        <f t="shared" si="155"/>
        <v/>
      </c>
      <c r="D916" t="str">
        <f t="shared" si="153"/>
        <v/>
      </c>
      <c r="E916" t="str">
        <f t="shared" si="156"/>
        <v/>
      </c>
      <c r="F916" t="str">
        <f t="shared" si="157"/>
        <v/>
      </c>
      <c r="G916" t="str">
        <f t="shared" si="158"/>
        <v/>
      </c>
      <c r="H916" t="str">
        <f t="shared" si="159"/>
        <v/>
      </c>
      <c r="I916" t="str">
        <f t="shared" si="160"/>
        <v/>
      </c>
      <c r="J916" t="str">
        <f t="shared" si="162"/>
        <v/>
      </c>
    </row>
    <row r="917" spans="2:10">
      <c r="B917" t="str">
        <f t="shared" si="152"/>
        <v>Zabór</v>
      </c>
      <c r="C917" t="str">
        <f t="shared" si="155"/>
        <v/>
      </c>
      <c r="D917" t="str">
        <f t="shared" si="153"/>
        <v/>
      </c>
      <c r="E917" t="str">
        <f t="shared" si="156"/>
        <v/>
      </c>
      <c r="F917" t="str">
        <f t="shared" si="157"/>
        <v/>
      </c>
      <c r="G917" t="str">
        <f t="shared" si="158"/>
        <v/>
      </c>
      <c r="H917" t="str">
        <f t="shared" si="159"/>
        <v/>
      </c>
      <c r="I917" t="str">
        <f t="shared" si="160"/>
        <v/>
      </c>
      <c r="J917" t="str">
        <f t="shared" si="162"/>
        <v/>
      </c>
    </row>
    <row r="918" spans="2:10">
      <c r="B918" t="str">
        <f t="shared" si="152"/>
        <v>Zabór</v>
      </c>
      <c r="C918" t="str">
        <f t="shared" si="155"/>
        <v/>
      </c>
      <c r="D918" t="str">
        <f t="shared" si="153"/>
        <v/>
      </c>
      <c r="E918" t="str">
        <f t="shared" si="156"/>
        <v/>
      </c>
      <c r="F918" t="str">
        <f t="shared" si="157"/>
        <v/>
      </c>
      <c r="G918" t="str">
        <f t="shared" si="158"/>
        <v/>
      </c>
      <c r="H918" t="str">
        <f t="shared" si="159"/>
        <v/>
      </c>
      <c r="I918" t="str">
        <f t="shared" si="160"/>
        <v/>
      </c>
      <c r="J918" t="str">
        <f t="shared" si="162"/>
        <v/>
      </c>
    </row>
    <row r="919" spans="2:10">
      <c r="B919" t="str">
        <f t="shared" si="152"/>
        <v>Zabór</v>
      </c>
      <c r="C919" t="str">
        <f t="shared" si="155"/>
        <v/>
      </c>
      <c r="D919" t="str">
        <f t="shared" si="153"/>
        <v/>
      </c>
      <c r="E919" t="str">
        <f t="shared" si="156"/>
        <v/>
      </c>
      <c r="F919" t="str">
        <f t="shared" si="157"/>
        <v/>
      </c>
      <c r="G919" t="str">
        <f t="shared" si="158"/>
        <v/>
      </c>
      <c r="H919" t="str">
        <f t="shared" si="159"/>
        <v/>
      </c>
      <c r="I919" t="str">
        <f t="shared" si="160"/>
        <v/>
      </c>
      <c r="J919" t="str">
        <f t="shared" si="162"/>
        <v/>
      </c>
    </row>
    <row r="920" spans="2:10">
      <c r="B920" t="str">
        <f t="shared" si="152"/>
        <v>Zabór</v>
      </c>
      <c r="C920" t="str">
        <f t="shared" si="155"/>
        <v/>
      </c>
      <c r="D920" t="str">
        <f t="shared" si="153"/>
        <v/>
      </c>
      <c r="E920" t="str">
        <f t="shared" si="156"/>
        <v/>
      </c>
      <c r="F920" t="str">
        <f t="shared" si="157"/>
        <v/>
      </c>
      <c r="G920" t="str">
        <f t="shared" si="158"/>
        <v/>
      </c>
      <c r="H920" t="str">
        <f t="shared" si="159"/>
        <v/>
      </c>
      <c r="I920" t="str">
        <f t="shared" si="160"/>
        <v/>
      </c>
      <c r="J920" t="str">
        <f t="shared" si="162"/>
        <v/>
      </c>
    </row>
    <row r="921" spans="2:10">
      <c r="B921" t="str">
        <f t="shared" si="152"/>
        <v>Zabór</v>
      </c>
      <c r="C921" t="str">
        <f t="shared" si="155"/>
        <v/>
      </c>
      <c r="D921" t="str">
        <f t="shared" si="153"/>
        <v/>
      </c>
      <c r="E921" t="str">
        <f t="shared" si="156"/>
        <v/>
      </c>
      <c r="F921" t="str">
        <f t="shared" si="157"/>
        <v/>
      </c>
      <c r="G921" t="str">
        <f t="shared" si="158"/>
        <v/>
      </c>
      <c r="H921" t="str">
        <f t="shared" si="159"/>
        <v/>
      </c>
      <c r="I921" t="str">
        <f t="shared" si="160"/>
        <v/>
      </c>
      <c r="J921" t="str">
        <f t="shared" si="162"/>
        <v/>
      </c>
    </row>
    <row r="922" spans="2:10">
      <c r="B922" t="str">
        <f t="shared" si="152"/>
        <v>Zabór</v>
      </c>
      <c r="C922" t="str">
        <f t="shared" si="155"/>
        <v/>
      </c>
      <c r="D922" t="str">
        <f t="shared" si="153"/>
        <v/>
      </c>
      <c r="E922" t="str">
        <f t="shared" si="156"/>
        <v/>
      </c>
      <c r="F922" t="str">
        <f t="shared" si="157"/>
        <v/>
      </c>
      <c r="G922" t="str">
        <f t="shared" si="158"/>
        <v/>
      </c>
      <c r="H922" t="str">
        <f t="shared" si="159"/>
        <v/>
      </c>
      <c r="I922" t="str">
        <f t="shared" si="160"/>
        <v/>
      </c>
      <c r="J922" t="str">
        <f t="shared" si="162"/>
        <v/>
      </c>
    </row>
    <row r="923" spans="2:10">
      <c r="B923" t="str">
        <f t="shared" si="152"/>
        <v>Zabór</v>
      </c>
      <c r="C923" t="str">
        <f t="shared" si="155"/>
        <v/>
      </c>
      <c r="D923" t="str">
        <f t="shared" si="153"/>
        <v/>
      </c>
      <c r="E923" t="str">
        <f t="shared" si="156"/>
        <v/>
      </c>
      <c r="F923" t="str">
        <f t="shared" si="157"/>
        <v/>
      </c>
      <c r="G923" t="str">
        <f t="shared" si="158"/>
        <v/>
      </c>
      <c r="H923" t="str">
        <f t="shared" si="159"/>
        <v/>
      </c>
      <c r="I923" t="str">
        <f t="shared" si="160"/>
        <v/>
      </c>
      <c r="J923" t="str">
        <f t="shared" si="162"/>
        <v/>
      </c>
    </row>
    <row r="924" spans="2:10">
      <c r="B924" t="str">
        <f t="shared" si="152"/>
        <v>Zabór</v>
      </c>
      <c r="C924" t="str">
        <f t="shared" si="155"/>
        <v/>
      </c>
      <c r="D924" t="str">
        <f t="shared" si="153"/>
        <v/>
      </c>
      <c r="E924" t="str">
        <f t="shared" si="156"/>
        <v/>
      </c>
      <c r="F924" t="str">
        <f t="shared" si="157"/>
        <v/>
      </c>
      <c r="G924" t="str">
        <f t="shared" si="158"/>
        <v/>
      </c>
      <c r="H924" t="str">
        <f t="shared" si="159"/>
        <v/>
      </c>
      <c r="I924" t="str">
        <f t="shared" si="160"/>
        <v/>
      </c>
      <c r="J924" t="str">
        <f t="shared" si="162"/>
        <v/>
      </c>
    </row>
    <row r="925" spans="2:10">
      <c r="B925" t="str">
        <f t="shared" si="152"/>
        <v>Zabór</v>
      </c>
      <c r="C925" t="str">
        <f t="shared" si="155"/>
        <v/>
      </c>
      <c r="D925" t="str">
        <f t="shared" si="153"/>
        <v/>
      </c>
      <c r="E925" t="str">
        <f t="shared" si="156"/>
        <v/>
      </c>
      <c r="F925" t="str">
        <f t="shared" si="157"/>
        <v/>
      </c>
      <c r="G925" t="str">
        <f t="shared" si="158"/>
        <v/>
      </c>
      <c r="H925" t="str">
        <f t="shared" si="159"/>
        <v/>
      </c>
      <c r="I925" t="str">
        <f t="shared" si="160"/>
        <v/>
      </c>
      <c r="J925" t="str">
        <f t="shared" si="162"/>
        <v/>
      </c>
    </row>
    <row r="926" spans="2:10">
      <c r="B926" t="str">
        <f t="shared" si="152"/>
        <v>Zabór</v>
      </c>
      <c r="C926" t="str">
        <f t="shared" si="155"/>
        <v/>
      </c>
      <c r="D926" t="str">
        <f t="shared" si="153"/>
        <v/>
      </c>
      <c r="E926" t="str">
        <f t="shared" si="156"/>
        <v/>
      </c>
      <c r="F926" t="str">
        <f t="shared" si="157"/>
        <v/>
      </c>
      <c r="G926" t="str">
        <f t="shared" si="158"/>
        <v/>
      </c>
      <c r="H926" t="str">
        <f t="shared" si="159"/>
        <v/>
      </c>
      <c r="I926" t="str">
        <f t="shared" si="160"/>
        <v/>
      </c>
      <c r="J926" t="str">
        <f t="shared" si="162"/>
        <v/>
      </c>
    </row>
    <row r="927" spans="2:10">
      <c r="B927" t="str">
        <f t="shared" si="152"/>
        <v>Zabór</v>
      </c>
      <c r="C927" t="str">
        <f t="shared" si="155"/>
        <v/>
      </c>
      <c r="D927" t="str">
        <f t="shared" si="153"/>
        <v/>
      </c>
      <c r="E927" t="str">
        <f t="shared" si="156"/>
        <v/>
      </c>
      <c r="F927" t="str">
        <f t="shared" si="157"/>
        <v/>
      </c>
      <c r="G927" t="str">
        <f t="shared" si="158"/>
        <v/>
      </c>
      <c r="H927" t="str">
        <f t="shared" si="159"/>
        <v/>
      </c>
      <c r="I927" t="str">
        <f t="shared" si="160"/>
        <v/>
      </c>
      <c r="J927" t="str">
        <f t="shared" si="162"/>
        <v/>
      </c>
    </row>
    <row r="928" spans="2:10">
      <c r="B928" t="str">
        <f t="shared" ref="B928:B991" si="163">+IF(AND(C928&gt;"",ISERR(FIND("DKK",A927))),A927,B927)</f>
        <v>Zabór</v>
      </c>
      <c r="C928" t="str">
        <f t="shared" si="155"/>
        <v/>
      </c>
      <c r="D928" t="str">
        <f t="shared" si="153"/>
        <v/>
      </c>
      <c r="E928" t="str">
        <f t="shared" si="156"/>
        <v/>
      </c>
      <c r="F928" t="str">
        <f t="shared" si="157"/>
        <v/>
      </c>
      <c r="G928" t="str">
        <f t="shared" si="158"/>
        <v/>
      </c>
      <c r="H928" t="str">
        <f t="shared" si="159"/>
        <v/>
      </c>
      <c r="I928" t="str">
        <f t="shared" si="160"/>
        <v/>
      </c>
      <c r="J928" t="str">
        <f t="shared" si="162"/>
        <v/>
      </c>
    </row>
    <row r="929" spans="2:10">
      <c r="B929" t="str">
        <f t="shared" si="163"/>
        <v>Zabór</v>
      </c>
      <c r="C929" t="str">
        <f t="shared" si="155"/>
        <v/>
      </c>
      <c r="D929" t="str">
        <f t="shared" si="153"/>
        <v/>
      </c>
      <c r="E929" t="str">
        <f t="shared" si="156"/>
        <v/>
      </c>
      <c r="F929" t="str">
        <f t="shared" si="157"/>
        <v/>
      </c>
      <c r="G929" t="str">
        <f t="shared" si="158"/>
        <v/>
      </c>
      <c r="H929" t="str">
        <f t="shared" si="159"/>
        <v/>
      </c>
      <c r="I929" t="str">
        <f t="shared" si="160"/>
        <v/>
      </c>
      <c r="J929" t="str">
        <f t="shared" si="162"/>
        <v/>
      </c>
    </row>
    <row r="930" spans="2:10">
      <c r="B930" t="str">
        <f t="shared" si="163"/>
        <v>Zabór</v>
      </c>
      <c r="C930" t="str">
        <f t="shared" si="155"/>
        <v/>
      </c>
      <c r="D930" t="str">
        <f t="shared" si="153"/>
        <v/>
      </c>
      <c r="E930" t="str">
        <f t="shared" si="156"/>
        <v/>
      </c>
      <c r="F930" t="str">
        <f t="shared" si="157"/>
        <v/>
      </c>
      <c r="G930" t="str">
        <f t="shared" si="158"/>
        <v/>
      </c>
      <c r="H930" t="str">
        <f t="shared" si="159"/>
        <v/>
      </c>
      <c r="I930" t="str">
        <f t="shared" si="160"/>
        <v/>
      </c>
      <c r="J930" t="str">
        <f t="shared" si="162"/>
        <v/>
      </c>
    </row>
    <row r="931" spans="2:10">
      <c r="B931" t="str">
        <f t="shared" si="163"/>
        <v>Zabór</v>
      </c>
      <c r="C931" t="str">
        <f t="shared" si="155"/>
        <v/>
      </c>
      <c r="D931" t="str">
        <f t="shared" ref="D931:D967" si="164">IF(C931&gt;"",A932,"")</f>
        <v/>
      </c>
      <c r="E931" t="str">
        <f t="shared" si="156"/>
        <v/>
      </c>
      <c r="F931" t="str">
        <f t="shared" si="157"/>
        <v/>
      </c>
      <c r="G931" t="str">
        <f t="shared" si="158"/>
        <v/>
      </c>
      <c r="H931" t="str">
        <f t="shared" si="159"/>
        <v/>
      </c>
      <c r="I931" t="str">
        <f t="shared" si="160"/>
        <v/>
      </c>
      <c r="J931" t="str">
        <f t="shared" si="162"/>
        <v/>
      </c>
    </row>
    <row r="932" spans="2:10">
      <c r="B932" t="str">
        <f t="shared" si="163"/>
        <v>Zabór</v>
      </c>
      <c r="C932" t="str">
        <f t="shared" si="155"/>
        <v/>
      </c>
      <c r="D932" t="str">
        <f t="shared" si="164"/>
        <v/>
      </c>
      <c r="E932" t="str">
        <f t="shared" si="156"/>
        <v/>
      </c>
      <c r="F932" t="str">
        <f t="shared" si="157"/>
        <v/>
      </c>
      <c r="G932" t="str">
        <f t="shared" si="158"/>
        <v/>
      </c>
      <c r="H932" t="str">
        <f t="shared" si="159"/>
        <v/>
      </c>
      <c r="I932" t="str">
        <f t="shared" si="160"/>
        <v/>
      </c>
      <c r="J932" t="str">
        <f t="shared" si="162"/>
        <v/>
      </c>
    </row>
    <row r="933" spans="2:10">
      <c r="B933" t="str">
        <f t="shared" si="163"/>
        <v>Zabór</v>
      </c>
      <c r="C933" t="str">
        <f t="shared" si="155"/>
        <v/>
      </c>
      <c r="D933" t="str">
        <f t="shared" si="164"/>
        <v/>
      </c>
      <c r="E933" t="str">
        <f t="shared" si="156"/>
        <v/>
      </c>
      <c r="F933" t="str">
        <f t="shared" si="157"/>
        <v/>
      </c>
      <c r="G933" t="str">
        <f t="shared" si="158"/>
        <v/>
      </c>
      <c r="H933" t="str">
        <f t="shared" si="159"/>
        <v/>
      </c>
      <c r="I933" t="str">
        <f t="shared" si="160"/>
        <v/>
      </c>
      <c r="J933" t="str">
        <f t="shared" si="162"/>
        <v/>
      </c>
    </row>
    <row r="934" spans="2:10">
      <c r="B934" t="str">
        <f t="shared" si="163"/>
        <v>Zabór</v>
      </c>
      <c r="C934" t="str">
        <f t="shared" si="155"/>
        <v/>
      </c>
      <c r="D934" t="str">
        <f t="shared" si="164"/>
        <v/>
      </c>
      <c r="E934" t="str">
        <f t="shared" si="156"/>
        <v/>
      </c>
      <c r="F934" t="str">
        <f t="shared" si="157"/>
        <v/>
      </c>
      <c r="G934" t="str">
        <f t="shared" si="158"/>
        <v/>
      </c>
      <c r="H934" t="str">
        <f t="shared" si="159"/>
        <v/>
      </c>
      <c r="I934" t="str">
        <f t="shared" si="160"/>
        <v/>
      </c>
      <c r="J934" t="str">
        <f t="shared" si="162"/>
        <v/>
      </c>
    </row>
    <row r="935" spans="2:10">
      <c r="B935" t="str">
        <f t="shared" si="163"/>
        <v>Zabór</v>
      </c>
      <c r="C935" t="str">
        <f t="shared" si="155"/>
        <v/>
      </c>
      <c r="D935" t="str">
        <f t="shared" si="164"/>
        <v/>
      </c>
      <c r="E935" t="str">
        <f t="shared" si="156"/>
        <v/>
      </c>
      <c r="F935" t="str">
        <f t="shared" si="157"/>
        <v/>
      </c>
      <c r="G935" t="str">
        <f t="shared" si="158"/>
        <v/>
      </c>
      <c r="H935" t="str">
        <f t="shared" si="159"/>
        <v/>
      </c>
      <c r="I935" t="str">
        <f t="shared" si="160"/>
        <v/>
      </c>
      <c r="J935" t="str">
        <f t="shared" si="162"/>
        <v/>
      </c>
    </row>
    <row r="936" spans="2:10">
      <c r="B936" t="str">
        <f t="shared" si="163"/>
        <v>Zabór</v>
      </c>
      <c r="C936" t="str">
        <f t="shared" si="155"/>
        <v/>
      </c>
      <c r="D936" t="str">
        <f t="shared" si="164"/>
        <v/>
      </c>
      <c r="E936" t="str">
        <f t="shared" si="156"/>
        <v/>
      </c>
      <c r="F936" t="str">
        <f t="shared" si="157"/>
        <v/>
      </c>
      <c r="G936" t="str">
        <f t="shared" si="158"/>
        <v/>
      </c>
      <c r="H936" t="str">
        <f t="shared" si="159"/>
        <v/>
      </c>
      <c r="I936" t="str">
        <f t="shared" si="160"/>
        <v/>
      </c>
      <c r="J936" t="str">
        <f t="shared" si="162"/>
        <v/>
      </c>
    </row>
    <row r="937" spans="2:10">
      <c r="B937" t="str">
        <f t="shared" si="163"/>
        <v>Zabór</v>
      </c>
      <c r="C937" t="str">
        <f t="shared" si="155"/>
        <v/>
      </c>
      <c r="D937" t="str">
        <f t="shared" si="164"/>
        <v/>
      </c>
      <c r="E937" t="str">
        <f t="shared" si="156"/>
        <v/>
      </c>
      <c r="F937" t="str">
        <f t="shared" si="157"/>
        <v/>
      </c>
      <c r="G937" t="str">
        <f t="shared" si="158"/>
        <v/>
      </c>
      <c r="H937" t="str">
        <f t="shared" si="159"/>
        <v/>
      </c>
      <c r="I937" t="str">
        <f t="shared" si="160"/>
        <v/>
      </c>
      <c r="J937" t="str">
        <f t="shared" si="162"/>
        <v/>
      </c>
    </row>
    <row r="938" spans="2:10">
      <c r="B938" t="str">
        <f t="shared" si="163"/>
        <v>Zabór</v>
      </c>
      <c r="C938" t="str">
        <f t="shared" si="155"/>
        <v/>
      </c>
      <c r="D938" t="str">
        <f t="shared" si="164"/>
        <v/>
      </c>
      <c r="E938" t="str">
        <f t="shared" si="156"/>
        <v/>
      </c>
      <c r="F938" t="str">
        <f t="shared" si="157"/>
        <v/>
      </c>
      <c r="G938" t="str">
        <f t="shared" si="158"/>
        <v/>
      </c>
      <c r="H938" t="str">
        <f t="shared" si="159"/>
        <v/>
      </c>
      <c r="I938" t="str">
        <f t="shared" si="160"/>
        <v/>
      </c>
      <c r="J938" t="str">
        <f t="shared" si="162"/>
        <v/>
      </c>
    </row>
    <row r="939" spans="2:10">
      <c r="B939" t="str">
        <f t="shared" si="163"/>
        <v>Zabór</v>
      </c>
      <c r="C939" t="str">
        <f t="shared" si="155"/>
        <v/>
      </c>
      <c r="D939" t="str">
        <f t="shared" si="164"/>
        <v/>
      </c>
      <c r="E939" t="str">
        <f t="shared" si="156"/>
        <v/>
      </c>
      <c r="F939" t="str">
        <f t="shared" si="157"/>
        <v/>
      </c>
      <c r="G939" t="str">
        <f t="shared" si="158"/>
        <v/>
      </c>
      <c r="H939" t="str">
        <f t="shared" si="159"/>
        <v/>
      </c>
      <c r="I939" t="str">
        <f t="shared" si="160"/>
        <v/>
      </c>
      <c r="J939" t="str">
        <f t="shared" si="162"/>
        <v/>
      </c>
    </row>
    <row r="940" spans="2:10">
      <c r="B940" t="str">
        <f t="shared" si="163"/>
        <v>Zabór</v>
      </c>
      <c r="C940" t="str">
        <f t="shared" si="155"/>
        <v/>
      </c>
      <c r="D940" t="str">
        <f t="shared" si="164"/>
        <v/>
      </c>
      <c r="E940" t="str">
        <f t="shared" si="156"/>
        <v/>
      </c>
      <c r="F940" t="str">
        <f t="shared" si="157"/>
        <v/>
      </c>
      <c r="G940" t="str">
        <f t="shared" si="158"/>
        <v/>
      </c>
      <c r="H940" t="str">
        <f t="shared" si="159"/>
        <v/>
      </c>
      <c r="I940" t="str">
        <f t="shared" si="160"/>
        <v/>
      </c>
      <c r="J940" t="str">
        <f t="shared" si="162"/>
        <v/>
      </c>
    </row>
    <row r="941" spans="2:10">
      <c r="B941" t="str">
        <f t="shared" si="163"/>
        <v>Zabór</v>
      </c>
      <c r="C941" t="str">
        <f t="shared" si="155"/>
        <v/>
      </c>
      <c r="D941" t="str">
        <f t="shared" si="164"/>
        <v/>
      </c>
      <c r="E941" t="str">
        <f t="shared" si="156"/>
        <v/>
      </c>
      <c r="F941" t="str">
        <f t="shared" si="157"/>
        <v/>
      </c>
      <c r="G941" t="str">
        <f t="shared" si="158"/>
        <v/>
      </c>
      <c r="H941" t="str">
        <f t="shared" si="159"/>
        <v/>
      </c>
      <c r="I941" t="str">
        <f t="shared" si="160"/>
        <v/>
      </c>
      <c r="J941" t="str">
        <f t="shared" si="162"/>
        <v/>
      </c>
    </row>
    <row r="942" spans="2:10">
      <c r="B942" t="str">
        <f t="shared" si="163"/>
        <v>Zabór</v>
      </c>
      <c r="C942" t="str">
        <f t="shared" si="155"/>
        <v/>
      </c>
      <c r="D942" t="str">
        <f t="shared" si="164"/>
        <v/>
      </c>
      <c r="E942" t="str">
        <f t="shared" si="156"/>
        <v/>
      </c>
      <c r="F942" t="str">
        <f t="shared" si="157"/>
        <v/>
      </c>
      <c r="G942" t="str">
        <f t="shared" si="158"/>
        <v/>
      </c>
      <c r="H942" t="str">
        <f t="shared" si="159"/>
        <v/>
      </c>
      <c r="I942" t="str">
        <f t="shared" si="160"/>
        <v/>
      </c>
      <c r="J942" t="str">
        <f t="shared" si="162"/>
        <v/>
      </c>
    </row>
    <row r="943" spans="2:10">
      <c r="B943" t="str">
        <f t="shared" si="163"/>
        <v>Zabór</v>
      </c>
      <c r="C943" t="str">
        <f t="shared" si="155"/>
        <v/>
      </c>
      <c r="D943" t="str">
        <f t="shared" si="164"/>
        <v/>
      </c>
      <c r="E943" t="str">
        <f t="shared" si="156"/>
        <v/>
      </c>
      <c r="F943" t="str">
        <f t="shared" si="157"/>
        <v/>
      </c>
      <c r="G943" t="str">
        <f t="shared" si="158"/>
        <v/>
      </c>
      <c r="H943" t="str">
        <f t="shared" si="159"/>
        <v/>
      </c>
      <c r="I943" t="str">
        <f t="shared" si="160"/>
        <v/>
      </c>
      <c r="J943" t="str">
        <f t="shared" si="162"/>
        <v/>
      </c>
    </row>
    <row r="944" spans="2:10">
      <c r="B944" t="str">
        <f t="shared" si="163"/>
        <v>Zabór</v>
      </c>
      <c r="C944" t="str">
        <f t="shared" si="155"/>
        <v/>
      </c>
      <c r="D944" t="str">
        <f t="shared" si="164"/>
        <v/>
      </c>
      <c r="E944" t="str">
        <f t="shared" si="156"/>
        <v/>
      </c>
      <c r="F944" t="str">
        <f t="shared" si="157"/>
        <v/>
      </c>
      <c r="G944" t="str">
        <f t="shared" si="158"/>
        <v/>
      </c>
      <c r="H944" t="str">
        <f t="shared" si="159"/>
        <v/>
      </c>
      <c r="I944" t="str">
        <f t="shared" si="160"/>
        <v/>
      </c>
      <c r="J944" t="str">
        <f t="shared" si="162"/>
        <v/>
      </c>
    </row>
    <row r="945" spans="2:10">
      <c r="B945" t="str">
        <f t="shared" si="163"/>
        <v>Zabór</v>
      </c>
      <c r="C945" t="str">
        <f t="shared" si="155"/>
        <v/>
      </c>
      <c r="D945" t="str">
        <f t="shared" si="164"/>
        <v/>
      </c>
      <c r="E945" t="str">
        <f t="shared" si="156"/>
        <v/>
      </c>
      <c r="F945" t="str">
        <f t="shared" si="157"/>
        <v/>
      </c>
      <c r="G945" t="str">
        <f t="shared" si="158"/>
        <v/>
      </c>
      <c r="H945" t="str">
        <f t="shared" si="159"/>
        <v/>
      </c>
      <c r="I945" t="str">
        <f t="shared" si="160"/>
        <v/>
      </c>
      <c r="J945" t="str">
        <f t="shared" si="162"/>
        <v/>
      </c>
    </row>
    <row r="946" spans="2:10">
      <c r="B946" t="str">
        <f t="shared" si="163"/>
        <v>Zabór</v>
      </c>
      <c r="C946" t="str">
        <f t="shared" si="155"/>
        <v/>
      </c>
      <c r="D946" t="str">
        <f t="shared" si="164"/>
        <v/>
      </c>
      <c r="E946" t="str">
        <f t="shared" si="156"/>
        <v/>
      </c>
      <c r="F946" t="str">
        <f t="shared" si="157"/>
        <v/>
      </c>
      <c r="G946" t="str">
        <f t="shared" si="158"/>
        <v/>
      </c>
      <c r="H946" t="str">
        <f t="shared" si="159"/>
        <v/>
      </c>
      <c r="I946" t="str">
        <f t="shared" si="160"/>
        <v/>
      </c>
      <c r="J946" t="str">
        <f t="shared" si="162"/>
        <v/>
      </c>
    </row>
    <row r="947" spans="2:10">
      <c r="B947" t="str">
        <f t="shared" si="163"/>
        <v>Zabór</v>
      </c>
      <c r="C947" t="str">
        <f t="shared" si="155"/>
        <v/>
      </c>
      <c r="D947" t="str">
        <f t="shared" si="164"/>
        <v/>
      </c>
      <c r="E947" t="str">
        <f t="shared" si="156"/>
        <v/>
      </c>
      <c r="F947" t="str">
        <f t="shared" si="157"/>
        <v/>
      </c>
      <c r="G947" t="str">
        <f t="shared" si="158"/>
        <v/>
      </c>
      <c r="H947" t="str">
        <f t="shared" si="159"/>
        <v/>
      </c>
      <c r="I947" t="str">
        <f t="shared" si="160"/>
        <v/>
      </c>
      <c r="J947" t="str">
        <f t="shared" si="162"/>
        <v/>
      </c>
    </row>
    <row r="948" spans="2:10">
      <c r="B948" t="str">
        <f t="shared" si="163"/>
        <v>Zabór</v>
      </c>
      <c r="C948" t="str">
        <f t="shared" si="155"/>
        <v/>
      </c>
      <c r="D948" t="str">
        <f t="shared" si="164"/>
        <v/>
      </c>
      <c r="E948" t="str">
        <f t="shared" si="156"/>
        <v/>
      </c>
      <c r="F948" t="str">
        <f t="shared" si="157"/>
        <v/>
      </c>
      <c r="G948" t="str">
        <f t="shared" si="158"/>
        <v/>
      </c>
      <c r="H948" t="str">
        <f t="shared" si="159"/>
        <v/>
      </c>
      <c r="I948" t="str">
        <f t="shared" si="160"/>
        <v/>
      </c>
      <c r="J948" t="str">
        <f t="shared" si="162"/>
        <v/>
      </c>
    </row>
    <row r="949" spans="2:10">
      <c r="B949" t="str">
        <f t="shared" si="163"/>
        <v>Zabór</v>
      </c>
      <c r="C949" t="str">
        <f t="shared" si="155"/>
        <v/>
      </c>
      <c r="D949" t="str">
        <f t="shared" si="164"/>
        <v/>
      </c>
      <c r="E949" t="str">
        <f t="shared" si="156"/>
        <v/>
      </c>
      <c r="F949" t="str">
        <f t="shared" si="157"/>
        <v/>
      </c>
      <c r="G949" t="str">
        <f t="shared" si="158"/>
        <v/>
      </c>
      <c r="H949" t="str">
        <f t="shared" si="159"/>
        <v/>
      </c>
      <c r="I949" t="str">
        <f t="shared" si="160"/>
        <v/>
      </c>
      <c r="J949" t="str">
        <f t="shared" si="162"/>
        <v/>
      </c>
    </row>
    <row r="950" spans="2:10">
      <c r="B950" t="str">
        <f t="shared" si="163"/>
        <v>Zabór</v>
      </c>
      <c r="C950" t="str">
        <f t="shared" si="155"/>
        <v/>
      </c>
      <c r="D950" t="str">
        <f t="shared" si="164"/>
        <v/>
      </c>
      <c r="E950" t="str">
        <f t="shared" si="156"/>
        <v/>
      </c>
      <c r="F950" t="str">
        <f t="shared" si="157"/>
        <v/>
      </c>
      <c r="G950" t="str">
        <f t="shared" si="158"/>
        <v/>
      </c>
      <c r="H950" t="str">
        <f t="shared" si="159"/>
        <v/>
      </c>
      <c r="I950" t="str">
        <f t="shared" si="160"/>
        <v/>
      </c>
      <c r="J950" t="str">
        <f t="shared" si="162"/>
        <v/>
      </c>
    </row>
    <row r="951" spans="2:10">
      <c r="B951" t="str">
        <f t="shared" si="163"/>
        <v>Zabór</v>
      </c>
      <c r="C951" t="str">
        <f t="shared" si="155"/>
        <v/>
      </c>
      <c r="D951" t="str">
        <f t="shared" si="164"/>
        <v/>
      </c>
      <c r="E951" t="str">
        <f t="shared" si="156"/>
        <v/>
      </c>
      <c r="F951" t="str">
        <f t="shared" si="157"/>
        <v/>
      </c>
      <c r="G951" t="str">
        <f t="shared" si="158"/>
        <v/>
      </c>
      <c r="H951" t="str">
        <f t="shared" si="159"/>
        <v/>
      </c>
      <c r="I951" t="str">
        <f t="shared" si="160"/>
        <v/>
      </c>
      <c r="J951" t="str">
        <f t="shared" si="162"/>
        <v/>
      </c>
    </row>
    <row r="952" spans="2:10">
      <c r="B952" t="str">
        <f t="shared" si="163"/>
        <v>Zabór</v>
      </c>
      <c r="C952" t="str">
        <f t="shared" si="155"/>
        <v/>
      </c>
      <c r="D952" t="str">
        <f t="shared" si="164"/>
        <v/>
      </c>
      <c r="E952" t="str">
        <f t="shared" si="156"/>
        <v/>
      </c>
      <c r="F952" t="str">
        <f t="shared" si="157"/>
        <v/>
      </c>
      <c r="G952" t="str">
        <f t="shared" si="158"/>
        <v/>
      </c>
      <c r="H952" t="str">
        <f t="shared" si="159"/>
        <v/>
      </c>
      <c r="I952" t="str">
        <f t="shared" si="160"/>
        <v/>
      </c>
      <c r="J952" t="str">
        <f t="shared" si="162"/>
        <v/>
      </c>
    </row>
    <row r="953" spans="2:10">
      <c r="B953" t="str">
        <f t="shared" si="163"/>
        <v>Zabór</v>
      </c>
      <c r="C953" t="str">
        <f t="shared" si="155"/>
        <v/>
      </c>
      <c r="D953" t="str">
        <f t="shared" si="164"/>
        <v/>
      </c>
      <c r="E953" t="str">
        <f t="shared" si="156"/>
        <v/>
      </c>
      <c r="F953" t="str">
        <f t="shared" si="157"/>
        <v/>
      </c>
      <c r="G953" t="str">
        <f t="shared" si="158"/>
        <v/>
      </c>
      <c r="H953" t="str">
        <f t="shared" si="159"/>
        <v/>
      </c>
      <c r="I953" t="str">
        <f t="shared" si="160"/>
        <v/>
      </c>
      <c r="J953" t="str">
        <f t="shared" si="162"/>
        <v/>
      </c>
    </row>
    <row r="954" spans="2:10">
      <c r="B954" t="str">
        <f t="shared" si="163"/>
        <v>Zabór</v>
      </c>
      <c r="C954" t="str">
        <f t="shared" si="155"/>
        <v/>
      </c>
      <c r="D954" t="str">
        <f t="shared" si="164"/>
        <v/>
      </c>
      <c r="E954" t="str">
        <f t="shared" si="156"/>
        <v/>
      </c>
      <c r="F954" t="str">
        <f t="shared" si="157"/>
        <v/>
      </c>
      <c r="G954" t="str">
        <f t="shared" si="158"/>
        <v/>
      </c>
      <c r="H954" t="str">
        <f t="shared" si="159"/>
        <v/>
      </c>
      <c r="I954" t="str">
        <f t="shared" si="160"/>
        <v/>
      </c>
      <c r="J954" t="str">
        <f t="shared" si="162"/>
        <v/>
      </c>
    </row>
    <row r="955" spans="2:10">
      <c r="B955" t="str">
        <f t="shared" si="163"/>
        <v>Zabór</v>
      </c>
      <c r="C955" t="str">
        <f t="shared" si="155"/>
        <v/>
      </c>
      <c r="D955" t="str">
        <f t="shared" si="164"/>
        <v/>
      </c>
      <c r="E955" t="str">
        <f t="shared" si="156"/>
        <v/>
      </c>
      <c r="F955" t="str">
        <f t="shared" si="157"/>
        <v/>
      </c>
      <c r="G955" t="str">
        <f t="shared" si="158"/>
        <v/>
      </c>
      <c r="H955" t="str">
        <f t="shared" si="159"/>
        <v/>
      </c>
      <c r="I955" t="str">
        <f t="shared" si="160"/>
        <v/>
      </c>
      <c r="J955" t="str">
        <f t="shared" si="162"/>
        <v/>
      </c>
    </row>
    <row r="956" spans="2:10">
      <c r="B956" t="str">
        <f t="shared" si="163"/>
        <v>Zabór</v>
      </c>
      <c r="C956" t="str">
        <f t="shared" si="155"/>
        <v/>
      </c>
      <c r="D956" t="str">
        <f t="shared" si="164"/>
        <v/>
      </c>
      <c r="E956" t="str">
        <f t="shared" si="156"/>
        <v/>
      </c>
      <c r="F956" t="str">
        <f t="shared" si="157"/>
        <v/>
      </c>
      <c r="G956" t="str">
        <f t="shared" si="158"/>
        <v/>
      </c>
      <c r="H956" t="str">
        <f t="shared" si="159"/>
        <v/>
      </c>
      <c r="I956" t="str">
        <f t="shared" si="160"/>
        <v/>
      </c>
      <c r="J956" t="str">
        <f t="shared" si="162"/>
        <v/>
      </c>
    </row>
    <row r="957" spans="2:10">
      <c r="B957" t="str">
        <f t="shared" si="163"/>
        <v>Zabór</v>
      </c>
      <c r="C957" t="str">
        <f t="shared" si="155"/>
        <v/>
      </c>
      <c r="D957" t="str">
        <f t="shared" si="164"/>
        <v/>
      </c>
      <c r="E957" t="str">
        <f t="shared" si="156"/>
        <v/>
      </c>
      <c r="F957" t="str">
        <f t="shared" si="157"/>
        <v/>
      </c>
      <c r="G957" t="str">
        <f t="shared" si="158"/>
        <v/>
      </c>
      <c r="H957" t="str">
        <f t="shared" si="159"/>
        <v/>
      </c>
      <c r="I957" t="str">
        <f t="shared" si="160"/>
        <v/>
      </c>
      <c r="J957" t="str">
        <f>IF(E957&gt;"",IF(ISERR(FIND("DKK",#REF!)),"",#REF!),"")</f>
        <v/>
      </c>
    </row>
    <row r="958" spans="2:10">
      <c r="B958" t="str">
        <f t="shared" si="163"/>
        <v>Zabór</v>
      </c>
      <c r="C958" t="str">
        <f t="shared" ref="C958:C1021" si="165">IF(ISERR(FIND($C$1,A958,1)),"",A958)</f>
        <v/>
      </c>
      <c r="D958" t="str">
        <f t="shared" si="164"/>
        <v/>
      </c>
      <c r="E958" t="str">
        <f t="shared" ref="E958:E967" si="166">IF(C958&gt;"",A960,"")</f>
        <v/>
      </c>
      <c r="F958" t="str">
        <f t="shared" ref="F958:F967" si="167">IF(E958&gt;"",MID(A961,FIND("tel.",A961)+4,15),"")</f>
        <v/>
      </c>
      <c r="G958" t="str">
        <f t="shared" ref="G958:G967" si="168">IF(E958&gt;"",MID(A962,FIND(":",A962)+2,60),"")</f>
        <v/>
      </c>
      <c r="H958" t="str">
        <f t="shared" ref="H958:H967" si="169">IF(E958&gt;"",MID(A963,FIND("e-mail:",A963)+8,100),"")</f>
        <v/>
      </c>
      <c r="I958" t="str">
        <f>IF(E958&gt;"",IF(ISERR(FIND("DKK",#REF!)),"",#REF!),"")</f>
        <v/>
      </c>
      <c r="J958" t="str">
        <f t="shared" ref="J958:J963" si="170">IF(E958&gt;"",IF(ISERR(FIND("DKK",A964)),"",A964),"")</f>
        <v/>
      </c>
    </row>
    <row r="959" spans="2:10">
      <c r="B959" t="str">
        <f t="shared" si="163"/>
        <v>Zabór</v>
      </c>
      <c r="C959" t="str">
        <f t="shared" si="165"/>
        <v/>
      </c>
      <c r="D959" t="str">
        <f t="shared" si="164"/>
        <v/>
      </c>
      <c r="E959" t="str">
        <f t="shared" si="166"/>
        <v/>
      </c>
      <c r="F959" t="str">
        <f t="shared" si="167"/>
        <v/>
      </c>
      <c r="G959" t="str">
        <f t="shared" si="168"/>
        <v/>
      </c>
      <c r="H959" t="str">
        <f>IF(E959&gt;"",MID(#REF!,FIND("e-mail:",#REF!)+8,100),"")</f>
        <v/>
      </c>
      <c r="I959" t="str">
        <f>IF(E959&gt;"",IF(ISERR(FIND("DKK",A964)),"",A964),"")</f>
        <v/>
      </c>
      <c r="J959" t="str">
        <f t="shared" si="170"/>
        <v/>
      </c>
    </row>
    <row r="960" spans="2:10">
      <c r="B960" t="str">
        <f t="shared" si="163"/>
        <v>Zabór</v>
      </c>
      <c r="C960" t="str">
        <f t="shared" si="165"/>
        <v/>
      </c>
      <c r="D960" t="str">
        <f t="shared" si="164"/>
        <v/>
      </c>
      <c r="E960" t="str">
        <f t="shared" si="166"/>
        <v/>
      </c>
      <c r="F960" t="str">
        <f t="shared" si="167"/>
        <v/>
      </c>
      <c r="G960" t="str">
        <f>IF(E960&gt;"",MID(#REF!,FIND(":",#REF!)+2,60),"")</f>
        <v/>
      </c>
      <c r="H960" t="str">
        <f>IF(E960&gt;"",MID(A964,FIND("e-mail:",A964)+8,100),"")</f>
        <v/>
      </c>
      <c r="I960" t="str">
        <f>IF(E960&gt;"",IF(ISERR(FIND("DKK",A965)),"",A965),"")</f>
        <v/>
      </c>
      <c r="J960" t="str">
        <f t="shared" si="170"/>
        <v/>
      </c>
    </row>
    <row r="961" spans="2:10">
      <c r="B961" t="str">
        <f t="shared" si="163"/>
        <v>Zabór</v>
      </c>
      <c r="C961" t="str">
        <f t="shared" si="165"/>
        <v/>
      </c>
      <c r="D961" t="str">
        <f t="shared" si="164"/>
        <v/>
      </c>
      <c r="E961" t="str">
        <f t="shared" si="166"/>
        <v/>
      </c>
      <c r="F961" t="str">
        <f>IF(E961&gt;"",MID(#REF!,FIND("tel.",#REF!)+4,15),"")</f>
        <v/>
      </c>
      <c r="G961" t="str">
        <f>IF(E961&gt;"",MID(A964,FIND(":",A964)+2,60),"")</f>
        <v/>
      </c>
      <c r="H961" t="str">
        <f>IF(E961&gt;"",MID(A965,FIND("e-mail:",A965)+8,100),"")</f>
        <v/>
      </c>
      <c r="I961" t="str">
        <f>IF(E961&gt;"",IF(ISERR(FIND("DKK",A966)),"",A966),"")</f>
        <v/>
      </c>
      <c r="J961" t="str">
        <f t="shared" si="170"/>
        <v/>
      </c>
    </row>
    <row r="962" spans="2:10">
      <c r="B962" t="str">
        <f t="shared" si="163"/>
        <v>Zabór</v>
      </c>
      <c r="C962" t="str">
        <f t="shared" si="165"/>
        <v/>
      </c>
      <c r="D962" t="str">
        <f t="shared" si="164"/>
        <v/>
      </c>
      <c r="E962" t="str">
        <f>IF(C962&gt;"",#REF!,"")</f>
        <v/>
      </c>
      <c r="F962" t="str">
        <f>IF(E962&gt;"",MID(A964,FIND("tel.",A964)+4,15),"")</f>
        <v/>
      </c>
      <c r="G962" t="str">
        <f>IF(E962&gt;"",MID(A965,FIND(":",A965)+2,60),"")</f>
        <v/>
      </c>
      <c r="H962" t="str">
        <f>IF(E962&gt;"",MID(A966,FIND("e-mail:",A966)+8,100),"")</f>
        <v/>
      </c>
      <c r="I962" t="str">
        <f>IF(E962&gt;"",IF(ISERR(FIND("DKK",A967)),"",A967),"")</f>
        <v/>
      </c>
      <c r="J962" t="str">
        <f t="shared" si="170"/>
        <v/>
      </c>
    </row>
    <row r="963" spans="2:10">
      <c r="B963" t="str">
        <f t="shared" si="163"/>
        <v>Zabór</v>
      </c>
      <c r="C963" t="str">
        <f t="shared" si="165"/>
        <v/>
      </c>
      <c r="D963" t="str">
        <f>IF(C963&gt;"",#REF!,"")</f>
        <v/>
      </c>
      <c r="E963" t="str">
        <f>IF(C963&gt;"",A964,"")</f>
        <v/>
      </c>
      <c r="F963" t="str">
        <f>IF(E963&gt;"",MID(A965,FIND("tel.",A965)+4,15),"")</f>
        <v/>
      </c>
      <c r="G963" t="str">
        <f>IF(E963&gt;"",MID(A966,FIND(":",A966)+2,60),"")</f>
        <v/>
      </c>
      <c r="H963" t="str">
        <f>IF(E963&gt;"",MID(A967,FIND("e-mail:",A967)+8,100),"")</f>
        <v/>
      </c>
      <c r="I963" t="str">
        <f>IF(E963&gt;"",IF(ISERR(FIND("DKK",A968)),"",A968),"")</f>
        <v/>
      </c>
      <c r="J963" t="str">
        <f t="shared" si="170"/>
        <v/>
      </c>
    </row>
    <row r="964" spans="2:10">
      <c r="B964" t="str">
        <f t="shared" si="163"/>
        <v>Zabór</v>
      </c>
      <c r="C964" t="str">
        <f t="shared" si="165"/>
        <v/>
      </c>
      <c r="D964" t="str">
        <f t="shared" si="164"/>
        <v/>
      </c>
      <c r="E964" t="str">
        <f t="shared" si="166"/>
        <v/>
      </c>
      <c r="F964" t="str">
        <f t="shared" si="167"/>
        <v/>
      </c>
      <c r="G964" t="str">
        <f t="shared" si="168"/>
        <v/>
      </c>
      <c r="H964" t="str">
        <f t="shared" si="169"/>
        <v/>
      </c>
      <c r="I964" t="str">
        <f t="shared" ref="I964:I967" si="171">IF(E964&gt;"",IF(ISERR(FIND("DKK",A970)),"",A970),"")</f>
        <v/>
      </c>
      <c r="J964" t="str">
        <f t="shared" ref="J964:J967" si="172">IF(E964&gt;"",IF(ISERR(FIND("DKK",A971)),"",A971),"")</f>
        <v/>
      </c>
    </row>
    <row r="965" spans="2:10">
      <c r="B965" t="str">
        <f t="shared" si="163"/>
        <v>Zabór</v>
      </c>
      <c r="C965" t="str">
        <f t="shared" si="165"/>
        <v/>
      </c>
      <c r="D965" t="str">
        <f t="shared" si="164"/>
        <v/>
      </c>
      <c r="E965" t="str">
        <f t="shared" si="166"/>
        <v/>
      </c>
      <c r="F965" t="str">
        <f t="shared" si="167"/>
        <v/>
      </c>
      <c r="G965" t="str">
        <f t="shared" si="168"/>
        <v/>
      </c>
      <c r="H965" t="str">
        <f t="shared" si="169"/>
        <v/>
      </c>
      <c r="I965" t="str">
        <f t="shared" si="171"/>
        <v/>
      </c>
      <c r="J965" t="str">
        <f t="shared" si="172"/>
        <v/>
      </c>
    </row>
    <row r="966" spans="2:10">
      <c r="B966" t="str">
        <f t="shared" si="163"/>
        <v>Zabór</v>
      </c>
      <c r="C966" t="str">
        <f t="shared" si="165"/>
        <v/>
      </c>
      <c r="D966" t="str">
        <f t="shared" si="164"/>
        <v/>
      </c>
      <c r="E966" t="str">
        <f t="shared" si="166"/>
        <v/>
      </c>
      <c r="F966" t="str">
        <f t="shared" si="167"/>
        <v/>
      </c>
      <c r="G966" t="str">
        <f t="shared" si="168"/>
        <v/>
      </c>
      <c r="H966" t="str">
        <f t="shared" si="169"/>
        <v/>
      </c>
      <c r="I966" t="str">
        <f t="shared" si="171"/>
        <v/>
      </c>
      <c r="J966" t="str">
        <f t="shared" si="172"/>
        <v/>
      </c>
    </row>
    <row r="967" spans="2:10">
      <c r="B967" t="str">
        <f t="shared" si="163"/>
        <v>Zabór</v>
      </c>
      <c r="C967" t="str">
        <f t="shared" si="165"/>
        <v/>
      </c>
      <c r="D967" t="str">
        <f t="shared" si="164"/>
        <v/>
      </c>
      <c r="E967" t="str">
        <f t="shared" si="166"/>
        <v/>
      </c>
      <c r="F967" t="str">
        <f t="shared" si="167"/>
        <v/>
      </c>
      <c r="G967" t="str">
        <f t="shared" si="168"/>
        <v/>
      </c>
      <c r="H967" t="str">
        <f t="shared" si="169"/>
        <v/>
      </c>
      <c r="I967" t="str">
        <f t="shared" si="171"/>
        <v/>
      </c>
      <c r="J967" t="str">
        <f t="shared" si="172"/>
        <v/>
      </c>
    </row>
    <row r="968" spans="2:10">
      <c r="B968" t="str">
        <f t="shared" si="163"/>
        <v>Zabór</v>
      </c>
      <c r="C968" t="str">
        <f t="shared" si="165"/>
        <v/>
      </c>
    </row>
    <row r="969" spans="2:10">
      <c r="B969" t="str">
        <f t="shared" si="163"/>
        <v>Zabór</v>
      </c>
      <c r="C969" t="str">
        <f t="shared" si="165"/>
        <v/>
      </c>
    </row>
    <row r="970" spans="2:10">
      <c r="B970" t="str">
        <f t="shared" si="163"/>
        <v>Zabór</v>
      </c>
      <c r="C970" t="str">
        <f t="shared" si="165"/>
        <v/>
      </c>
    </row>
    <row r="971" spans="2:10">
      <c r="B971" t="str">
        <f t="shared" si="163"/>
        <v>Zabór</v>
      </c>
      <c r="C971" t="str">
        <f t="shared" si="165"/>
        <v/>
      </c>
    </row>
    <row r="972" spans="2:10">
      <c r="B972" t="str">
        <f t="shared" si="163"/>
        <v>Zabór</v>
      </c>
      <c r="C972" t="str">
        <f t="shared" si="165"/>
        <v/>
      </c>
    </row>
    <row r="973" spans="2:10">
      <c r="B973" t="str">
        <f t="shared" si="163"/>
        <v>Zabór</v>
      </c>
      <c r="C973" t="str">
        <f t="shared" si="165"/>
        <v/>
      </c>
    </row>
    <row r="974" spans="2:10">
      <c r="B974" t="str">
        <f t="shared" si="163"/>
        <v>Zabór</v>
      </c>
      <c r="C974" t="str">
        <f t="shared" si="165"/>
        <v/>
      </c>
    </row>
    <row r="975" spans="2:10">
      <c r="B975" t="str">
        <f t="shared" si="163"/>
        <v>Zabór</v>
      </c>
      <c r="C975" t="str">
        <f t="shared" si="165"/>
        <v/>
      </c>
    </row>
    <row r="976" spans="2:10">
      <c r="B976" t="str">
        <f t="shared" si="163"/>
        <v>Zabór</v>
      </c>
      <c r="C976" t="str">
        <f t="shared" si="165"/>
        <v/>
      </c>
    </row>
    <row r="977" spans="2:3">
      <c r="B977" t="str">
        <f t="shared" si="163"/>
        <v>Zabór</v>
      </c>
      <c r="C977" t="str">
        <f t="shared" si="165"/>
        <v/>
      </c>
    </row>
    <row r="978" spans="2:3">
      <c r="B978" t="str">
        <f t="shared" si="163"/>
        <v>Zabór</v>
      </c>
      <c r="C978" t="str">
        <f t="shared" si="165"/>
        <v/>
      </c>
    </row>
    <row r="979" spans="2:3">
      <c r="B979" t="str">
        <f t="shared" si="163"/>
        <v>Zabór</v>
      </c>
      <c r="C979" t="str">
        <f t="shared" si="165"/>
        <v/>
      </c>
    </row>
    <row r="980" spans="2:3">
      <c r="B980" t="str">
        <f t="shared" si="163"/>
        <v>Zabór</v>
      </c>
      <c r="C980" t="str">
        <f t="shared" si="165"/>
        <v/>
      </c>
    </row>
    <row r="981" spans="2:3">
      <c r="B981" t="str">
        <f t="shared" si="163"/>
        <v>Zabór</v>
      </c>
      <c r="C981" t="str">
        <f t="shared" si="165"/>
        <v/>
      </c>
    </row>
    <row r="982" spans="2:3">
      <c r="B982" t="str">
        <f t="shared" si="163"/>
        <v>Zabór</v>
      </c>
      <c r="C982" t="str">
        <f t="shared" si="165"/>
        <v/>
      </c>
    </row>
    <row r="983" spans="2:3">
      <c r="B983" t="str">
        <f t="shared" si="163"/>
        <v>Zabór</v>
      </c>
      <c r="C983" t="str">
        <f t="shared" si="165"/>
        <v/>
      </c>
    </row>
    <row r="984" spans="2:3">
      <c r="B984" t="str">
        <f t="shared" si="163"/>
        <v>Zabór</v>
      </c>
      <c r="C984" t="str">
        <f t="shared" si="165"/>
        <v/>
      </c>
    </row>
    <row r="985" spans="2:3">
      <c r="B985" t="str">
        <f t="shared" si="163"/>
        <v>Zabór</v>
      </c>
      <c r="C985" t="str">
        <f t="shared" si="165"/>
        <v/>
      </c>
    </row>
    <row r="986" spans="2:3">
      <c r="B986" t="str">
        <f t="shared" si="163"/>
        <v>Zabór</v>
      </c>
      <c r="C986" t="str">
        <f t="shared" si="165"/>
        <v/>
      </c>
    </row>
    <row r="987" spans="2:3">
      <c r="B987" t="str">
        <f t="shared" si="163"/>
        <v>Zabór</v>
      </c>
      <c r="C987" t="str">
        <f t="shared" si="165"/>
        <v/>
      </c>
    </row>
    <row r="988" spans="2:3">
      <c r="B988" t="str">
        <f t="shared" si="163"/>
        <v>Zabór</v>
      </c>
      <c r="C988" t="str">
        <f t="shared" si="165"/>
        <v/>
      </c>
    </row>
    <row r="989" spans="2:3">
      <c r="B989" t="str">
        <f t="shared" si="163"/>
        <v>Zabór</v>
      </c>
      <c r="C989" t="str">
        <f t="shared" si="165"/>
        <v/>
      </c>
    </row>
    <row r="990" spans="2:3">
      <c r="B990" t="str">
        <f t="shared" si="163"/>
        <v>Zabór</v>
      </c>
      <c r="C990" t="str">
        <f t="shared" si="165"/>
        <v/>
      </c>
    </row>
    <row r="991" spans="2:3">
      <c r="B991" t="str">
        <f t="shared" si="163"/>
        <v>Zabór</v>
      </c>
      <c r="C991" t="str">
        <f t="shared" si="165"/>
        <v/>
      </c>
    </row>
    <row r="992" spans="2:3">
      <c r="B992" t="str">
        <f t="shared" ref="B992:B1025" si="173">+IF(AND(C992&gt;"",ISERR(FIND("DKK",A991))),A991,B991)</f>
        <v>Zabór</v>
      </c>
      <c r="C992" t="str">
        <f t="shared" si="165"/>
        <v/>
      </c>
    </row>
    <row r="993" spans="2:3">
      <c r="B993" t="str">
        <f t="shared" si="173"/>
        <v>Zabór</v>
      </c>
      <c r="C993" t="str">
        <f t="shared" si="165"/>
        <v/>
      </c>
    </row>
    <row r="994" spans="2:3">
      <c r="B994" t="str">
        <f t="shared" si="173"/>
        <v>Zabór</v>
      </c>
      <c r="C994" t="str">
        <f t="shared" si="165"/>
        <v/>
      </c>
    </row>
    <row r="995" spans="2:3">
      <c r="B995" t="str">
        <f t="shared" si="173"/>
        <v>Zabór</v>
      </c>
      <c r="C995" t="str">
        <f t="shared" si="165"/>
        <v/>
      </c>
    </row>
    <row r="996" spans="2:3">
      <c r="B996" t="str">
        <f t="shared" si="173"/>
        <v>Zabór</v>
      </c>
      <c r="C996" t="str">
        <f t="shared" si="165"/>
        <v/>
      </c>
    </row>
    <row r="997" spans="2:3">
      <c r="B997" t="str">
        <f t="shared" si="173"/>
        <v>Zabór</v>
      </c>
      <c r="C997" t="str">
        <f t="shared" si="165"/>
        <v/>
      </c>
    </row>
    <row r="998" spans="2:3">
      <c r="B998" t="str">
        <f t="shared" si="173"/>
        <v>Zabór</v>
      </c>
      <c r="C998" t="str">
        <f t="shared" si="165"/>
        <v/>
      </c>
    </row>
    <row r="999" spans="2:3">
      <c r="B999" t="str">
        <f t="shared" si="173"/>
        <v>Zabór</v>
      </c>
      <c r="C999" t="str">
        <f t="shared" si="165"/>
        <v/>
      </c>
    </row>
    <row r="1000" spans="2:3">
      <c r="B1000" t="str">
        <f t="shared" si="173"/>
        <v>Zabór</v>
      </c>
      <c r="C1000" t="str">
        <f t="shared" si="165"/>
        <v/>
      </c>
    </row>
    <row r="1001" spans="2:3">
      <c r="B1001" t="str">
        <f t="shared" si="173"/>
        <v>Zabór</v>
      </c>
      <c r="C1001" t="str">
        <f t="shared" si="165"/>
        <v/>
      </c>
    </row>
    <row r="1002" spans="2:3">
      <c r="B1002" t="str">
        <f t="shared" si="173"/>
        <v>Zabór</v>
      </c>
      <c r="C1002" t="str">
        <f t="shared" si="165"/>
        <v/>
      </c>
    </row>
    <row r="1003" spans="2:3">
      <c r="B1003" t="str">
        <f t="shared" si="173"/>
        <v>Zabór</v>
      </c>
      <c r="C1003" t="str">
        <f t="shared" si="165"/>
        <v/>
      </c>
    </row>
    <row r="1004" spans="2:3">
      <c r="B1004" t="str">
        <f t="shared" si="173"/>
        <v>Zabór</v>
      </c>
      <c r="C1004" t="str">
        <f t="shared" si="165"/>
        <v/>
      </c>
    </row>
    <row r="1005" spans="2:3">
      <c r="B1005" t="str">
        <f t="shared" si="173"/>
        <v>Zabór</v>
      </c>
      <c r="C1005" t="str">
        <f t="shared" si="165"/>
        <v/>
      </c>
    </row>
    <row r="1006" spans="2:3">
      <c r="B1006" t="str">
        <f t="shared" si="173"/>
        <v>Zabór</v>
      </c>
      <c r="C1006" t="str">
        <f t="shared" si="165"/>
        <v/>
      </c>
    </row>
    <row r="1007" spans="2:3">
      <c r="B1007" t="str">
        <f t="shared" si="173"/>
        <v>Zabór</v>
      </c>
      <c r="C1007" t="str">
        <f t="shared" si="165"/>
        <v/>
      </c>
    </row>
    <row r="1008" spans="2:3">
      <c r="B1008" t="str">
        <f t="shared" si="173"/>
        <v>Zabór</v>
      </c>
      <c r="C1008" t="str">
        <f t="shared" si="165"/>
        <v/>
      </c>
    </row>
    <row r="1009" spans="2:3">
      <c r="B1009" t="str">
        <f t="shared" si="173"/>
        <v>Zabór</v>
      </c>
      <c r="C1009" t="str">
        <f t="shared" si="165"/>
        <v/>
      </c>
    </row>
    <row r="1010" spans="2:3">
      <c r="B1010" t="str">
        <f t="shared" si="173"/>
        <v>Zabór</v>
      </c>
      <c r="C1010" t="str">
        <f t="shared" si="165"/>
        <v/>
      </c>
    </row>
    <row r="1011" spans="2:3">
      <c r="B1011" t="str">
        <f t="shared" si="173"/>
        <v>Zabór</v>
      </c>
      <c r="C1011" t="str">
        <f t="shared" si="165"/>
        <v/>
      </c>
    </row>
    <row r="1012" spans="2:3">
      <c r="B1012" t="str">
        <f t="shared" si="173"/>
        <v>Zabór</v>
      </c>
      <c r="C1012" t="str">
        <f t="shared" si="165"/>
        <v/>
      </c>
    </row>
    <row r="1013" spans="2:3">
      <c r="B1013" t="str">
        <f t="shared" si="173"/>
        <v>Zabór</v>
      </c>
      <c r="C1013" t="str">
        <f t="shared" si="165"/>
        <v/>
      </c>
    </row>
    <row r="1014" spans="2:3">
      <c r="B1014" t="str">
        <f t="shared" si="173"/>
        <v>Zabór</v>
      </c>
      <c r="C1014" t="str">
        <f t="shared" si="165"/>
        <v/>
      </c>
    </row>
    <row r="1015" spans="2:3">
      <c r="B1015" t="str">
        <f t="shared" si="173"/>
        <v>Zabór</v>
      </c>
      <c r="C1015" t="str">
        <f t="shared" si="165"/>
        <v/>
      </c>
    </row>
    <row r="1016" spans="2:3">
      <c r="B1016" t="str">
        <f t="shared" si="173"/>
        <v>Zabór</v>
      </c>
      <c r="C1016" t="str">
        <f t="shared" si="165"/>
        <v/>
      </c>
    </row>
    <row r="1017" spans="2:3">
      <c r="B1017" t="str">
        <f t="shared" si="173"/>
        <v>Zabór</v>
      </c>
      <c r="C1017" t="str">
        <f t="shared" si="165"/>
        <v/>
      </c>
    </row>
    <row r="1018" spans="2:3">
      <c r="B1018" t="str">
        <f t="shared" si="173"/>
        <v>Zabór</v>
      </c>
      <c r="C1018" t="str">
        <f t="shared" si="165"/>
        <v/>
      </c>
    </row>
    <row r="1019" spans="2:3">
      <c r="B1019" t="str">
        <f t="shared" si="173"/>
        <v>Zabór</v>
      </c>
      <c r="C1019" t="str">
        <f t="shared" si="165"/>
        <v/>
      </c>
    </row>
    <row r="1020" spans="2:3">
      <c r="B1020" t="str">
        <f t="shared" si="173"/>
        <v>Zabór</v>
      </c>
      <c r="C1020" t="str">
        <f t="shared" si="165"/>
        <v/>
      </c>
    </row>
    <row r="1021" spans="2:3">
      <c r="B1021" t="str">
        <f t="shared" si="173"/>
        <v>Zabór</v>
      </c>
      <c r="C1021" t="str">
        <f t="shared" si="165"/>
        <v/>
      </c>
    </row>
    <row r="1022" spans="2:3">
      <c r="B1022" t="str">
        <f t="shared" si="173"/>
        <v>Zabór</v>
      </c>
      <c r="C1022" t="str">
        <f t="shared" ref="C1022:C1025" si="174">IF(ISERR(FIND($C$1,A1022,1)),"",A1022)</f>
        <v/>
      </c>
    </row>
    <row r="1023" spans="2:3">
      <c r="B1023" t="str">
        <f t="shared" si="173"/>
        <v>Zabór</v>
      </c>
      <c r="C1023" t="str">
        <f t="shared" si="174"/>
        <v/>
      </c>
    </row>
    <row r="1024" spans="2:3">
      <c r="B1024" t="str">
        <f t="shared" si="173"/>
        <v>Zabór</v>
      </c>
      <c r="C1024" t="str">
        <f t="shared" si="174"/>
        <v/>
      </c>
    </row>
    <row r="1025" spans="2:3">
      <c r="B1025" t="str">
        <f t="shared" si="173"/>
        <v>Zabór</v>
      </c>
      <c r="C1025" t="str">
        <f t="shared" si="174"/>
        <v/>
      </c>
    </row>
  </sheetData>
  <autoFilter ref="C1:J613" xr:uid="{341553AC-E65D-45F4-83C5-AD0A94867C3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0242-480B-493A-9945-E1C6917619FD}">
  <sheetPr codeName="Arkusz5" filterMode="1"/>
  <dimension ref="A1:I720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G50" sqref="G50"/>
    </sheetView>
  </sheetViews>
  <sheetFormatPr defaultRowHeight="15"/>
  <cols>
    <col min="1" max="1" width="64" bestFit="1" customWidth="1"/>
    <col min="2" max="2" width="19.85546875" bestFit="1" customWidth="1"/>
    <col min="3" max="3" width="64" bestFit="1" customWidth="1"/>
    <col min="4" max="4" width="34.5703125" bestFit="1" customWidth="1"/>
    <col min="5" max="5" width="50.5703125" customWidth="1"/>
    <col min="6" max="6" width="11.7109375" bestFit="1" customWidth="1"/>
    <col min="7" max="7" width="67.5703125" customWidth="1"/>
  </cols>
  <sheetData>
    <row r="1" spans="1:9">
      <c r="A1" t="s">
        <v>614</v>
      </c>
      <c r="B1" t="s">
        <v>355</v>
      </c>
      <c r="C1" t="s">
        <v>347</v>
      </c>
      <c r="D1" t="s">
        <v>348</v>
      </c>
      <c r="E1" t="s">
        <v>352</v>
      </c>
      <c r="F1" t="s">
        <v>350</v>
      </c>
      <c r="G1" t="s">
        <v>351</v>
      </c>
      <c r="H1" t="s">
        <v>353</v>
      </c>
      <c r="I1" t="s">
        <v>354</v>
      </c>
    </row>
    <row r="2" spans="1:9">
      <c r="A2" t="s">
        <v>615</v>
      </c>
      <c r="B2" t="str">
        <f t="shared" ref="B2:B65" si="0">+IF(AND(C2&gt;"",ISERR(FIND("DKK",A1))),A1,B1)</f>
        <v>Dolnośląskie</v>
      </c>
      <c r="C2" t="str">
        <f>IF(ISERR(FIND($C$1,A2,1)),"",A2)</f>
        <v>Dolnośląska Biblioteka Publiczna im. Tadeusza Mikulskiego we Wrocławiu</v>
      </c>
      <c r="D2" t="str">
        <f t="shared" ref="D2:D65" si="1">IF(C2&gt;"",A3,"")</f>
        <v>Rynek 58, 50-116 Wrocław</v>
      </c>
      <c r="E2" t="str">
        <f t="shared" ref="E2:E65" si="2">IF(C2&gt;"",A4,"")</f>
        <v>koordynatorzy: Wioleta Solnica, Renata Słonik, Izabela Drapała</v>
      </c>
      <c r="F2" t="str">
        <f>IF(C2&gt;"",MID(A6,FIND("tel.",A6)+5,15),"")</f>
        <v xml:space="preserve"> 71 335 22 06, </v>
      </c>
      <c r="G2" t="str">
        <f>IF(E2&gt;"",MID(A5,FIND("mail:",A5)+6,100),"")</f>
        <v>wsolnica@wbp.wroc.pl, rslonik@wbp.wroc.pl, idrapala@wbp.wroc.pl</v>
      </c>
      <c r="H2" t="str">
        <f t="shared" ref="H2:H65" si="3">IF(E2&gt;"",IF(ISERR(FIND("DKK",A8)),"",A8),"")</f>
        <v/>
      </c>
      <c r="I2" t="str">
        <f t="shared" ref="I2:I65" si="4">IF(E2&gt;"",IF(ISERR(FIND("DKK",A9)),"",A9),"")</f>
        <v/>
      </c>
    </row>
    <row r="3" spans="1:9" hidden="1">
      <c r="A3" t="s">
        <v>616</v>
      </c>
      <c r="B3" t="str">
        <f t="shared" si="0"/>
        <v>Dolnośląskie</v>
      </c>
      <c r="C3" t="str">
        <f t="shared" ref="C3:C65" si="5">IF(ISERR(FIND($C$1,A3,1)),"",A3)</f>
        <v/>
      </c>
      <c r="D3" t="str">
        <f t="shared" si="1"/>
        <v/>
      </c>
      <c r="E3" t="str">
        <f t="shared" si="2"/>
        <v/>
      </c>
      <c r="F3" t="str">
        <f t="shared" ref="F3:F66" si="6">IF(C3&gt;"",MID(A7,FIND("tel.",A7)+5,15),"")</f>
        <v/>
      </c>
      <c r="G3" t="str">
        <f t="shared" ref="G3:G66" si="7">IF(E3&gt;"",MID(A6,FIND("mail:",A6)+6,100),"")</f>
        <v/>
      </c>
      <c r="H3" t="str">
        <f t="shared" si="3"/>
        <v/>
      </c>
      <c r="I3" t="str">
        <f t="shared" si="4"/>
        <v/>
      </c>
    </row>
    <row r="4" spans="1:9" hidden="1">
      <c r="A4" t="s">
        <v>617</v>
      </c>
      <c r="B4" t="str">
        <f t="shared" si="0"/>
        <v>Dolnośląskie</v>
      </c>
      <c r="C4" t="str">
        <f t="shared" si="5"/>
        <v/>
      </c>
      <c r="D4" t="str">
        <f t="shared" si="1"/>
        <v/>
      </c>
      <c r="E4" t="str">
        <f t="shared" si="2"/>
        <v/>
      </c>
      <c r="F4" t="str">
        <f t="shared" si="6"/>
        <v/>
      </c>
      <c r="G4" t="str">
        <f t="shared" si="7"/>
        <v/>
      </c>
      <c r="H4" t="str">
        <f t="shared" si="3"/>
        <v/>
      </c>
      <c r="I4" t="str">
        <f t="shared" si="4"/>
        <v/>
      </c>
    </row>
    <row r="5" spans="1:9" hidden="1">
      <c r="A5" t="s">
        <v>618</v>
      </c>
      <c r="B5" t="str">
        <f t="shared" si="0"/>
        <v>Dolnośląskie</v>
      </c>
      <c r="C5" t="str">
        <f t="shared" si="5"/>
        <v/>
      </c>
      <c r="D5" t="str">
        <f t="shared" si="1"/>
        <v/>
      </c>
      <c r="E5" t="str">
        <f t="shared" si="2"/>
        <v/>
      </c>
      <c r="F5" t="str">
        <f t="shared" si="6"/>
        <v/>
      </c>
      <c r="G5" t="str">
        <f t="shared" si="7"/>
        <v/>
      </c>
      <c r="H5" t="str">
        <f t="shared" si="3"/>
        <v/>
      </c>
      <c r="I5" t="str">
        <f t="shared" si="4"/>
        <v/>
      </c>
    </row>
    <row r="6" spans="1:9" hidden="1">
      <c r="A6" t="s">
        <v>619</v>
      </c>
      <c r="B6" t="str">
        <f t="shared" si="0"/>
        <v>Dolnośląskie</v>
      </c>
      <c r="C6" t="str">
        <f t="shared" si="5"/>
        <v/>
      </c>
      <c r="D6" t="str">
        <f t="shared" si="1"/>
        <v/>
      </c>
      <c r="E6" t="str">
        <f t="shared" si="2"/>
        <v/>
      </c>
      <c r="F6" t="str">
        <f t="shared" si="6"/>
        <v/>
      </c>
      <c r="G6" t="str">
        <f t="shared" si="7"/>
        <v/>
      </c>
      <c r="H6" t="str">
        <f t="shared" si="3"/>
        <v/>
      </c>
      <c r="I6" t="str">
        <f t="shared" si="4"/>
        <v/>
      </c>
    </row>
    <row r="7" spans="1:9" hidden="1">
      <c r="A7" t="s">
        <v>620</v>
      </c>
      <c r="B7" t="str">
        <f t="shared" si="0"/>
        <v>Dolnośląskie</v>
      </c>
      <c r="C7" t="str">
        <f t="shared" si="5"/>
        <v/>
      </c>
      <c r="D7" t="str">
        <f t="shared" si="1"/>
        <v/>
      </c>
      <c r="E7" t="str">
        <f t="shared" si="2"/>
        <v/>
      </c>
      <c r="F7" t="str">
        <f t="shared" si="6"/>
        <v/>
      </c>
      <c r="G7" t="str">
        <f t="shared" si="7"/>
        <v/>
      </c>
      <c r="H7" t="str">
        <f t="shared" si="3"/>
        <v/>
      </c>
      <c r="I7" t="str">
        <f t="shared" si="4"/>
        <v/>
      </c>
    </row>
    <row r="8" spans="1:9" hidden="1">
      <c r="A8" t="s">
        <v>621</v>
      </c>
      <c r="B8" t="str">
        <f t="shared" si="0"/>
        <v>Dolnośląskie</v>
      </c>
      <c r="C8" t="str">
        <f t="shared" si="5"/>
        <v/>
      </c>
      <c r="D8" t="str">
        <f t="shared" si="1"/>
        <v/>
      </c>
      <c r="E8" t="str">
        <f t="shared" si="2"/>
        <v/>
      </c>
      <c r="F8" t="str">
        <f t="shared" si="6"/>
        <v/>
      </c>
      <c r="G8" t="str">
        <f t="shared" si="7"/>
        <v/>
      </c>
      <c r="H8" t="str">
        <f t="shared" si="3"/>
        <v/>
      </c>
      <c r="I8" t="str">
        <f t="shared" si="4"/>
        <v/>
      </c>
    </row>
    <row r="9" spans="1:9">
      <c r="A9" t="s">
        <v>622</v>
      </c>
      <c r="B9" t="str">
        <f t="shared" si="0"/>
        <v>Kujawsko-pomorskie</v>
      </c>
      <c r="C9" t="str">
        <f t="shared" si="5"/>
        <v>Wojewódzka i Miejska Biblioteka Publiczna im. dr. Witolda Bełzy w Bydgoszczy</v>
      </c>
      <c r="D9" t="str">
        <f t="shared" si="1"/>
        <v>ul. Długa 39, 85-034 Bydgoszcz</v>
      </c>
      <c r="E9" t="str">
        <f t="shared" si="2"/>
        <v>koordynator: Lucyna Partyka</v>
      </c>
      <c r="F9" t="str">
        <f t="shared" si="6"/>
        <v xml:space="preserve"> 52 339 92 28</v>
      </c>
      <c r="G9" t="str">
        <f t="shared" si="7"/>
        <v>lucyna.partyka@wimbp.bydgoszcz.pl</v>
      </c>
      <c r="H9" t="str">
        <f t="shared" si="3"/>
        <v/>
      </c>
      <c r="I9" t="str">
        <f t="shared" si="4"/>
        <v/>
      </c>
    </row>
    <row r="10" spans="1:9" hidden="1">
      <c r="A10" t="s">
        <v>623</v>
      </c>
      <c r="B10" t="str">
        <f t="shared" si="0"/>
        <v>Kujawsko-pomorskie</v>
      </c>
      <c r="C10" t="str">
        <f t="shared" si="5"/>
        <v/>
      </c>
      <c r="D10" t="str">
        <f t="shared" si="1"/>
        <v/>
      </c>
      <c r="E10" t="str">
        <f t="shared" si="2"/>
        <v/>
      </c>
      <c r="F10" t="str">
        <f t="shared" si="6"/>
        <v/>
      </c>
      <c r="G10" t="str">
        <f t="shared" si="7"/>
        <v/>
      </c>
      <c r="H10" t="str">
        <f t="shared" si="3"/>
        <v/>
      </c>
      <c r="I10" t="str">
        <f t="shared" si="4"/>
        <v/>
      </c>
    </row>
    <row r="11" spans="1:9" hidden="1">
      <c r="A11" t="s">
        <v>624</v>
      </c>
      <c r="B11" t="str">
        <f t="shared" si="0"/>
        <v>Kujawsko-pomorskie</v>
      </c>
      <c r="C11" t="str">
        <f t="shared" si="5"/>
        <v/>
      </c>
      <c r="D11" t="str">
        <f t="shared" si="1"/>
        <v/>
      </c>
      <c r="E11" t="str">
        <f t="shared" si="2"/>
        <v/>
      </c>
      <c r="F11" t="str">
        <f t="shared" si="6"/>
        <v/>
      </c>
      <c r="G11" t="str">
        <f t="shared" si="7"/>
        <v/>
      </c>
      <c r="H11" t="str">
        <f t="shared" si="3"/>
        <v/>
      </c>
      <c r="I11" t="str">
        <f t="shared" si="4"/>
        <v/>
      </c>
    </row>
    <row r="12" spans="1:9" hidden="1">
      <c r="A12" t="s">
        <v>625</v>
      </c>
      <c r="B12" t="str">
        <f t="shared" si="0"/>
        <v>Kujawsko-pomorskie</v>
      </c>
      <c r="C12" t="str">
        <f t="shared" si="5"/>
        <v/>
      </c>
      <c r="D12" t="str">
        <f t="shared" si="1"/>
        <v/>
      </c>
      <c r="E12" t="str">
        <f t="shared" si="2"/>
        <v/>
      </c>
      <c r="F12" t="str">
        <f t="shared" si="6"/>
        <v/>
      </c>
      <c r="G12" t="str">
        <f t="shared" si="7"/>
        <v/>
      </c>
      <c r="H12" t="str">
        <f t="shared" si="3"/>
        <v/>
      </c>
      <c r="I12" t="str">
        <f t="shared" si="4"/>
        <v/>
      </c>
    </row>
    <row r="13" spans="1:9" hidden="1">
      <c r="A13" t="s">
        <v>626</v>
      </c>
      <c r="B13" t="str">
        <f t="shared" si="0"/>
        <v>Kujawsko-pomorskie</v>
      </c>
      <c r="C13" t="str">
        <f t="shared" si="5"/>
        <v/>
      </c>
      <c r="D13" t="str">
        <f t="shared" si="1"/>
        <v/>
      </c>
      <c r="E13" t="str">
        <f t="shared" si="2"/>
        <v/>
      </c>
      <c r="F13" t="str">
        <f t="shared" si="6"/>
        <v/>
      </c>
      <c r="G13" t="str">
        <f t="shared" si="7"/>
        <v/>
      </c>
      <c r="H13" t="str">
        <f t="shared" si="3"/>
        <v/>
      </c>
      <c r="I13" t="str">
        <f t="shared" si="4"/>
        <v/>
      </c>
    </row>
    <row r="14" spans="1:9" hidden="1">
      <c r="A14" t="s">
        <v>627</v>
      </c>
      <c r="B14" t="str">
        <f t="shared" si="0"/>
        <v>Kujawsko-pomorskie</v>
      </c>
      <c r="C14" t="str">
        <f t="shared" si="5"/>
        <v/>
      </c>
      <c r="D14" t="str">
        <f t="shared" si="1"/>
        <v/>
      </c>
      <c r="E14" t="str">
        <f t="shared" si="2"/>
        <v/>
      </c>
      <c r="F14" t="str">
        <f t="shared" si="6"/>
        <v/>
      </c>
      <c r="G14" t="str">
        <f t="shared" si="7"/>
        <v/>
      </c>
      <c r="H14" t="str">
        <f t="shared" si="3"/>
        <v/>
      </c>
      <c r="I14" t="str">
        <f t="shared" si="4"/>
        <v/>
      </c>
    </row>
    <row r="15" spans="1:9">
      <c r="A15" t="s">
        <v>628</v>
      </c>
      <c r="B15" t="str">
        <f t="shared" si="0"/>
        <v>www.biblioteka.bydgoszcz.pl</v>
      </c>
      <c r="C15" t="str">
        <f t="shared" si="5"/>
        <v>Wojewódzka Biblioteka Publiczna – Książnica Kopernikańska w Toruniu</v>
      </c>
      <c r="D15" t="str">
        <f t="shared" si="1"/>
        <v>ul. Słowackiego 8, 87-100 Toruń</v>
      </c>
      <c r="E15" t="str">
        <f t="shared" si="2"/>
        <v>koordynator: Przemysław Chudzik</v>
      </c>
      <c r="F15" t="str">
        <f t="shared" si="6"/>
        <v xml:space="preserve"> 56 622 59 19</v>
      </c>
      <c r="G15" t="str">
        <f t="shared" si="7"/>
        <v>p.chudzik@ksiaznica.torun.pl</v>
      </c>
      <c r="H15" t="str">
        <f t="shared" si="3"/>
        <v/>
      </c>
      <c r="I15" t="str">
        <f t="shared" si="4"/>
        <v/>
      </c>
    </row>
    <row r="16" spans="1:9" hidden="1">
      <c r="A16" t="s">
        <v>629</v>
      </c>
      <c r="B16" t="str">
        <f t="shared" si="0"/>
        <v>www.biblioteka.bydgoszcz.pl</v>
      </c>
      <c r="C16" t="str">
        <f t="shared" si="5"/>
        <v/>
      </c>
      <c r="D16" t="str">
        <f t="shared" si="1"/>
        <v/>
      </c>
      <c r="E16" t="str">
        <f t="shared" si="2"/>
        <v/>
      </c>
      <c r="F16" t="str">
        <f t="shared" si="6"/>
        <v/>
      </c>
      <c r="G16" t="str">
        <f t="shared" si="7"/>
        <v/>
      </c>
      <c r="H16" t="str">
        <f t="shared" si="3"/>
        <v/>
      </c>
      <c r="I16" t="str">
        <f t="shared" si="4"/>
        <v/>
      </c>
    </row>
    <row r="17" spans="1:9" hidden="1">
      <c r="A17" t="s">
        <v>630</v>
      </c>
      <c r="B17" t="str">
        <f t="shared" si="0"/>
        <v>www.biblioteka.bydgoszcz.pl</v>
      </c>
      <c r="C17" t="str">
        <f t="shared" si="5"/>
        <v/>
      </c>
      <c r="D17" t="str">
        <f t="shared" si="1"/>
        <v/>
      </c>
      <c r="E17" t="str">
        <f t="shared" si="2"/>
        <v/>
      </c>
      <c r="F17" t="str">
        <f t="shared" si="6"/>
        <v/>
      </c>
      <c r="G17" t="str">
        <f t="shared" si="7"/>
        <v/>
      </c>
      <c r="H17" t="str">
        <f t="shared" si="3"/>
        <v/>
      </c>
      <c r="I17" t="str">
        <f t="shared" si="4"/>
        <v/>
      </c>
    </row>
    <row r="18" spans="1:9" hidden="1">
      <c r="A18" t="s">
        <v>631</v>
      </c>
      <c r="B18" t="str">
        <f t="shared" si="0"/>
        <v>www.biblioteka.bydgoszcz.pl</v>
      </c>
      <c r="C18" t="str">
        <f t="shared" si="5"/>
        <v/>
      </c>
      <c r="D18" t="str">
        <f t="shared" si="1"/>
        <v/>
      </c>
      <c r="E18" t="str">
        <f t="shared" si="2"/>
        <v/>
      </c>
      <c r="F18" t="str">
        <f t="shared" si="6"/>
        <v/>
      </c>
      <c r="G18" t="str">
        <f t="shared" si="7"/>
        <v/>
      </c>
      <c r="H18" t="str">
        <f t="shared" si="3"/>
        <v/>
      </c>
      <c r="I18" t="str">
        <f t="shared" si="4"/>
        <v/>
      </c>
    </row>
    <row r="19" spans="1:9" hidden="1">
      <c r="A19" t="s">
        <v>632</v>
      </c>
      <c r="B19" t="str">
        <f t="shared" si="0"/>
        <v>www.biblioteka.bydgoszcz.pl</v>
      </c>
      <c r="C19" t="str">
        <f t="shared" si="5"/>
        <v/>
      </c>
      <c r="D19" t="str">
        <f t="shared" si="1"/>
        <v/>
      </c>
      <c r="E19" t="str">
        <f t="shared" si="2"/>
        <v/>
      </c>
      <c r="F19" t="str">
        <f t="shared" si="6"/>
        <v/>
      </c>
      <c r="G19" t="str">
        <f t="shared" si="7"/>
        <v/>
      </c>
      <c r="H19" t="str">
        <f t="shared" si="3"/>
        <v/>
      </c>
      <c r="I19" t="str">
        <f t="shared" si="4"/>
        <v/>
      </c>
    </row>
    <row r="20" spans="1:9" hidden="1">
      <c r="A20" t="s">
        <v>633</v>
      </c>
      <c r="B20" t="str">
        <f t="shared" si="0"/>
        <v>www.biblioteka.bydgoszcz.pl</v>
      </c>
      <c r="C20" t="str">
        <f t="shared" si="5"/>
        <v/>
      </c>
      <c r="D20" t="str">
        <f t="shared" si="1"/>
        <v/>
      </c>
      <c r="E20" t="str">
        <f t="shared" si="2"/>
        <v/>
      </c>
      <c r="F20" t="str">
        <f t="shared" si="6"/>
        <v/>
      </c>
      <c r="G20" t="str">
        <f t="shared" si="7"/>
        <v/>
      </c>
      <c r="H20" t="str">
        <f t="shared" si="3"/>
        <v/>
      </c>
      <c r="I20" t="str">
        <f t="shared" si="4"/>
        <v/>
      </c>
    </row>
    <row r="21" spans="1:9" hidden="1">
      <c r="A21" t="s">
        <v>634</v>
      </c>
      <c r="B21" t="str">
        <f t="shared" si="0"/>
        <v>www.biblioteka.bydgoszcz.pl</v>
      </c>
      <c r="C21" t="str">
        <f t="shared" si="5"/>
        <v/>
      </c>
      <c r="D21" t="str">
        <f t="shared" si="1"/>
        <v/>
      </c>
      <c r="E21" t="str">
        <f t="shared" si="2"/>
        <v/>
      </c>
      <c r="F21" t="str">
        <f t="shared" si="6"/>
        <v/>
      </c>
      <c r="G21" t="str">
        <f t="shared" si="7"/>
        <v/>
      </c>
      <c r="H21" t="str">
        <f t="shared" si="3"/>
        <v/>
      </c>
      <c r="I21" t="str">
        <f t="shared" si="4"/>
        <v/>
      </c>
    </row>
    <row r="22" spans="1:9">
      <c r="A22" t="s">
        <v>69</v>
      </c>
      <c r="B22" t="str">
        <f t="shared" si="0"/>
        <v>Lubelskie</v>
      </c>
      <c r="C22" t="str">
        <f t="shared" si="5"/>
        <v>Wojewódzka Biblioteka Publiczna im. Hieronima Łopacińskiego w Lublinie</v>
      </c>
      <c r="D22" t="str">
        <f t="shared" si="1"/>
        <v>ul. Narutowicza 4, 20-950 Lublin</v>
      </c>
      <c r="E22" t="str">
        <f t="shared" si="2"/>
        <v>koordynatorzy: Joanna Chapska, Marzena Targońska</v>
      </c>
      <c r="F22" t="str">
        <f t="shared" si="6"/>
        <v xml:space="preserve"> 81 52 87 422</v>
      </c>
      <c r="G22" t="str">
        <f t="shared" si="7"/>
        <v>dkk@poczta.wbp.lublin.pl</v>
      </c>
      <c r="H22" t="str">
        <f t="shared" si="3"/>
        <v/>
      </c>
      <c r="I22" t="str">
        <f t="shared" si="4"/>
        <v/>
      </c>
    </row>
    <row r="23" spans="1:9" hidden="1">
      <c r="A23" t="s">
        <v>635</v>
      </c>
      <c r="B23" t="str">
        <f t="shared" si="0"/>
        <v>Lubelskie</v>
      </c>
      <c r="C23" t="str">
        <f t="shared" si="5"/>
        <v/>
      </c>
      <c r="D23" t="str">
        <f t="shared" si="1"/>
        <v/>
      </c>
      <c r="E23" t="str">
        <f t="shared" si="2"/>
        <v/>
      </c>
      <c r="F23" t="str">
        <f t="shared" si="6"/>
        <v/>
      </c>
      <c r="G23" t="str">
        <f t="shared" si="7"/>
        <v/>
      </c>
      <c r="H23" t="str">
        <f t="shared" si="3"/>
        <v/>
      </c>
      <c r="I23" t="str">
        <f t="shared" si="4"/>
        <v/>
      </c>
    </row>
    <row r="24" spans="1:9" hidden="1">
      <c r="A24" t="s">
        <v>636</v>
      </c>
      <c r="B24" t="str">
        <f t="shared" si="0"/>
        <v>Lubelskie</v>
      </c>
      <c r="C24" t="str">
        <f t="shared" si="5"/>
        <v/>
      </c>
      <c r="D24" t="str">
        <f t="shared" si="1"/>
        <v/>
      </c>
      <c r="E24" t="str">
        <f t="shared" si="2"/>
        <v/>
      </c>
      <c r="F24" t="str">
        <f t="shared" si="6"/>
        <v/>
      </c>
      <c r="G24" t="str">
        <f t="shared" si="7"/>
        <v/>
      </c>
      <c r="H24" t="str">
        <f t="shared" si="3"/>
        <v/>
      </c>
      <c r="I24" t="str">
        <f t="shared" si="4"/>
        <v/>
      </c>
    </row>
    <row r="25" spans="1:9" hidden="1">
      <c r="A25" t="s">
        <v>637</v>
      </c>
      <c r="B25" t="str">
        <f t="shared" si="0"/>
        <v>Lubelskie</v>
      </c>
      <c r="C25" t="str">
        <f t="shared" si="5"/>
        <v/>
      </c>
      <c r="D25" t="str">
        <f t="shared" si="1"/>
        <v/>
      </c>
      <c r="E25" t="str">
        <f t="shared" si="2"/>
        <v/>
      </c>
      <c r="F25" t="str">
        <f t="shared" si="6"/>
        <v/>
      </c>
      <c r="G25" t="str">
        <f t="shared" si="7"/>
        <v/>
      </c>
      <c r="H25" t="str">
        <f t="shared" si="3"/>
        <v/>
      </c>
      <c r="I25" t="str">
        <f t="shared" si="4"/>
        <v/>
      </c>
    </row>
    <row r="26" spans="1:9" hidden="1">
      <c r="A26" t="s">
        <v>638</v>
      </c>
      <c r="B26" t="str">
        <f t="shared" si="0"/>
        <v>Lubelskie</v>
      </c>
      <c r="C26" t="str">
        <f t="shared" si="5"/>
        <v/>
      </c>
      <c r="D26" t="str">
        <f t="shared" si="1"/>
        <v/>
      </c>
      <c r="E26" t="str">
        <f t="shared" si="2"/>
        <v/>
      </c>
      <c r="F26" t="str">
        <f t="shared" si="6"/>
        <v/>
      </c>
      <c r="G26" t="str">
        <f t="shared" si="7"/>
        <v/>
      </c>
      <c r="H26" t="str">
        <f t="shared" si="3"/>
        <v/>
      </c>
      <c r="I26" t="str">
        <f t="shared" si="4"/>
        <v/>
      </c>
    </row>
    <row r="27" spans="1:9" hidden="1">
      <c r="A27" t="s">
        <v>639</v>
      </c>
      <c r="B27" t="str">
        <f t="shared" si="0"/>
        <v>Lubelskie</v>
      </c>
      <c r="C27" t="str">
        <f t="shared" si="5"/>
        <v/>
      </c>
      <c r="D27" t="str">
        <f t="shared" si="1"/>
        <v/>
      </c>
      <c r="E27" t="str">
        <f t="shared" si="2"/>
        <v/>
      </c>
      <c r="F27" t="str">
        <f t="shared" si="6"/>
        <v/>
      </c>
      <c r="G27" t="str">
        <f t="shared" si="7"/>
        <v/>
      </c>
      <c r="H27" t="str">
        <f t="shared" si="3"/>
        <v/>
      </c>
      <c r="I27" t="str">
        <f t="shared" si="4"/>
        <v/>
      </c>
    </row>
    <row r="28" spans="1:9" hidden="1">
      <c r="A28" t="s">
        <v>640</v>
      </c>
      <c r="B28" t="str">
        <f t="shared" si="0"/>
        <v>Lubelskie</v>
      </c>
      <c r="C28" t="str">
        <f t="shared" si="5"/>
        <v/>
      </c>
      <c r="D28" t="str">
        <f t="shared" si="1"/>
        <v/>
      </c>
      <c r="E28" t="str">
        <f t="shared" si="2"/>
        <v/>
      </c>
      <c r="F28" t="str">
        <f t="shared" si="6"/>
        <v/>
      </c>
      <c r="G28" t="str">
        <f t="shared" si="7"/>
        <v/>
      </c>
      <c r="H28" t="str">
        <f t="shared" si="3"/>
        <v/>
      </c>
      <c r="I28" t="str">
        <f t="shared" si="4"/>
        <v/>
      </c>
    </row>
    <row r="29" spans="1:9">
      <c r="A29" t="s">
        <v>641</v>
      </c>
      <c r="B29" t="str">
        <f t="shared" si="0"/>
        <v>Lubuskie</v>
      </c>
      <c r="C29" t="str">
        <f t="shared" si="5"/>
        <v>Wojewódzka i Miejska Biblioteka Publiczna im. C. Norwida w Zielonej Górze</v>
      </c>
      <c r="D29" t="str">
        <f t="shared" si="1"/>
        <v>al. Wojska Polskiego 9, 65-077 Zielona Góra</v>
      </c>
      <c r="E29" t="str">
        <f t="shared" si="2"/>
        <v>koordynator: Justyna Hak</v>
      </c>
      <c r="F29" t="str">
        <f t="shared" si="6"/>
        <v xml:space="preserve"> 68 45 32 611</v>
      </c>
      <c r="G29" t="str">
        <f t="shared" si="7"/>
        <v>j.hak@wimbp.zgora.pl</v>
      </c>
      <c r="H29" t="str">
        <f t="shared" si="3"/>
        <v/>
      </c>
      <c r="I29" t="str">
        <f t="shared" si="4"/>
        <v/>
      </c>
    </row>
    <row r="30" spans="1:9" hidden="1">
      <c r="A30" t="s">
        <v>642</v>
      </c>
      <c r="B30" t="str">
        <f t="shared" si="0"/>
        <v>Lubuskie</v>
      </c>
      <c r="C30" t="str">
        <f t="shared" si="5"/>
        <v/>
      </c>
      <c r="D30" t="str">
        <f t="shared" si="1"/>
        <v/>
      </c>
      <c r="E30" t="str">
        <f t="shared" si="2"/>
        <v/>
      </c>
      <c r="F30" t="str">
        <f t="shared" si="6"/>
        <v/>
      </c>
      <c r="G30" t="str">
        <f t="shared" si="7"/>
        <v/>
      </c>
      <c r="H30" t="str">
        <f t="shared" si="3"/>
        <v/>
      </c>
      <c r="I30" t="str">
        <f t="shared" si="4"/>
        <v/>
      </c>
    </row>
    <row r="31" spans="1:9" hidden="1">
      <c r="A31" t="s">
        <v>643</v>
      </c>
      <c r="B31" t="str">
        <f t="shared" si="0"/>
        <v>Lubuskie</v>
      </c>
      <c r="C31" t="str">
        <f t="shared" si="5"/>
        <v/>
      </c>
      <c r="D31" t="str">
        <f t="shared" si="1"/>
        <v/>
      </c>
      <c r="E31" t="str">
        <f t="shared" si="2"/>
        <v/>
      </c>
      <c r="F31" t="str">
        <f t="shared" si="6"/>
        <v/>
      </c>
      <c r="G31" t="str">
        <f t="shared" si="7"/>
        <v/>
      </c>
      <c r="H31" t="str">
        <f t="shared" si="3"/>
        <v/>
      </c>
      <c r="I31" t="str">
        <f t="shared" si="4"/>
        <v/>
      </c>
    </row>
    <row r="32" spans="1:9" hidden="1">
      <c r="A32" t="s">
        <v>644</v>
      </c>
      <c r="B32" t="str">
        <f t="shared" si="0"/>
        <v>Lubuskie</v>
      </c>
      <c r="C32" t="str">
        <f t="shared" si="5"/>
        <v/>
      </c>
      <c r="D32" t="str">
        <f t="shared" si="1"/>
        <v/>
      </c>
      <c r="E32" t="str">
        <f t="shared" si="2"/>
        <v/>
      </c>
      <c r="F32" t="str">
        <f t="shared" si="6"/>
        <v/>
      </c>
      <c r="G32" t="str">
        <f t="shared" si="7"/>
        <v/>
      </c>
      <c r="H32" t="str">
        <f t="shared" si="3"/>
        <v/>
      </c>
      <c r="I32" t="str">
        <f t="shared" si="4"/>
        <v/>
      </c>
    </row>
    <row r="33" spans="1:9" hidden="1">
      <c r="A33" t="s">
        <v>645</v>
      </c>
      <c r="B33" t="str">
        <f t="shared" si="0"/>
        <v>Lubuskie</v>
      </c>
      <c r="C33" t="str">
        <f t="shared" si="5"/>
        <v/>
      </c>
      <c r="D33" t="str">
        <f t="shared" si="1"/>
        <v/>
      </c>
      <c r="E33" t="str">
        <f t="shared" si="2"/>
        <v/>
      </c>
      <c r="F33" t="str">
        <f t="shared" si="6"/>
        <v/>
      </c>
      <c r="G33" t="str">
        <f t="shared" si="7"/>
        <v/>
      </c>
      <c r="H33" t="str">
        <f t="shared" si="3"/>
        <v/>
      </c>
      <c r="I33" t="str">
        <f t="shared" si="4"/>
        <v/>
      </c>
    </row>
    <row r="34" spans="1:9" hidden="1">
      <c r="A34" t="s">
        <v>646</v>
      </c>
      <c r="B34" t="str">
        <f t="shared" si="0"/>
        <v>Lubuskie</v>
      </c>
      <c r="C34" t="str">
        <f t="shared" si="5"/>
        <v/>
      </c>
      <c r="D34" t="str">
        <f t="shared" si="1"/>
        <v/>
      </c>
      <c r="E34" t="str">
        <f t="shared" si="2"/>
        <v/>
      </c>
      <c r="F34" t="str">
        <f t="shared" si="6"/>
        <v/>
      </c>
      <c r="G34" t="str">
        <f t="shared" si="7"/>
        <v/>
      </c>
      <c r="H34" t="str">
        <f t="shared" si="3"/>
        <v/>
      </c>
      <c r="I34" t="str">
        <f t="shared" si="4"/>
        <v/>
      </c>
    </row>
    <row r="35" spans="1:9">
      <c r="A35" t="s">
        <v>647</v>
      </c>
      <c r="B35" t="str">
        <f t="shared" si="0"/>
        <v>www.wimbp.zgora.pl</v>
      </c>
      <c r="C35" t="str">
        <f t="shared" si="5"/>
        <v>Wojewódzka i Miejska Biblioteka Publiczna im. Zbigniewa Herberta w Gorzowie</v>
      </c>
      <c r="D35" t="str">
        <f t="shared" si="1"/>
        <v>Wielkopolskim</v>
      </c>
      <c r="E35" t="str">
        <f t="shared" si="2"/>
        <v>ul. Sikorskiego 107, 66-400 Gorzów Wlkp.</v>
      </c>
      <c r="F35" t="str">
        <f>IF(C35&gt;"",MID(A40,FIND("tel.",A40)+5,15),"")</f>
        <v xml:space="preserve"> 95 727 80 56</v>
      </c>
      <c r="G35" t="str">
        <f>IF(E35&gt;"",MID(A39,FIND("mail:",A39)+6,100),"")</f>
        <v>niewiadomska@wimbp.gorzow.pl, m.merxmuller@wimbp.gorzow.pl</v>
      </c>
      <c r="H35" t="str">
        <f t="shared" si="3"/>
        <v/>
      </c>
      <c r="I35" t="str">
        <f t="shared" si="4"/>
        <v/>
      </c>
    </row>
    <row r="36" spans="1:9" hidden="1">
      <c r="A36" t="s">
        <v>648</v>
      </c>
      <c r="B36" t="str">
        <f t="shared" si="0"/>
        <v>www.wimbp.zgora.pl</v>
      </c>
      <c r="C36" t="str">
        <f t="shared" si="5"/>
        <v/>
      </c>
      <c r="D36" t="str">
        <f t="shared" si="1"/>
        <v/>
      </c>
      <c r="E36" t="str">
        <f t="shared" si="2"/>
        <v/>
      </c>
      <c r="F36" t="str">
        <f t="shared" si="6"/>
        <v/>
      </c>
      <c r="G36" t="str">
        <f t="shared" si="7"/>
        <v/>
      </c>
      <c r="H36" t="str">
        <f t="shared" si="3"/>
        <v/>
      </c>
      <c r="I36" t="str">
        <f t="shared" si="4"/>
        <v/>
      </c>
    </row>
    <row r="37" spans="1:9" hidden="1">
      <c r="A37" t="s">
        <v>649</v>
      </c>
      <c r="B37" t="str">
        <f t="shared" si="0"/>
        <v>www.wimbp.zgora.pl</v>
      </c>
      <c r="C37" t="str">
        <f t="shared" si="5"/>
        <v/>
      </c>
      <c r="D37" t="str">
        <f t="shared" si="1"/>
        <v/>
      </c>
      <c r="E37" t="str">
        <f t="shared" si="2"/>
        <v/>
      </c>
      <c r="F37" t="str">
        <f t="shared" si="6"/>
        <v/>
      </c>
      <c r="G37" t="str">
        <f t="shared" si="7"/>
        <v/>
      </c>
      <c r="H37" t="str">
        <f t="shared" si="3"/>
        <v/>
      </c>
      <c r="I37" t="str">
        <f t="shared" si="4"/>
        <v/>
      </c>
    </row>
    <row r="38" spans="1:9" hidden="1">
      <c r="A38" t="s">
        <v>650</v>
      </c>
      <c r="B38" t="str">
        <f t="shared" si="0"/>
        <v>www.wimbp.zgora.pl</v>
      </c>
      <c r="C38" t="str">
        <f t="shared" si="5"/>
        <v/>
      </c>
      <c r="D38" t="str">
        <f t="shared" si="1"/>
        <v/>
      </c>
      <c r="E38" t="str">
        <f t="shared" si="2"/>
        <v/>
      </c>
      <c r="F38" t="str">
        <f t="shared" si="6"/>
        <v/>
      </c>
      <c r="G38" t="str">
        <f t="shared" si="7"/>
        <v/>
      </c>
      <c r="H38" t="str">
        <f t="shared" si="3"/>
        <v/>
      </c>
      <c r="I38" t="str">
        <f t="shared" si="4"/>
        <v/>
      </c>
    </row>
    <row r="39" spans="1:9" hidden="1">
      <c r="A39" t="s">
        <v>651</v>
      </c>
      <c r="B39" t="str">
        <f t="shared" si="0"/>
        <v>www.wimbp.zgora.pl</v>
      </c>
      <c r="C39" t="str">
        <f t="shared" si="5"/>
        <v/>
      </c>
      <c r="D39" t="str">
        <f t="shared" si="1"/>
        <v/>
      </c>
      <c r="E39" t="str">
        <f t="shared" si="2"/>
        <v/>
      </c>
      <c r="F39" t="str">
        <f t="shared" si="6"/>
        <v/>
      </c>
      <c r="G39" t="str">
        <f t="shared" si="7"/>
        <v/>
      </c>
      <c r="H39" t="str">
        <f t="shared" si="3"/>
        <v/>
      </c>
      <c r="I39" t="str">
        <f t="shared" si="4"/>
        <v/>
      </c>
    </row>
    <row r="40" spans="1:9" hidden="1">
      <c r="A40" t="s">
        <v>652</v>
      </c>
      <c r="B40" t="str">
        <f t="shared" si="0"/>
        <v>www.wimbp.zgora.pl</v>
      </c>
      <c r="C40" t="str">
        <f t="shared" si="5"/>
        <v/>
      </c>
      <c r="D40" t="str">
        <f t="shared" si="1"/>
        <v/>
      </c>
      <c r="E40" t="str">
        <f t="shared" si="2"/>
        <v/>
      </c>
      <c r="F40" t="str">
        <f t="shared" si="6"/>
        <v/>
      </c>
      <c r="G40" t="str">
        <f t="shared" si="7"/>
        <v/>
      </c>
      <c r="H40" t="str">
        <f t="shared" si="3"/>
        <v/>
      </c>
      <c r="I40" t="str">
        <f t="shared" si="4"/>
        <v/>
      </c>
    </row>
    <row r="41" spans="1:9" hidden="1">
      <c r="A41" t="s">
        <v>653</v>
      </c>
      <c r="B41" t="str">
        <f t="shared" si="0"/>
        <v>www.wimbp.zgora.pl</v>
      </c>
      <c r="C41" t="str">
        <f t="shared" si="5"/>
        <v/>
      </c>
      <c r="D41" t="str">
        <f t="shared" si="1"/>
        <v/>
      </c>
      <c r="E41" t="str">
        <f t="shared" si="2"/>
        <v/>
      </c>
      <c r="F41" t="str">
        <f t="shared" si="6"/>
        <v/>
      </c>
      <c r="G41" t="str">
        <f t="shared" si="7"/>
        <v/>
      </c>
      <c r="H41" t="str">
        <f t="shared" si="3"/>
        <v/>
      </c>
      <c r="I41" t="str">
        <f t="shared" si="4"/>
        <v/>
      </c>
    </row>
    <row r="42" spans="1:9" hidden="1">
      <c r="A42" t="s">
        <v>654</v>
      </c>
      <c r="B42" t="str">
        <f t="shared" si="0"/>
        <v>www.wimbp.zgora.pl</v>
      </c>
      <c r="C42" t="str">
        <f t="shared" si="5"/>
        <v/>
      </c>
      <c r="D42" t="str">
        <f t="shared" si="1"/>
        <v/>
      </c>
      <c r="E42" t="str">
        <f t="shared" si="2"/>
        <v/>
      </c>
      <c r="F42" t="str">
        <f t="shared" si="6"/>
        <v/>
      </c>
      <c r="G42" t="str">
        <f t="shared" si="7"/>
        <v/>
      </c>
      <c r="H42" t="str">
        <f t="shared" si="3"/>
        <v/>
      </c>
      <c r="I42" t="str">
        <f t="shared" si="4"/>
        <v/>
      </c>
    </row>
    <row r="43" spans="1:9">
      <c r="A43" t="s">
        <v>655</v>
      </c>
      <c r="B43" t="str">
        <f t="shared" si="0"/>
        <v>Łódzkie</v>
      </c>
      <c r="C43" t="str">
        <f t="shared" si="5"/>
        <v>Wojewódzka Biblioteka Publiczna im. Marszałka Józefa Piłsudskiego</v>
      </c>
      <c r="D43" t="str">
        <f t="shared" si="1"/>
        <v>ul. Gdańska 100/102, 90-508 Łódź</v>
      </c>
      <c r="E43" t="str">
        <f t="shared" si="2"/>
        <v>koordynator: Kinga Siekierska</v>
      </c>
      <c r="F43" t="str">
        <f t="shared" si="6"/>
        <v xml:space="preserve"> 42 637 68 35</v>
      </c>
      <c r="G43" t="str">
        <f t="shared" si="7"/>
        <v>kinga@hiacynt.wimbp.lodz.pl</v>
      </c>
      <c r="H43" t="str">
        <f t="shared" si="3"/>
        <v/>
      </c>
      <c r="I43" t="str">
        <f t="shared" si="4"/>
        <v/>
      </c>
    </row>
    <row r="44" spans="1:9" hidden="1">
      <c r="A44" t="s">
        <v>656</v>
      </c>
      <c r="B44" t="str">
        <f t="shared" si="0"/>
        <v>Łódzkie</v>
      </c>
      <c r="C44" t="str">
        <f t="shared" si="5"/>
        <v/>
      </c>
      <c r="D44" t="str">
        <f t="shared" si="1"/>
        <v/>
      </c>
      <c r="E44" t="str">
        <f t="shared" si="2"/>
        <v/>
      </c>
      <c r="F44" t="str">
        <f t="shared" si="6"/>
        <v/>
      </c>
      <c r="G44" t="str">
        <f t="shared" si="7"/>
        <v/>
      </c>
      <c r="H44" t="str">
        <f t="shared" si="3"/>
        <v/>
      </c>
      <c r="I44" t="str">
        <f t="shared" si="4"/>
        <v/>
      </c>
    </row>
    <row r="45" spans="1:9" hidden="1">
      <c r="A45" t="s">
        <v>657</v>
      </c>
      <c r="B45" t="str">
        <f t="shared" si="0"/>
        <v>Łódzkie</v>
      </c>
      <c r="C45" t="str">
        <f t="shared" si="5"/>
        <v/>
      </c>
      <c r="D45" t="str">
        <f t="shared" si="1"/>
        <v/>
      </c>
      <c r="E45" t="str">
        <f t="shared" si="2"/>
        <v/>
      </c>
      <c r="F45" t="str">
        <f t="shared" si="6"/>
        <v/>
      </c>
      <c r="G45" t="str">
        <f t="shared" si="7"/>
        <v/>
      </c>
      <c r="H45" t="str">
        <f t="shared" si="3"/>
        <v/>
      </c>
      <c r="I45" t="str">
        <f t="shared" si="4"/>
        <v/>
      </c>
    </row>
    <row r="46" spans="1:9" hidden="1">
      <c r="A46" t="s">
        <v>658</v>
      </c>
      <c r="B46" t="str">
        <f t="shared" si="0"/>
        <v>Łódzkie</v>
      </c>
      <c r="C46" t="str">
        <f t="shared" si="5"/>
        <v/>
      </c>
      <c r="D46" t="str">
        <f t="shared" si="1"/>
        <v/>
      </c>
      <c r="E46" t="str">
        <f t="shared" si="2"/>
        <v/>
      </c>
      <c r="F46" t="str">
        <f t="shared" si="6"/>
        <v/>
      </c>
      <c r="G46" t="str">
        <f t="shared" si="7"/>
        <v/>
      </c>
      <c r="H46" t="str">
        <f t="shared" si="3"/>
        <v/>
      </c>
      <c r="I46" t="str">
        <f t="shared" si="4"/>
        <v/>
      </c>
    </row>
    <row r="47" spans="1:9" hidden="1">
      <c r="A47" t="s">
        <v>659</v>
      </c>
      <c r="B47" t="str">
        <f t="shared" si="0"/>
        <v>Łódzkie</v>
      </c>
      <c r="C47" t="str">
        <f t="shared" si="5"/>
        <v/>
      </c>
      <c r="D47" t="str">
        <f t="shared" si="1"/>
        <v/>
      </c>
      <c r="E47" t="str">
        <f t="shared" si="2"/>
        <v/>
      </c>
      <c r="F47" t="str">
        <f t="shared" si="6"/>
        <v/>
      </c>
      <c r="G47" t="str">
        <f t="shared" si="7"/>
        <v/>
      </c>
      <c r="H47" t="str">
        <f t="shared" si="3"/>
        <v/>
      </c>
      <c r="I47" t="str">
        <f t="shared" si="4"/>
        <v/>
      </c>
    </row>
    <row r="48" spans="1:9" hidden="1">
      <c r="A48" t="s">
        <v>660</v>
      </c>
      <c r="B48" t="str">
        <f t="shared" si="0"/>
        <v>Łódzkie</v>
      </c>
      <c r="C48" t="str">
        <f t="shared" si="5"/>
        <v/>
      </c>
      <c r="D48" t="str">
        <f t="shared" si="1"/>
        <v/>
      </c>
      <c r="E48" t="str">
        <f t="shared" si="2"/>
        <v/>
      </c>
      <c r="F48" t="str">
        <f t="shared" si="6"/>
        <v/>
      </c>
      <c r="G48" t="str">
        <f t="shared" si="7"/>
        <v/>
      </c>
      <c r="H48" t="str">
        <f t="shared" si="3"/>
        <v/>
      </c>
      <c r="I48" t="str">
        <f t="shared" si="4"/>
        <v/>
      </c>
    </row>
    <row r="49" spans="1:9" hidden="1">
      <c r="A49" t="s">
        <v>661</v>
      </c>
      <c r="B49" t="str">
        <f t="shared" si="0"/>
        <v>Łódzkie</v>
      </c>
      <c r="C49" t="str">
        <f t="shared" si="5"/>
        <v/>
      </c>
      <c r="D49" t="str">
        <f t="shared" si="1"/>
        <v/>
      </c>
      <c r="E49" t="str">
        <f t="shared" si="2"/>
        <v/>
      </c>
      <c r="F49" t="str">
        <f t="shared" si="6"/>
        <v/>
      </c>
      <c r="G49" t="str">
        <f t="shared" si="7"/>
        <v/>
      </c>
      <c r="H49" t="str">
        <f t="shared" si="3"/>
        <v/>
      </c>
      <c r="I49" t="str">
        <f t="shared" si="4"/>
        <v/>
      </c>
    </row>
    <row r="50" spans="1:9">
      <c r="A50" t="s">
        <v>662</v>
      </c>
      <c r="B50" t="str">
        <f t="shared" si="0"/>
        <v>Małopolskie</v>
      </c>
      <c r="C50" t="str">
        <f t="shared" si="5"/>
        <v>Wojewódzka Biblioteka Publiczna w Krakowie</v>
      </c>
      <c r="D50" t="str">
        <f t="shared" si="1"/>
        <v>ul. Rajska 1, 31-124 Kraków</v>
      </c>
      <c r="E50" t="str">
        <f t="shared" si="2"/>
        <v>koordynator: Elżbieta Skrzydlewska</v>
      </c>
      <c r="F50" t="str">
        <f t="shared" si="6"/>
        <v xml:space="preserve"> 12 37 52 204</v>
      </c>
      <c r="G50" t="str">
        <f t="shared" si="7"/>
        <v>elzbieta.skrzydlewska@rajska.info</v>
      </c>
      <c r="H50" t="str">
        <f t="shared" si="3"/>
        <v/>
      </c>
      <c r="I50" t="str">
        <f t="shared" si="4"/>
        <v/>
      </c>
    </row>
    <row r="51" spans="1:9" hidden="1">
      <c r="A51" t="s">
        <v>663</v>
      </c>
      <c r="B51" t="str">
        <f t="shared" si="0"/>
        <v>Małopolskie</v>
      </c>
      <c r="C51" t="str">
        <f t="shared" si="5"/>
        <v/>
      </c>
      <c r="D51" t="str">
        <f t="shared" si="1"/>
        <v/>
      </c>
      <c r="E51" t="str">
        <f t="shared" si="2"/>
        <v/>
      </c>
      <c r="F51" t="str">
        <f t="shared" si="6"/>
        <v/>
      </c>
      <c r="G51" t="str">
        <f t="shared" si="7"/>
        <v/>
      </c>
      <c r="H51" t="str">
        <f t="shared" si="3"/>
        <v/>
      </c>
      <c r="I51" t="str">
        <f t="shared" si="4"/>
        <v/>
      </c>
    </row>
    <row r="52" spans="1:9" hidden="1">
      <c r="A52" t="s">
        <v>664</v>
      </c>
      <c r="B52" t="str">
        <f t="shared" si="0"/>
        <v>Małopolskie</v>
      </c>
      <c r="C52" t="str">
        <f t="shared" si="5"/>
        <v/>
      </c>
      <c r="D52" t="str">
        <f t="shared" si="1"/>
        <v/>
      </c>
      <c r="E52" t="str">
        <f t="shared" si="2"/>
        <v/>
      </c>
      <c r="F52" t="str">
        <f t="shared" si="6"/>
        <v/>
      </c>
      <c r="G52" t="str">
        <f t="shared" si="7"/>
        <v/>
      </c>
      <c r="H52" t="str">
        <f t="shared" si="3"/>
        <v/>
      </c>
      <c r="I52" t="str">
        <f t="shared" si="4"/>
        <v/>
      </c>
    </row>
    <row r="53" spans="1:9" hidden="1">
      <c r="A53" t="s">
        <v>665</v>
      </c>
      <c r="B53" t="str">
        <f t="shared" si="0"/>
        <v>Małopolskie</v>
      </c>
      <c r="C53" t="str">
        <f t="shared" si="5"/>
        <v/>
      </c>
      <c r="D53" t="str">
        <f t="shared" si="1"/>
        <v/>
      </c>
      <c r="E53" t="str">
        <f t="shared" si="2"/>
        <v/>
      </c>
      <c r="F53" t="str">
        <f t="shared" si="6"/>
        <v/>
      </c>
      <c r="G53" t="str">
        <f t="shared" si="7"/>
        <v/>
      </c>
      <c r="H53" t="str">
        <f t="shared" si="3"/>
        <v/>
      </c>
      <c r="I53" t="str">
        <f t="shared" si="4"/>
        <v/>
      </c>
    </row>
    <row r="54" spans="1:9" hidden="1">
      <c r="A54" t="s">
        <v>666</v>
      </c>
      <c r="B54" t="str">
        <f t="shared" si="0"/>
        <v>Małopolskie</v>
      </c>
      <c r="C54" t="str">
        <f t="shared" si="5"/>
        <v/>
      </c>
      <c r="D54" t="str">
        <f t="shared" si="1"/>
        <v/>
      </c>
      <c r="E54" t="str">
        <f t="shared" si="2"/>
        <v/>
      </c>
      <c r="F54" t="str">
        <f t="shared" si="6"/>
        <v/>
      </c>
      <c r="G54" t="str">
        <f t="shared" si="7"/>
        <v/>
      </c>
      <c r="H54" t="str">
        <f t="shared" si="3"/>
        <v/>
      </c>
      <c r="I54" t="str">
        <f t="shared" si="4"/>
        <v/>
      </c>
    </row>
    <row r="55" spans="1:9" hidden="1">
      <c r="A55" t="s">
        <v>667</v>
      </c>
      <c r="B55" t="str">
        <f t="shared" si="0"/>
        <v>Małopolskie</v>
      </c>
      <c r="C55" t="str">
        <f t="shared" si="5"/>
        <v/>
      </c>
      <c r="D55" t="str">
        <f t="shared" si="1"/>
        <v/>
      </c>
      <c r="E55" t="str">
        <f t="shared" si="2"/>
        <v/>
      </c>
      <c r="F55" t="str">
        <f t="shared" si="6"/>
        <v/>
      </c>
      <c r="G55" t="str">
        <f t="shared" si="7"/>
        <v/>
      </c>
      <c r="H55" t="str">
        <f t="shared" si="3"/>
        <v/>
      </c>
      <c r="I55" t="str">
        <f t="shared" si="4"/>
        <v/>
      </c>
    </row>
    <row r="56" spans="1:9" hidden="1">
      <c r="A56" t="s">
        <v>668</v>
      </c>
      <c r="B56" t="str">
        <f t="shared" si="0"/>
        <v>Małopolskie</v>
      </c>
      <c r="C56" t="str">
        <f t="shared" si="5"/>
        <v/>
      </c>
      <c r="D56" t="str">
        <f t="shared" si="1"/>
        <v/>
      </c>
      <c r="E56" t="str">
        <f t="shared" si="2"/>
        <v/>
      </c>
      <c r="F56" t="str">
        <f t="shared" si="6"/>
        <v/>
      </c>
      <c r="G56" t="str">
        <f t="shared" si="7"/>
        <v/>
      </c>
      <c r="H56" t="str">
        <f t="shared" si="3"/>
        <v/>
      </c>
      <c r="I56" t="str">
        <f t="shared" si="4"/>
        <v/>
      </c>
    </row>
    <row r="57" spans="1:9" hidden="1">
      <c r="A57" t="s">
        <v>669</v>
      </c>
      <c r="B57" t="str">
        <f t="shared" si="0"/>
        <v>Małopolskie</v>
      </c>
      <c r="D57" t="str">
        <f t="shared" si="1"/>
        <v/>
      </c>
      <c r="E57" t="str">
        <f t="shared" si="2"/>
        <v/>
      </c>
      <c r="F57" t="str">
        <f>IF(C57&gt;"",MID(A62,FIND("tel.",A62)+5,15),"")</f>
        <v/>
      </c>
      <c r="G57" t="str">
        <f>IF(E57&gt;"",MID(A61,FIND("mail:",A61)+6,100),"")</f>
        <v/>
      </c>
      <c r="H57" t="str">
        <f t="shared" si="3"/>
        <v/>
      </c>
      <c r="I57" t="str">
        <f t="shared" si="4"/>
        <v/>
      </c>
    </row>
    <row r="58" spans="1:9">
      <c r="A58" t="s">
        <v>670</v>
      </c>
      <c r="B58" t="str">
        <f t="shared" si="0"/>
        <v>Biblioteka Publiczna m. st. Warszawy</v>
      </c>
      <c r="C58" t="str">
        <f t="shared" si="5"/>
        <v>Biblioteka Główna Województwa Mazowieckiego</v>
      </c>
      <c r="D58" t="str">
        <f t="shared" si="1"/>
        <v>ul. Koszykowa 26/28, 00-950 Warszawa</v>
      </c>
      <c r="E58" t="str">
        <f t="shared" si="2"/>
        <v>koordynator: Agnieszka Kursa</v>
      </c>
      <c r="F58" t="str">
        <f t="shared" si="6"/>
        <v xml:space="preserve"> 22 537 41 15</v>
      </c>
      <c r="G58" t="str">
        <f t="shared" si="7"/>
        <v>dkkmazowsze@gmail.com</v>
      </c>
      <c r="H58" t="str">
        <f t="shared" si="3"/>
        <v/>
      </c>
      <c r="I58" t="str">
        <f t="shared" si="4"/>
        <v/>
      </c>
    </row>
    <row r="59" spans="1:9" hidden="1">
      <c r="A59" t="s">
        <v>671</v>
      </c>
      <c r="B59" t="str">
        <f t="shared" si="0"/>
        <v>Biblioteka Publiczna m. st. Warszawy</v>
      </c>
      <c r="C59" t="str">
        <f t="shared" si="5"/>
        <v/>
      </c>
      <c r="D59" t="str">
        <f t="shared" si="1"/>
        <v/>
      </c>
      <c r="E59" t="str">
        <f t="shared" si="2"/>
        <v/>
      </c>
      <c r="F59" t="str">
        <f t="shared" si="6"/>
        <v/>
      </c>
      <c r="G59" t="str">
        <f t="shared" si="7"/>
        <v/>
      </c>
      <c r="H59" t="str">
        <f t="shared" si="3"/>
        <v/>
      </c>
      <c r="I59" t="str">
        <f t="shared" si="4"/>
        <v/>
      </c>
    </row>
    <row r="60" spans="1:9" hidden="1">
      <c r="A60" t="s">
        <v>672</v>
      </c>
      <c r="B60" t="str">
        <f t="shared" si="0"/>
        <v>Biblioteka Publiczna m. st. Warszawy</v>
      </c>
      <c r="C60" t="str">
        <f t="shared" si="5"/>
        <v/>
      </c>
      <c r="D60" t="str">
        <f t="shared" si="1"/>
        <v/>
      </c>
      <c r="E60" t="str">
        <f t="shared" si="2"/>
        <v/>
      </c>
      <c r="F60" t="str">
        <f t="shared" si="6"/>
        <v/>
      </c>
      <c r="G60" t="str">
        <f t="shared" si="7"/>
        <v/>
      </c>
      <c r="H60" t="str">
        <f t="shared" si="3"/>
        <v/>
      </c>
      <c r="I60" t="str">
        <f t="shared" si="4"/>
        <v/>
      </c>
    </row>
    <row r="61" spans="1:9" hidden="1">
      <c r="A61" t="s">
        <v>673</v>
      </c>
      <c r="B61" t="str">
        <f t="shared" si="0"/>
        <v>Biblioteka Publiczna m. st. Warszawy</v>
      </c>
      <c r="C61" t="str">
        <f t="shared" si="5"/>
        <v/>
      </c>
      <c r="D61" t="str">
        <f t="shared" si="1"/>
        <v/>
      </c>
      <c r="E61" t="str">
        <f t="shared" si="2"/>
        <v/>
      </c>
      <c r="F61" t="str">
        <f t="shared" si="6"/>
        <v/>
      </c>
      <c r="G61" t="str">
        <f t="shared" si="7"/>
        <v/>
      </c>
      <c r="H61" t="str">
        <f t="shared" si="3"/>
        <v/>
      </c>
      <c r="I61" t="str">
        <f t="shared" si="4"/>
        <v/>
      </c>
    </row>
    <row r="62" spans="1:9" hidden="1">
      <c r="A62" t="s">
        <v>674</v>
      </c>
      <c r="B62" t="str">
        <f t="shared" si="0"/>
        <v>Biblioteka Publiczna m. st. Warszawy</v>
      </c>
      <c r="C62" t="str">
        <f t="shared" si="5"/>
        <v/>
      </c>
      <c r="D62" t="str">
        <f t="shared" si="1"/>
        <v/>
      </c>
      <c r="E62" t="str">
        <f t="shared" si="2"/>
        <v/>
      </c>
      <c r="F62" t="str">
        <f t="shared" si="6"/>
        <v/>
      </c>
      <c r="G62" t="str">
        <f t="shared" si="7"/>
        <v/>
      </c>
      <c r="H62" t="str">
        <f t="shared" si="3"/>
        <v/>
      </c>
      <c r="I62" t="str">
        <f t="shared" si="4"/>
        <v/>
      </c>
    </row>
    <row r="63" spans="1:9" hidden="1">
      <c r="A63" t="s">
        <v>675</v>
      </c>
      <c r="B63" t="str">
        <f t="shared" si="0"/>
        <v>Biblioteka Publiczna m. st. Warszawy</v>
      </c>
      <c r="C63" t="str">
        <f t="shared" si="5"/>
        <v/>
      </c>
      <c r="D63" t="str">
        <f t="shared" si="1"/>
        <v/>
      </c>
      <c r="E63" t="str">
        <f t="shared" si="2"/>
        <v/>
      </c>
      <c r="F63" t="str">
        <f t="shared" si="6"/>
        <v/>
      </c>
      <c r="G63" t="str">
        <f t="shared" si="7"/>
        <v/>
      </c>
      <c r="H63" t="str">
        <f t="shared" si="3"/>
        <v/>
      </c>
      <c r="I63" t="str">
        <f t="shared" si="4"/>
        <v/>
      </c>
    </row>
    <row r="64" spans="1:9" hidden="1">
      <c r="A64" t="s">
        <v>676</v>
      </c>
      <c r="B64" t="str">
        <f t="shared" si="0"/>
        <v>Biblioteka Publiczna m. st. Warszawy</v>
      </c>
      <c r="C64" t="str">
        <f t="shared" si="5"/>
        <v/>
      </c>
      <c r="D64" t="str">
        <f t="shared" si="1"/>
        <v/>
      </c>
      <c r="E64" t="str">
        <f t="shared" si="2"/>
        <v/>
      </c>
      <c r="F64" t="str">
        <f t="shared" si="6"/>
        <v/>
      </c>
      <c r="G64" t="str">
        <f t="shared" si="7"/>
        <v/>
      </c>
      <c r="H64" t="str">
        <f t="shared" si="3"/>
        <v/>
      </c>
      <c r="I64" t="str">
        <f t="shared" si="4"/>
        <v/>
      </c>
    </row>
    <row r="65" spans="1:9">
      <c r="A65" t="s">
        <v>677</v>
      </c>
      <c r="B65" t="str">
        <f t="shared" si="0"/>
        <v>Opolskie</v>
      </c>
      <c r="C65" t="str">
        <f t="shared" si="5"/>
        <v>Wojewódzka Biblioteka Publiczna w Opolu</v>
      </c>
      <c r="D65" t="str">
        <f t="shared" si="1"/>
        <v>ul. Piastowska 20, 45-081 Opole</v>
      </c>
      <c r="E65" t="str">
        <f t="shared" si="2"/>
        <v>koordynatorzy: Łukasz Brudnik, Kamilla Wójt</v>
      </c>
      <c r="F65" t="str">
        <f t="shared" si="6"/>
        <v xml:space="preserve"> 77 40 66 425, </v>
      </c>
      <c r="G65" t="str">
        <f t="shared" si="7"/>
        <v>l.brudnik@wbp.opole.pl, k.wojt@wbp.opole.pl</v>
      </c>
      <c r="H65" t="str">
        <f t="shared" si="3"/>
        <v/>
      </c>
      <c r="I65" t="str">
        <f t="shared" si="4"/>
        <v/>
      </c>
    </row>
    <row r="66" spans="1:9" hidden="1">
      <c r="A66" t="s">
        <v>678</v>
      </c>
      <c r="B66" t="str">
        <f t="shared" ref="B66:B129" si="8">+IF(AND(C66&gt;"",ISERR(FIND("DKK",A65))),A65,B65)</f>
        <v>Opolskie</v>
      </c>
      <c r="C66" t="str">
        <f t="shared" ref="C66:C129" si="9">IF(ISERR(FIND($C$1,A66,1)),"",A66)</f>
        <v/>
      </c>
      <c r="D66" t="str">
        <f t="shared" ref="D66:D129" si="10">IF(C66&gt;"",A67,"")</f>
        <v/>
      </c>
      <c r="E66" t="str">
        <f t="shared" ref="E66:E129" si="11">IF(C66&gt;"",A68,"")</f>
        <v/>
      </c>
      <c r="F66" t="str">
        <f t="shared" si="6"/>
        <v/>
      </c>
      <c r="G66" t="str">
        <f t="shared" si="7"/>
        <v/>
      </c>
      <c r="H66" t="str">
        <f t="shared" ref="H66:H129" si="12">IF(E66&gt;"",IF(ISERR(FIND("DKK",A72)),"",A72),"")</f>
        <v/>
      </c>
      <c r="I66" t="str">
        <f t="shared" ref="I66:I129" si="13">IF(E66&gt;"",IF(ISERR(FIND("DKK",A73)),"",A73),"")</f>
        <v/>
      </c>
    </row>
    <row r="67" spans="1:9" hidden="1">
      <c r="A67" t="s">
        <v>679</v>
      </c>
      <c r="B67" t="str">
        <f t="shared" si="8"/>
        <v>Opolskie</v>
      </c>
      <c r="C67" t="str">
        <f t="shared" si="9"/>
        <v/>
      </c>
      <c r="D67" t="str">
        <f t="shared" si="10"/>
        <v/>
      </c>
      <c r="E67" t="str">
        <f t="shared" si="11"/>
        <v/>
      </c>
      <c r="F67" t="str">
        <f t="shared" ref="F67:F130" si="14">IF(C67&gt;"",MID(A71,FIND("tel.",A71)+5,15),"")</f>
        <v/>
      </c>
      <c r="G67" t="str">
        <f t="shared" ref="G67:G130" si="15">IF(E67&gt;"",MID(A70,FIND("mail:",A70)+6,100),"")</f>
        <v/>
      </c>
      <c r="H67" t="str">
        <f t="shared" si="12"/>
        <v/>
      </c>
      <c r="I67" t="str">
        <f t="shared" si="13"/>
        <v/>
      </c>
    </row>
    <row r="68" spans="1:9" hidden="1">
      <c r="A68" t="s">
        <v>680</v>
      </c>
      <c r="B68" t="str">
        <f t="shared" si="8"/>
        <v>Opolskie</v>
      </c>
      <c r="C68" t="str">
        <f t="shared" si="9"/>
        <v/>
      </c>
      <c r="D68" t="str">
        <f t="shared" si="10"/>
        <v/>
      </c>
      <c r="E68" t="str">
        <f t="shared" si="11"/>
        <v/>
      </c>
      <c r="F68" t="str">
        <f t="shared" si="14"/>
        <v/>
      </c>
      <c r="G68" t="str">
        <f t="shared" si="15"/>
        <v/>
      </c>
      <c r="H68" t="str">
        <f t="shared" si="12"/>
        <v/>
      </c>
      <c r="I68" t="str">
        <f t="shared" si="13"/>
        <v/>
      </c>
    </row>
    <row r="69" spans="1:9" hidden="1">
      <c r="A69" t="s">
        <v>681</v>
      </c>
      <c r="B69" t="str">
        <f t="shared" si="8"/>
        <v>Opolskie</v>
      </c>
      <c r="C69" t="str">
        <f t="shared" si="9"/>
        <v/>
      </c>
      <c r="D69" t="str">
        <f t="shared" si="10"/>
        <v/>
      </c>
      <c r="E69" t="str">
        <f t="shared" si="11"/>
        <v/>
      </c>
      <c r="F69" t="str">
        <f t="shared" si="14"/>
        <v/>
      </c>
      <c r="G69" t="str">
        <f t="shared" si="15"/>
        <v/>
      </c>
      <c r="H69" t="str">
        <f t="shared" si="12"/>
        <v/>
      </c>
      <c r="I69" t="str">
        <f t="shared" si="13"/>
        <v/>
      </c>
    </row>
    <row r="70" spans="1:9" hidden="1">
      <c r="A70" t="s">
        <v>682</v>
      </c>
      <c r="B70" t="str">
        <f t="shared" si="8"/>
        <v>Opolskie</v>
      </c>
      <c r="C70" t="str">
        <f t="shared" si="9"/>
        <v/>
      </c>
      <c r="D70" t="str">
        <f t="shared" si="10"/>
        <v/>
      </c>
      <c r="E70" t="str">
        <f t="shared" si="11"/>
        <v/>
      </c>
      <c r="F70" t="str">
        <f t="shared" si="14"/>
        <v/>
      </c>
      <c r="G70" t="str">
        <f t="shared" si="15"/>
        <v/>
      </c>
      <c r="H70" t="str">
        <f t="shared" si="12"/>
        <v/>
      </c>
      <c r="I70" t="str">
        <f t="shared" si="13"/>
        <v/>
      </c>
    </row>
    <row r="71" spans="1:9" hidden="1">
      <c r="A71" t="s">
        <v>683</v>
      </c>
      <c r="B71" t="str">
        <f t="shared" si="8"/>
        <v>Opolskie</v>
      </c>
      <c r="C71" t="str">
        <f t="shared" si="9"/>
        <v/>
      </c>
      <c r="D71" t="str">
        <f t="shared" si="10"/>
        <v/>
      </c>
      <c r="E71" t="str">
        <f t="shared" si="11"/>
        <v/>
      </c>
      <c r="F71" t="str">
        <f t="shared" si="14"/>
        <v/>
      </c>
      <c r="G71" t="str">
        <f t="shared" si="15"/>
        <v/>
      </c>
      <c r="H71" t="str">
        <f t="shared" si="12"/>
        <v/>
      </c>
      <c r="I71" t="str">
        <f t="shared" si="13"/>
        <v/>
      </c>
    </row>
    <row r="72" spans="1:9">
      <c r="A72" t="s">
        <v>684</v>
      </c>
      <c r="B72" t="str">
        <f t="shared" si="8"/>
        <v>Podkarpackie</v>
      </c>
      <c r="C72" t="str">
        <f t="shared" si="9"/>
        <v>Wojewódzka i Miejska Biblioteka Publiczna w Rzeszowie</v>
      </c>
      <c r="D72" t="str">
        <f t="shared" si="10"/>
        <v>ul. Sokoła 13, 35-010 Rzeszów</v>
      </c>
      <c r="E72" t="str">
        <f t="shared" si="11"/>
        <v>koordynator: Małgorzata Augustyn</v>
      </c>
      <c r="F72" t="str">
        <f t="shared" si="14"/>
        <v xml:space="preserve"> 17 866 94 23</v>
      </c>
      <c r="G72" t="str">
        <f t="shared" si="15"/>
        <v>augustyn@wimbp.rzeszow.pl</v>
      </c>
      <c r="H72" t="str">
        <f t="shared" si="12"/>
        <v/>
      </c>
      <c r="I72" t="str">
        <f t="shared" si="13"/>
        <v/>
      </c>
    </row>
    <row r="73" spans="1:9" hidden="1">
      <c r="A73" t="s">
        <v>685</v>
      </c>
      <c r="B73" t="str">
        <f t="shared" si="8"/>
        <v>Podkarpackie</v>
      </c>
      <c r="C73" t="str">
        <f t="shared" si="9"/>
        <v/>
      </c>
      <c r="D73" t="str">
        <f t="shared" si="10"/>
        <v/>
      </c>
      <c r="E73" t="str">
        <f t="shared" si="11"/>
        <v/>
      </c>
      <c r="F73" t="str">
        <f t="shared" si="14"/>
        <v/>
      </c>
      <c r="G73" t="str">
        <f t="shared" si="15"/>
        <v/>
      </c>
      <c r="H73" t="str">
        <f t="shared" si="12"/>
        <v/>
      </c>
      <c r="I73" t="str">
        <f t="shared" si="13"/>
        <v/>
      </c>
    </row>
    <row r="74" spans="1:9" hidden="1">
      <c r="A74" t="s">
        <v>686</v>
      </c>
      <c r="B74" t="str">
        <f t="shared" si="8"/>
        <v>Podkarpackie</v>
      </c>
      <c r="C74" t="str">
        <f t="shared" si="9"/>
        <v/>
      </c>
      <c r="D74" t="str">
        <f t="shared" si="10"/>
        <v/>
      </c>
      <c r="E74" t="str">
        <f t="shared" si="11"/>
        <v/>
      </c>
      <c r="F74" t="str">
        <f t="shared" si="14"/>
        <v/>
      </c>
      <c r="G74" t="str">
        <f t="shared" si="15"/>
        <v/>
      </c>
      <c r="H74" t="str">
        <f t="shared" si="12"/>
        <v/>
      </c>
      <c r="I74" t="str">
        <f t="shared" si="13"/>
        <v/>
      </c>
    </row>
    <row r="75" spans="1:9" hidden="1">
      <c r="A75" t="s">
        <v>687</v>
      </c>
      <c r="B75" t="str">
        <f t="shared" si="8"/>
        <v>Podkarpackie</v>
      </c>
      <c r="C75" t="str">
        <f t="shared" si="9"/>
        <v/>
      </c>
      <c r="D75" t="str">
        <f t="shared" si="10"/>
        <v/>
      </c>
      <c r="E75" t="str">
        <f t="shared" si="11"/>
        <v/>
      </c>
      <c r="F75" t="str">
        <f t="shared" si="14"/>
        <v/>
      </c>
      <c r="G75" t="str">
        <f t="shared" si="15"/>
        <v/>
      </c>
      <c r="H75" t="str">
        <f t="shared" si="12"/>
        <v/>
      </c>
      <c r="I75" t="str">
        <f t="shared" si="13"/>
        <v/>
      </c>
    </row>
    <row r="76" spans="1:9" hidden="1">
      <c r="A76" t="s">
        <v>688</v>
      </c>
      <c r="B76" t="str">
        <f t="shared" si="8"/>
        <v>Podkarpackie</v>
      </c>
      <c r="C76" t="str">
        <f t="shared" si="9"/>
        <v/>
      </c>
      <c r="D76" t="str">
        <f t="shared" si="10"/>
        <v/>
      </c>
      <c r="E76" t="str">
        <f t="shared" si="11"/>
        <v/>
      </c>
      <c r="F76" t="str">
        <f t="shared" si="14"/>
        <v/>
      </c>
      <c r="G76" t="str">
        <f t="shared" si="15"/>
        <v/>
      </c>
      <c r="H76" t="str">
        <f t="shared" si="12"/>
        <v/>
      </c>
      <c r="I76" t="str">
        <f t="shared" si="13"/>
        <v/>
      </c>
    </row>
    <row r="77" spans="1:9" hidden="1">
      <c r="A77" t="s">
        <v>689</v>
      </c>
      <c r="B77" t="str">
        <f t="shared" si="8"/>
        <v>Podkarpackie</v>
      </c>
      <c r="C77" t="str">
        <f t="shared" si="9"/>
        <v/>
      </c>
      <c r="D77" t="str">
        <f t="shared" si="10"/>
        <v/>
      </c>
      <c r="E77" t="str">
        <f t="shared" si="11"/>
        <v/>
      </c>
      <c r="F77" t="str">
        <f t="shared" si="14"/>
        <v/>
      </c>
      <c r="G77" t="str">
        <f t="shared" si="15"/>
        <v/>
      </c>
      <c r="H77" t="str">
        <f t="shared" si="12"/>
        <v/>
      </c>
      <c r="I77" t="str">
        <f t="shared" si="13"/>
        <v/>
      </c>
    </row>
    <row r="78" spans="1:9" hidden="1">
      <c r="A78" t="s">
        <v>690</v>
      </c>
      <c r="B78" t="str">
        <f t="shared" si="8"/>
        <v>Podkarpackie</v>
      </c>
      <c r="C78" t="str">
        <f t="shared" si="9"/>
        <v/>
      </c>
      <c r="D78" t="str">
        <f t="shared" si="10"/>
        <v/>
      </c>
      <c r="E78" t="str">
        <f t="shared" si="11"/>
        <v/>
      </c>
      <c r="F78" t="str">
        <f t="shared" si="14"/>
        <v/>
      </c>
      <c r="G78" t="str">
        <f t="shared" si="15"/>
        <v/>
      </c>
      <c r="H78" t="str">
        <f t="shared" si="12"/>
        <v/>
      </c>
      <c r="I78" t="str">
        <f t="shared" si="13"/>
        <v/>
      </c>
    </row>
    <row r="79" spans="1:9" hidden="1">
      <c r="A79" t="s">
        <v>691</v>
      </c>
      <c r="B79" t="str">
        <f t="shared" si="8"/>
        <v>Podkarpackie</v>
      </c>
      <c r="C79" t="str">
        <f t="shared" si="9"/>
        <v/>
      </c>
      <c r="D79" t="str">
        <f t="shared" si="10"/>
        <v/>
      </c>
      <c r="E79" t="str">
        <f t="shared" si="11"/>
        <v/>
      </c>
      <c r="F79" t="str">
        <f t="shared" si="14"/>
        <v/>
      </c>
      <c r="G79" t="str">
        <f t="shared" si="15"/>
        <v/>
      </c>
      <c r="H79" t="str">
        <f t="shared" si="12"/>
        <v/>
      </c>
      <c r="I79" t="str">
        <f t="shared" si="13"/>
        <v/>
      </c>
    </row>
    <row r="80" spans="1:9" hidden="1">
      <c r="A80" t="s">
        <v>692</v>
      </c>
      <c r="B80" t="str">
        <f t="shared" si="8"/>
        <v>Podkarpackie</v>
      </c>
      <c r="C80" t="str">
        <f t="shared" si="9"/>
        <v/>
      </c>
      <c r="D80" t="str">
        <f t="shared" si="10"/>
        <v/>
      </c>
      <c r="E80" t="str">
        <f t="shared" si="11"/>
        <v/>
      </c>
      <c r="F80" t="str">
        <f t="shared" si="14"/>
        <v/>
      </c>
      <c r="G80" t="str">
        <f t="shared" si="15"/>
        <v/>
      </c>
      <c r="H80" t="str">
        <f t="shared" si="12"/>
        <v/>
      </c>
      <c r="I80" t="str">
        <f t="shared" si="13"/>
        <v/>
      </c>
    </row>
    <row r="81" spans="1:9" hidden="1">
      <c r="A81" t="s">
        <v>693</v>
      </c>
      <c r="B81" t="str">
        <f t="shared" si="8"/>
        <v>Podkarpackie</v>
      </c>
      <c r="C81" t="str">
        <f t="shared" si="9"/>
        <v/>
      </c>
      <c r="D81" t="str">
        <f t="shared" si="10"/>
        <v/>
      </c>
      <c r="E81" t="str">
        <f t="shared" si="11"/>
        <v/>
      </c>
      <c r="F81" t="str">
        <f t="shared" si="14"/>
        <v/>
      </c>
      <c r="G81" t="str">
        <f t="shared" si="15"/>
        <v/>
      </c>
      <c r="H81" t="str">
        <f t="shared" si="12"/>
        <v/>
      </c>
      <c r="I81" t="str">
        <f t="shared" si="13"/>
        <v/>
      </c>
    </row>
    <row r="82" spans="1:9" hidden="1">
      <c r="A82" t="s">
        <v>694</v>
      </c>
      <c r="B82" t="str">
        <f t="shared" si="8"/>
        <v>Podkarpackie</v>
      </c>
      <c r="C82" t="str">
        <f t="shared" si="9"/>
        <v/>
      </c>
      <c r="D82" t="str">
        <f t="shared" si="10"/>
        <v/>
      </c>
      <c r="E82" t="str">
        <f t="shared" si="11"/>
        <v/>
      </c>
      <c r="F82" t="str">
        <f t="shared" si="14"/>
        <v/>
      </c>
      <c r="G82" t="str">
        <f t="shared" si="15"/>
        <v/>
      </c>
      <c r="H82" t="str">
        <f t="shared" si="12"/>
        <v/>
      </c>
      <c r="I82" t="str">
        <f t="shared" si="13"/>
        <v/>
      </c>
    </row>
    <row r="83" spans="1:9" hidden="1">
      <c r="A83" t="s">
        <v>695</v>
      </c>
      <c r="B83" t="str">
        <f t="shared" si="8"/>
        <v>Podkarpackie</v>
      </c>
      <c r="C83" t="str">
        <f t="shared" si="9"/>
        <v/>
      </c>
      <c r="D83" t="str">
        <f t="shared" si="10"/>
        <v/>
      </c>
      <c r="E83" t="str">
        <f t="shared" si="11"/>
        <v/>
      </c>
      <c r="F83" t="str">
        <f t="shared" si="14"/>
        <v/>
      </c>
      <c r="G83" t="str">
        <f t="shared" si="15"/>
        <v/>
      </c>
      <c r="H83" t="str">
        <f t="shared" si="12"/>
        <v/>
      </c>
      <c r="I83" t="str">
        <f t="shared" si="13"/>
        <v/>
      </c>
    </row>
    <row r="84" spans="1:9" hidden="1">
      <c r="A84" t="s">
        <v>696</v>
      </c>
      <c r="B84" t="str">
        <f t="shared" si="8"/>
        <v>Podkarpackie</v>
      </c>
      <c r="C84" t="str">
        <f t="shared" si="9"/>
        <v/>
      </c>
      <c r="D84" t="str">
        <f t="shared" si="10"/>
        <v/>
      </c>
      <c r="E84" t="str">
        <f t="shared" si="11"/>
        <v/>
      </c>
      <c r="F84" t="str">
        <f t="shared" si="14"/>
        <v/>
      </c>
      <c r="G84" t="str">
        <f t="shared" si="15"/>
        <v/>
      </c>
      <c r="H84" t="str">
        <f t="shared" si="12"/>
        <v/>
      </c>
      <c r="I84" t="str">
        <f t="shared" si="13"/>
        <v/>
      </c>
    </row>
    <row r="85" spans="1:9" hidden="1">
      <c r="A85" t="s">
        <v>697</v>
      </c>
      <c r="B85" t="str">
        <f t="shared" si="8"/>
        <v>Podkarpackie</v>
      </c>
      <c r="C85" t="str">
        <f t="shared" si="9"/>
        <v/>
      </c>
      <c r="D85" t="str">
        <f t="shared" si="10"/>
        <v/>
      </c>
      <c r="E85" t="str">
        <f t="shared" si="11"/>
        <v/>
      </c>
      <c r="F85" t="str">
        <f t="shared" si="14"/>
        <v/>
      </c>
      <c r="G85" t="str">
        <f t="shared" si="15"/>
        <v/>
      </c>
      <c r="H85" t="str">
        <f t="shared" si="12"/>
        <v/>
      </c>
      <c r="I85" t="str">
        <f t="shared" si="13"/>
        <v/>
      </c>
    </row>
    <row r="86" spans="1:9">
      <c r="A86" t="s">
        <v>698</v>
      </c>
      <c r="B86" t="str">
        <f t="shared" si="8"/>
        <v>Pomorskie</v>
      </c>
      <c r="C86" t="str">
        <f t="shared" si="9"/>
        <v>Wojewódzka i Miejska Biblioteka Publiczna w Gdańsku</v>
      </c>
      <c r="D86" t="str">
        <f t="shared" si="10"/>
        <v>Targ Rakowy 5/6, 80-806 Gdańsk</v>
      </c>
      <c r="E86" t="str">
        <f t="shared" si="11"/>
        <v>koordynatorzy: Monika Górecka, Karolina Prusik, Agnieszka Piłot</v>
      </c>
      <c r="F86" t="str">
        <f t="shared" si="14"/>
        <v xml:space="preserve"> 58 301 38 18</v>
      </c>
      <c r="G86" t="str">
        <f t="shared" si="15"/>
        <v>monika_gorecka@wbpg.org.pl</v>
      </c>
      <c r="H86" t="str">
        <f t="shared" si="12"/>
        <v/>
      </c>
      <c r="I86" t="str">
        <f t="shared" si="13"/>
        <v/>
      </c>
    </row>
    <row r="87" spans="1:9" hidden="1">
      <c r="A87" t="s">
        <v>699</v>
      </c>
      <c r="B87" t="str">
        <f t="shared" si="8"/>
        <v>Pomorskie</v>
      </c>
      <c r="C87" t="str">
        <f t="shared" si="9"/>
        <v/>
      </c>
      <c r="D87" t="str">
        <f t="shared" si="10"/>
        <v/>
      </c>
      <c r="E87" t="str">
        <f t="shared" si="11"/>
        <v/>
      </c>
      <c r="F87" t="str">
        <f t="shared" si="14"/>
        <v/>
      </c>
      <c r="G87" t="str">
        <f t="shared" si="15"/>
        <v/>
      </c>
      <c r="H87" t="str">
        <f t="shared" si="12"/>
        <v/>
      </c>
      <c r="I87" t="str">
        <f t="shared" si="13"/>
        <v/>
      </c>
    </row>
    <row r="88" spans="1:9" hidden="1">
      <c r="A88" t="s">
        <v>700</v>
      </c>
      <c r="B88" t="str">
        <f t="shared" si="8"/>
        <v>Pomorskie</v>
      </c>
      <c r="C88" t="str">
        <f t="shared" si="9"/>
        <v/>
      </c>
      <c r="D88" t="str">
        <f t="shared" si="10"/>
        <v/>
      </c>
      <c r="E88" t="str">
        <f t="shared" si="11"/>
        <v/>
      </c>
      <c r="F88" t="str">
        <f t="shared" si="14"/>
        <v/>
      </c>
      <c r="G88" t="str">
        <f t="shared" si="15"/>
        <v/>
      </c>
      <c r="H88" t="str">
        <f t="shared" si="12"/>
        <v/>
      </c>
      <c r="I88" t="str">
        <f t="shared" si="13"/>
        <v/>
      </c>
    </row>
    <row r="89" spans="1:9" hidden="1">
      <c r="A89" t="s">
        <v>701</v>
      </c>
      <c r="B89" t="str">
        <f t="shared" si="8"/>
        <v>Pomorskie</v>
      </c>
      <c r="C89" t="str">
        <f t="shared" si="9"/>
        <v/>
      </c>
      <c r="D89" t="str">
        <f t="shared" si="10"/>
        <v/>
      </c>
      <c r="E89" t="str">
        <f t="shared" si="11"/>
        <v/>
      </c>
      <c r="F89" t="str">
        <f t="shared" si="14"/>
        <v/>
      </c>
      <c r="G89" t="str">
        <f t="shared" si="15"/>
        <v/>
      </c>
      <c r="H89" t="str">
        <f t="shared" si="12"/>
        <v/>
      </c>
      <c r="I89" t="str">
        <f t="shared" si="13"/>
        <v/>
      </c>
    </row>
    <row r="90" spans="1:9" hidden="1">
      <c r="A90" t="s">
        <v>702</v>
      </c>
      <c r="B90" t="str">
        <f t="shared" si="8"/>
        <v>Pomorskie</v>
      </c>
      <c r="C90" t="str">
        <f t="shared" si="9"/>
        <v/>
      </c>
      <c r="D90" t="str">
        <f t="shared" si="10"/>
        <v/>
      </c>
      <c r="E90" t="str">
        <f t="shared" si="11"/>
        <v/>
      </c>
      <c r="F90" t="str">
        <f t="shared" si="14"/>
        <v/>
      </c>
      <c r="G90" t="str">
        <f t="shared" si="15"/>
        <v/>
      </c>
      <c r="H90" t="str">
        <f t="shared" si="12"/>
        <v/>
      </c>
      <c r="I90" t="str">
        <f t="shared" si="13"/>
        <v/>
      </c>
    </row>
    <row r="91" spans="1:9" hidden="1">
      <c r="A91" t="s">
        <v>703</v>
      </c>
      <c r="B91" t="str">
        <f t="shared" si="8"/>
        <v>Pomorskie</v>
      </c>
      <c r="C91" t="str">
        <f t="shared" si="9"/>
        <v/>
      </c>
      <c r="D91" t="str">
        <f t="shared" si="10"/>
        <v/>
      </c>
      <c r="E91" t="str">
        <f t="shared" si="11"/>
        <v/>
      </c>
      <c r="F91" t="str">
        <f t="shared" si="14"/>
        <v/>
      </c>
      <c r="G91" t="str">
        <f t="shared" si="15"/>
        <v/>
      </c>
      <c r="H91" t="str">
        <f t="shared" si="12"/>
        <v/>
      </c>
      <c r="I91" t="str">
        <f t="shared" si="13"/>
        <v/>
      </c>
    </row>
    <row r="92" spans="1:9" hidden="1">
      <c r="A92" t="s">
        <v>704</v>
      </c>
      <c r="B92" t="str">
        <f t="shared" si="8"/>
        <v>Pomorskie</v>
      </c>
      <c r="C92" t="str">
        <f t="shared" si="9"/>
        <v/>
      </c>
      <c r="D92" t="str">
        <f t="shared" si="10"/>
        <v/>
      </c>
      <c r="E92" t="str">
        <f t="shared" si="11"/>
        <v/>
      </c>
      <c r="F92" t="str">
        <f t="shared" si="14"/>
        <v/>
      </c>
      <c r="G92" t="str">
        <f t="shared" si="15"/>
        <v/>
      </c>
      <c r="H92" t="str">
        <f t="shared" si="12"/>
        <v/>
      </c>
      <c r="I92" t="str">
        <f t="shared" si="13"/>
        <v/>
      </c>
    </row>
    <row r="93" spans="1:9">
      <c r="A93" t="s">
        <v>705</v>
      </c>
      <c r="B93" t="str">
        <f t="shared" si="8"/>
        <v>Śląskie</v>
      </c>
      <c r="C93" t="str">
        <f t="shared" si="9"/>
        <v>Biblioteka Śląska</v>
      </c>
      <c r="D93" t="str">
        <f t="shared" si="10"/>
        <v>Plac Rady Europy 1, 40-021 Katowice</v>
      </c>
      <c r="E93" t="str">
        <f t="shared" si="11"/>
        <v>koordynatorzy: Magdalena Madejska, Lidia Przybylska</v>
      </c>
      <c r="F93" t="str">
        <f t="shared" si="14"/>
        <v>32 20 83 761</v>
      </c>
      <c r="G93" t="str">
        <f t="shared" si="15"/>
        <v>magdalena.madejska@bs.katowice.pl, lidia.przybylska@bs.katowice.pl</v>
      </c>
      <c r="H93" t="str">
        <f t="shared" si="12"/>
        <v/>
      </c>
      <c r="I93" t="str">
        <f t="shared" si="13"/>
        <v/>
      </c>
    </row>
    <row r="94" spans="1:9" hidden="1">
      <c r="A94" t="s">
        <v>706</v>
      </c>
      <c r="B94" t="str">
        <f t="shared" si="8"/>
        <v>Śląskie</v>
      </c>
      <c r="C94" t="str">
        <f t="shared" si="9"/>
        <v/>
      </c>
      <c r="D94" t="str">
        <f t="shared" si="10"/>
        <v/>
      </c>
      <c r="E94" t="str">
        <f t="shared" si="11"/>
        <v/>
      </c>
      <c r="F94" t="str">
        <f t="shared" si="14"/>
        <v/>
      </c>
      <c r="G94" t="str">
        <f t="shared" si="15"/>
        <v/>
      </c>
      <c r="H94" t="str">
        <f t="shared" si="12"/>
        <v/>
      </c>
      <c r="I94" t="str">
        <f t="shared" si="13"/>
        <v/>
      </c>
    </row>
    <row r="95" spans="1:9" hidden="1">
      <c r="A95" t="s">
        <v>707</v>
      </c>
      <c r="B95" t="str">
        <f t="shared" si="8"/>
        <v>Śląskie</v>
      </c>
      <c r="C95" t="str">
        <f t="shared" si="9"/>
        <v/>
      </c>
      <c r="D95" t="str">
        <f t="shared" si="10"/>
        <v/>
      </c>
      <c r="E95" t="str">
        <f t="shared" si="11"/>
        <v/>
      </c>
      <c r="F95" t="str">
        <f t="shared" si="14"/>
        <v/>
      </c>
      <c r="G95" t="str">
        <f t="shared" si="15"/>
        <v/>
      </c>
      <c r="H95" t="str">
        <f t="shared" si="12"/>
        <v/>
      </c>
      <c r="I95" t="str">
        <f t="shared" si="13"/>
        <v/>
      </c>
    </row>
    <row r="96" spans="1:9" hidden="1">
      <c r="A96" t="s">
        <v>708</v>
      </c>
      <c r="B96" t="str">
        <f t="shared" si="8"/>
        <v>Śląskie</v>
      </c>
      <c r="C96" t="str">
        <f t="shared" si="9"/>
        <v/>
      </c>
      <c r="D96" t="str">
        <f t="shared" si="10"/>
        <v/>
      </c>
      <c r="E96" t="str">
        <f t="shared" si="11"/>
        <v/>
      </c>
      <c r="F96" t="str">
        <f t="shared" si="14"/>
        <v/>
      </c>
      <c r="G96" t="str">
        <f t="shared" si="15"/>
        <v/>
      </c>
      <c r="H96" t="str">
        <f t="shared" si="12"/>
        <v/>
      </c>
      <c r="I96" t="str">
        <f t="shared" si="13"/>
        <v/>
      </c>
    </row>
    <row r="97" spans="1:9" hidden="1">
      <c r="A97" t="s">
        <v>709</v>
      </c>
      <c r="B97" t="str">
        <f t="shared" si="8"/>
        <v>Śląskie</v>
      </c>
      <c r="C97" t="str">
        <f t="shared" si="9"/>
        <v/>
      </c>
      <c r="D97" t="str">
        <f t="shared" si="10"/>
        <v/>
      </c>
      <c r="E97" t="str">
        <f t="shared" si="11"/>
        <v/>
      </c>
      <c r="F97" t="str">
        <f t="shared" si="14"/>
        <v/>
      </c>
      <c r="G97" t="str">
        <f t="shared" si="15"/>
        <v/>
      </c>
      <c r="H97" t="str">
        <f t="shared" si="12"/>
        <v/>
      </c>
      <c r="I97" t="str">
        <f t="shared" si="13"/>
        <v/>
      </c>
    </row>
    <row r="98" spans="1:9" hidden="1">
      <c r="A98" t="s">
        <v>710</v>
      </c>
      <c r="B98" t="str">
        <f t="shared" si="8"/>
        <v>Śląskie</v>
      </c>
      <c r="C98" t="str">
        <f t="shared" si="9"/>
        <v/>
      </c>
      <c r="D98" t="str">
        <f t="shared" si="10"/>
        <v/>
      </c>
      <c r="E98" t="str">
        <f t="shared" si="11"/>
        <v/>
      </c>
      <c r="F98" t="str">
        <f t="shared" si="14"/>
        <v/>
      </c>
      <c r="G98" t="str">
        <f t="shared" si="15"/>
        <v/>
      </c>
      <c r="H98" t="str">
        <f t="shared" si="12"/>
        <v/>
      </c>
      <c r="I98" t="str">
        <f t="shared" si="13"/>
        <v/>
      </c>
    </row>
    <row r="99" spans="1:9" hidden="1">
      <c r="A99" t="s">
        <v>711</v>
      </c>
      <c r="B99" t="str">
        <f t="shared" si="8"/>
        <v>Śląskie</v>
      </c>
      <c r="C99" t="str">
        <f t="shared" si="9"/>
        <v/>
      </c>
      <c r="D99" t="str">
        <f t="shared" si="10"/>
        <v/>
      </c>
      <c r="E99" t="str">
        <f t="shared" si="11"/>
        <v/>
      </c>
      <c r="F99" t="str">
        <f t="shared" si="14"/>
        <v/>
      </c>
      <c r="G99" t="str">
        <f t="shared" si="15"/>
        <v/>
      </c>
      <c r="H99" t="str">
        <f t="shared" si="12"/>
        <v/>
      </c>
      <c r="I99" t="str">
        <f t="shared" si="13"/>
        <v/>
      </c>
    </row>
    <row r="100" spans="1:9">
      <c r="A100" t="s">
        <v>712</v>
      </c>
      <c r="B100" t="str">
        <f t="shared" si="8"/>
        <v>Świętokrzyskie</v>
      </c>
      <c r="C100" t="str">
        <f t="shared" si="9"/>
        <v>Wojewódzka Biblioteka Publiczna w Kielcach</v>
      </c>
      <c r="D100" t="str">
        <f t="shared" si="10"/>
        <v>ul. Ściegiennego 13, 25-033 Kielce</v>
      </c>
      <c r="E100" t="str">
        <f t="shared" si="11"/>
        <v>koordynator: Małgorzata Winkler</v>
      </c>
      <c r="F100" t="str">
        <f t="shared" si="14"/>
        <v xml:space="preserve"> 41 361 53 51 w</v>
      </c>
      <c r="G100" t="str">
        <f t="shared" si="15"/>
        <v>instrukcyjny@wbp.kielce.pl, dkk@wbp.kielce.pl</v>
      </c>
      <c r="H100" t="str">
        <f t="shared" si="12"/>
        <v/>
      </c>
      <c r="I100" t="str">
        <f t="shared" si="13"/>
        <v/>
      </c>
    </row>
    <row r="101" spans="1:9" hidden="1">
      <c r="A101" t="s">
        <v>713</v>
      </c>
      <c r="B101" t="str">
        <f t="shared" si="8"/>
        <v>Świętokrzyskie</v>
      </c>
      <c r="C101" t="str">
        <f t="shared" si="9"/>
        <v/>
      </c>
      <c r="D101" t="str">
        <f t="shared" si="10"/>
        <v/>
      </c>
      <c r="E101" t="str">
        <f t="shared" si="11"/>
        <v/>
      </c>
      <c r="F101" t="str">
        <f t="shared" si="14"/>
        <v/>
      </c>
      <c r="G101" t="str">
        <f t="shared" si="15"/>
        <v/>
      </c>
      <c r="H101" t="str">
        <f t="shared" si="12"/>
        <v/>
      </c>
      <c r="I101" t="str">
        <f t="shared" si="13"/>
        <v/>
      </c>
    </row>
    <row r="102" spans="1:9" hidden="1">
      <c r="A102" t="s">
        <v>714</v>
      </c>
      <c r="B102" t="str">
        <f t="shared" si="8"/>
        <v>Świętokrzyskie</v>
      </c>
      <c r="C102" t="str">
        <f t="shared" si="9"/>
        <v/>
      </c>
      <c r="D102" t="str">
        <f t="shared" si="10"/>
        <v/>
      </c>
      <c r="E102" t="str">
        <f t="shared" si="11"/>
        <v/>
      </c>
      <c r="F102" t="str">
        <f t="shared" si="14"/>
        <v/>
      </c>
      <c r="G102" t="str">
        <f t="shared" si="15"/>
        <v/>
      </c>
      <c r="H102" t="str">
        <f t="shared" si="12"/>
        <v/>
      </c>
      <c r="I102" t="str">
        <f t="shared" si="13"/>
        <v/>
      </c>
    </row>
    <row r="103" spans="1:9" hidden="1">
      <c r="A103" t="s">
        <v>715</v>
      </c>
      <c r="B103" t="str">
        <f t="shared" si="8"/>
        <v>Świętokrzyskie</v>
      </c>
      <c r="C103" t="str">
        <f t="shared" si="9"/>
        <v/>
      </c>
      <c r="D103" t="str">
        <f t="shared" si="10"/>
        <v/>
      </c>
      <c r="E103" t="str">
        <f t="shared" si="11"/>
        <v/>
      </c>
      <c r="F103" t="str">
        <f t="shared" si="14"/>
        <v/>
      </c>
      <c r="G103" t="str">
        <f t="shared" si="15"/>
        <v/>
      </c>
      <c r="H103" t="str">
        <f t="shared" si="12"/>
        <v/>
      </c>
      <c r="I103" t="str">
        <f t="shared" si="13"/>
        <v/>
      </c>
    </row>
    <row r="104" spans="1:9" hidden="1">
      <c r="A104" t="s">
        <v>716</v>
      </c>
      <c r="B104" t="str">
        <f t="shared" si="8"/>
        <v>Świętokrzyskie</v>
      </c>
      <c r="C104" t="str">
        <f t="shared" si="9"/>
        <v/>
      </c>
      <c r="D104" t="str">
        <f t="shared" si="10"/>
        <v/>
      </c>
      <c r="E104" t="str">
        <f t="shared" si="11"/>
        <v/>
      </c>
      <c r="F104" t="str">
        <f t="shared" si="14"/>
        <v/>
      </c>
      <c r="G104" t="str">
        <f t="shared" si="15"/>
        <v/>
      </c>
      <c r="H104" t="str">
        <f t="shared" si="12"/>
        <v/>
      </c>
      <c r="I104" t="str">
        <f t="shared" si="13"/>
        <v/>
      </c>
    </row>
    <row r="105" spans="1:9" hidden="1">
      <c r="A105" t="s">
        <v>717</v>
      </c>
      <c r="B105" t="str">
        <f t="shared" si="8"/>
        <v>Świętokrzyskie</v>
      </c>
      <c r="C105" t="str">
        <f t="shared" si="9"/>
        <v/>
      </c>
      <c r="D105" t="str">
        <f t="shared" si="10"/>
        <v/>
      </c>
      <c r="E105" t="str">
        <f t="shared" si="11"/>
        <v/>
      </c>
      <c r="F105" t="str">
        <f t="shared" si="14"/>
        <v/>
      </c>
      <c r="G105" t="str">
        <f t="shared" si="15"/>
        <v/>
      </c>
      <c r="H105" t="str">
        <f t="shared" si="12"/>
        <v/>
      </c>
      <c r="I105" t="str">
        <f t="shared" si="13"/>
        <v/>
      </c>
    </row>
    <row r="106" spans="1:9" hidden="1">
      <c r="A106" t="s">
        <v>718</v>
      </c>
      <c r="B106" t="str">
        <f t="shared" si="8"/>
        <v>Świętokrzyskie</v>
      </c>
      <c r="C106" t="str">
        <f t="shared" si="9"/>
        <v/>
      </c>
      <c r="D106" t="str">
        <f t="shared" si="10"/>
        <v/>
      </c>
      <c r="E106" t="str">
        <f t="shared" si="11"/>
        <v/>
      </c>
      <c r="F106" t="str">
        <f t="shared" si="14"/>
        <v/>
      </c>
      <c r="G106" t="str">
        <f t="shared" si="15"/>
        <v/>
      </c>
      <c r="H106" t="str">
        <f t="shared" si="12"/>
        <v/>
      </c>
      <c r="I106" t="str">
        <f t="shared" si="13"/>
        <v/>
      </c>
    </row>
    <row r="107" spans="1:9">
      <c r="A107" t="s">
        <v>719</v>
      </c>
      <c r="B107" t="str">
        <f t="shared" si="8"/>
        <v>Warmińsko-mazurskie</v>
      </c>
      <c r="C107" t="str">
        <f t="shared" si="9"/>
        <v>Wojewódzka Biblioteka Publiczna w Olsztynie</v>
      </c>
      <c r="D107" t="str">
        <f t="shared" si="10"/>
        <v>ul. 1 Maja 5, 10-117 Olsztyn</v>
      </c>
      <c r="E107" t="str">
        <f t="shared" si="11"/>
        <v>koordynatorzy: Adrianna Walendziak, Elżbieta Maruszczak</v>
      </c>
      <c r="F107" t="str">
        <f t="shared" si="14"/>
        <v xml:space="preserve"> 89 524 90 37</v>
      </c>
      <c r="G107" t="str">
        <f t="shared" si="15"/>
        <v>wspolpraca@wbp.olsztyn.pl</v>
      </c>
      <c r="H107" t="str">
        <f t="shared" si="12"/>
        <v/>
      </c>
      <c r="I107" t="str">
        <f t="shared" si="13"/>
        <v/>
      </c>
    </row>
    <row r="108" spans="1:9" hidden="1">
      <c r="A108" t="s">
        <v>720</v>
      </c>
      <c r="B108" t="str">
        <f t="shared" si="8"/>
        <v>Warmińsko-mazurskie</v>
      </c>
      <c r="C108" t="str">
        <f t="shared" si="9"/>
        <v/>
      </c>
      <c r="D108" t="str">
        <f t="shared" si="10"/>
        <v/>
      </c>
      <c r="E108" t="str">
        <f t="shared" si="11"/>
        <v/>
      </c>
      <c r="F108" t="str">
        <f t="shared" si="14"/>
        <v/>
      </c>
      <c r="G108" t="str">
        <f t="shared" si="15"/>
        <v/>
      </c>
      <c r="H108" t="str">
        <f t="shared" si="12"/>
        <v/>
      </c>
      <c r="I108" t="str">
        <f t="shared" si="13"/>
        <v/>
      </c>
    </row>
    <row r="109" spans="1:9" hidden="1">
      <c r="A109" t="s">
        <v>721</v>
      </c>
      <c r="B109" t="str">
        <f t="shared" si="8"/>
        <v>Warmińsko-mazurskie</v>
      </c>
      <c r="C109" t="str">
        <f t="shared" si="9"/>
        <v/>
      </c>
      <c r="D109" t="str">
        <f t="shared" si="10"/>
        <v/>
      </c>
      <c r="E109" t="str">
        <f t="shared" si="11"/>
        <v/>
      </c>
      <c r="F109" t="str">
        <f t="shared" si="14"/>
        <v/>
      </c>
      <c r="G109" t="str">
        <f t="shared" si="15"/>
        <v/>
      </c>
      <c r="H109" t="str">
        <f t="shared" si="12"/>
        <v/>
      </c>
      <c r="I109" t="str">
        <f t="shared" si="13"/>
        <v/>
      </c>
    </row>
    <row r="110" spans="1:9" hidden="1">
      <c r="A110" t="s">
        <v>722</v>
      </c>
      <c r="B110" t="str">
        <f t="shared" si="8"/>
        <v>Warmińsko-mazurskie</v>
      </c>
      <c r="C110" t="str">
        <f t="shared" si="9"/>
        <v/>
      </c>
      <c r="D110" t="str">
        <f t="shared" si="10"/>
        <v/>
      </c>
      <c r="E110" t="str">
        <f t="shared" si="11"/>
        <v/>
      </c>
      <c r="F110" t="str">
        <f t="shared" si="14"/>
        <v/>
      </c>
      <c r="G110" t="str">
        <f t="shared" si="15"/>
        <v/>
      </c>
      <c r="H110" t="str">
        <f t="shared" si="12"/>
        <v/>
      </c>
      <c r="I110" t="str">
        <f t="shared" si="13"/>
        <v/>
      </c>
    </row>
    <row r="111" spans="1:9" hidden="1">
      <c r="A111" t="s">
        <v>723</v>
      </c>
      <c r="B111" t="str">
        <f t="shared" si="8"/>
        <v>Warmińsko-mazurskie</v>
      </c>
      <c r="C111" t="str">
        <f t="shared" si="9"/>
        <v/>
      </c>
      <c r="D111" t="str">
        <f t="shared" si="10"/>
        <v/>
      </c>
      <c r="E111" t="str">
        <f t="shared" si="11"/>
        <v/>
      </c>
      <c r="F111" t="str">
        <f t="shared" si="14"/>
        <v/>
      </c>
      <c r="G111" t="str">
        <f t="shared" si="15"/>
        <v/>
      </c>
      <c r="H111" t="str">
        <f t="shared" si="12"/>
        <v/>
      </c>
      <c r="I111" t="str">
        <f t="shared" si="13"/>
        <v/>
      </c>
    </row>
    <row r="112" spans="1:9" hidden="1">
      <c r="A112" t="s">
        <v>724</v>
      </c>
      <c r="B112" t="str">
        <f t="shared" si="8"/>
        <v>Warmińsko-mazurskie</v>
      </c>
      <c r="C112" t="str">
        <f t="shared" si="9"/>
        <v/>
      </c>
      <c r="D112" t="str">
        <f t="shared" si="10"/>
        <v/>
      </c>
      <c r="E112" t="str">
        <f t="shared" si="11"/>
        <v/>
      </c>
      <c r="F112" t="str">
        <f t="shared" si="14"/>
        <v/>
      </c>
      <c r="G112" t="str">
        <f t="shared" si="15"/>
        <v/>
      </c>
      <c r="H112" t="str">
        <f t="shared" si="12"/>
        <v/>
      </c>
      <c r="I112" t="str">
        <f t="shared" si="13"/>
        <v/>
      </c>
    </row>
    <row r="113" spans="1:9" hidden="1">
      <c r="A113" t="s">
        <v>725</v>
      </c>
      <c r="B113" t="str">
        <f t="shared" si="8"/>
        <v>Warmińsko-mazurskie</v>
      </c>
      <c r="C113" t="str">
        <f t="shared" si="9"/>
        <v/>
      </c>
      <c r="D113" t="str">
        <f t="shared" si="10"/>
        <v/>
      </c>
      <c r="E113" t="str">
        <f t="shared" si="11"/>
        <v/>
      </c>
      <c r="F113" t="str">
        <f t="shared" si="14"/>
        <v/>
      </c>
      <c r="G113" t="str">
        <f t="shared" si="15"/>
        <v/>
      </c>
      <c r="H113" t="str">
        <f t="shared" si="12"/>
        <v/>
      </c>
      <c r="I113" t="str">
        <f t="shared" si="13"/>
        <v/>
      </c>
    </row>
    <row r="114" spans="1:9">
      <c r="A114" t="s">
        <v>726</v>
      </c>
      <c r="B114" t="str">
        <f t="shared" si="8"/>
        <v>Wielkopolskie</v>
      </c>
      <c r="C114" t="str">
        <f t="shared" si="9"/>
        <v>Wojewódzka Biblioteka Publiczna i Centrum Animacji Kultury</v>
      </c>
      <c r="D114" t="str">
        <f t="shared" si="10"/>
        <v>ul. B. Prusa 3, 60- 819 Poznań</v>
      </c>
      <c r="E114" t="str">
        <f t="shared" si="11"/>
        <v>koordynatorzy: Anna Sabiłło, Małgorzata Bochińska</v>
      </c>
      <c r="F114" t="str">
        <f t="shared" si="14"/>
        <v xml:space="preserve"> 61 664 08 62</v>
      </c>
      <c r="G114" t="str">
        <f t="shared" si="15"/>
        <v>dkk@wbp.poznan.pl</v>
      </c>
      <c r="H114" t="str">
        <f t="shared" si="12"/>
        <v/>
      </c>
      <c r="I114" t="str">
        <f t="shared" si="13"/>
        <v/>
      </c>
    </row>
    <row r="115" spans="1:9" hidden="1">
      <c r="A115" t="s">
        <v>727</v>
      </c>
      <c r="B115" t="str">
        <f t="shared" si="8"/>
        <v>Wielkopolskie</v>
      </c>
      <c r="C115" t="str">
        <f t="shared" si="9"/>
        <v/>
      </c>
      <c r="D115" t="str">
        <f t="shared" si="10"/>
        <v/>
      </c>
      <c r="E115" t="str">
        <f t="shared" si="11"/>
        <v/>
      </c>
      <c r="F115" t="str">
        <f t="shared" si="14"/>
        <v/>
      </c>
      <c r="G115" t="str">
        <f t="shared" si="15"/>
        <v/>
      </c>
      <c r="H115" t="str">
        <f t="shared" si="12"/>
        <v/>
      </c>
      <c r="I115" t="str">
        <f t="shared" si="13"/>
        <v/>
      </c>
    </row>
    <row r="116" spans="1:9" hidden="1">
      <c r="A116" t="s">
        <v>728</v>
      </c>
      <c r="B116" t="str">
        <f t="shared" si="8"/>
        <v>Wielkopolskie</v>
      </c>
      <c r="C116" t="str">
        <f t="shared" si="9"/>
        <v/>
      </c>
      <c r="D116" t="str">
        <f t="shared" si="10"/>
        <v/>
      </c>
      <c r="E116" t="str">
        <f t="shared" si="11"/>
        <v/>
      </c>
      <c r="F116" t="str">
        <f t="shared" si="14"/>
        <v/>
      </c>
      <c r="G116" t="str">
        <f t="shared" si="15"/>
        <v/>
      </c>
      <c r="H116" t="str">
        <f t="shared" si="12"/>
        <v/>
      </c>
      <c r="I116" t="str">
        <f t="shared" si="13"/>
        <v/>
      </c>
    </row>
    <row r="117" spans="1:9" hidden="1">
      <c r="A117" t="s">
        <v>729</v>
      </c>
      <c r="B117" t="str">
        <f t="shared" si="8"/>
        <v>Wielkopolskie</v>
      </c>
      <c r="C117" t="str">
        <f t="shared" si="9"/>
        <v/>
      </c>
      <c r="D117" t="str">
        <f t="shared" si="10"/>
        <v/>
      </c>
      <c r="E117" t="str">
        <f t="shared" si="11"/>
        <v/>
      </c>
      <c r="F117" t="str">
        <f t="shared" si="14"/>
        <v/>
      </c>
      <c r="G117" t="str">
        <f t="shared" si="15"/>
        <v/>
      </c>
      <c r="H117" t="str">
        <f t="shared" si="12"/>
        <v/>
      </c>
      <c r="I117" t="str">
        <f t="shared" si="13"/>
        <v/>
      </c>
    </row>
    <row r="118" spans="1:9" hidden="1">
      <c r="A118" t="s">
        <v>730</v>
      </c>
      <c r="B118" t="str">
        <f t="shared" si="8"/>
        <v>Wielkopolskie</v>
      </c>
      <c r="C118" t="str">
        <f t="shared" si="9"/>
        <v/>
      </c>
      <c r="D118" t="str">
        <f t="shared" si="10"/>
        <v/>
      </c>
      <c r="E118" t="str">
        <f t="shared" si="11"/>
        <v/>
      </c>
      <c r="F118" t="str">
        <f t="shared" si="14"/>
        <v/>
      </c>
      <c r="G118" t="str">
        <f t="shared" si="15"/>
        <v/>
      </c>
      <c r="H118" t="str">
        <f t="shared" si="12"/>
        <v/>
      </c>
      <c r="I118" t="str">
        <f t="shared" si="13"/>
        <v/>
      </c>
    </row>
    <row r="119" spans="1:9" hidden="1">
      <c r="A119" t="s">
        <v>731</v>
      </c>
      <c r="B119" t="str">
        <f t="shared" si="8"/>
        <v>Wielkopolskie</v>
      </c>
      <c r="C119" t="str">
        <f t="shared" si="9"/>
        <v/>
      </c>
      <c r="D119" t="str">
        <f t="shared" si="10"/>
        <v/>
      </c>
      <c r="E119" t="str">
        <f t="shared" si="11"/>
        <v/>
      </c>
      <c r="F119" t="str">
        <f t="shared" si="14"/>
        <v/>
      </c>
      <c r="G119" t="str">
        <f t="shared" si="15"/>
        <v/>
      </c>
      <c r="H119" t="str">
        <f t="shared" si="12"/>
        <v/>
      </c>
      <c r="I119" t="str">
        <f t="shared" si="13"/>
        <v/>
      </c>
    </row>
    <row r="120" spans="1:9" hidden="1">
      <c r="A120" t="s">
        <v>732</v>
      </c>
      <c r="B120" t="str">
        <f t="shared" si="8"/>
        <v>Wielkopolskie</v>
      </c>
      <c r="C120" t="str">
        <f t="shared" si="9"/>
        <v/>
      </c>
      <c r="D120" t="str">
        <f t="shared" si="10"/>
        <v/>
      </c>
      <c r="E120" t="str">
        <f t="shared" si="11"/>
        <v/>
      </c>
      <c r="F120" t="str">
        <f t="shared" si="14"/>
        <v/>
      </c>
      <c r="G120" t="str">
        <f t="shared" si="15"/>
        <v/>
      </c>
      <c r="H120" t="str">
        <f t="shared" si="12"/>
        <v/>
      </c>
      <c r="I120" t="str">
        <f t="shared" si="13"/>
        <v/>
      </c>
    </row>
    <row r="121" spans="1:9" hidden="1">
      <c r="A121" t="s">
        <v>733</v>
      </c>
      <c r="B121" t="str">
        <f t="shared" si="8"/>
        <v>Wielkopolskie</v>
      </c>
      <c r="C121" t="str">
        <f t="shared" si="9"/>
        <v/>
      </c>
      <c r="D121" t="str">
        <f t="shared" si="10"/>
        <v/>
      </c>
      <c r="E121" t="str">
        <f t="shared" si="11"/>
        <v/>
      </c>
      <c r="F121" t="str">
        <f t="shared" si="14"/>
        <v/>
      </c>
      <c r="G121" t="str">
        <f t="shared" si="15"/>
        <v/>
      </c>
      <c r="H121" t="str">
        <f t="shared" si="12"/>
        <v/>
      </c>
      <c r="I121" t="str">
        <f t="shared" si="13"/>
        <v/>
      </c>
    </row>
    <row r="122" spans="1:9" hidden="1">
      <c r="A122" t="s">
        <v>734</v>
      </c>
      <c r="B122" t="str">
        <f t="shared" si="8"/>
        <v>Wielkopolskie</v>
      </c>
      <c r="C122" t="str">
        <f t="shared" si="9"/>
        <v/>
      </c>
      <c r="D122" t="str">
        <f t="shared" si="10"/>
        <v/>
      </c>
      <c r="E122" t="str">
        <f t="shared" si="11"/>
        <v/>
      </c>
      <c r="F122" t="str">
        <f t="shared" si="14"/>
        <v/>
      </c>
      <c r="G122" t="str">
        <f t="shared" si="15"/>
        <v/>
      </c>
      <c r="H122" t="str">
        <f t="shared" si="12"/>
        <v/>
      </c>
      <c r="I122" t="str">
        <f t="shared" si="13"/>
        <v/>
      </c>
    </row>
    <row r="123" spans="1:9" hidden="1">
      <c r="A123" t="s">
        <v>735</v>
      </c>
      <c r="B123" t="str">
        <f t="shared" si="8"/>
        <v>Wielkopolskie</v>
      </c>
      <c r="C123" t="str">
        <f t="shared" si="9"/>
        <v/>
      </c>
      <c r="D123" t="str">
        <f t="shared" si="10"/>
        <v/>
      </c>
      <c r="E123" t="str">
        <f t="shared" si="11"/>
        <v/>
      </c>
      <c r="F123" t="str">
        <f t="shared" si="14"/>
        <v/>
      </c>
      <c r="G123" t="str">
        <f t="shared" si="15"/>
        <v/>
      </c>
      <c r="H123" t="str">
        <f t="shared" si="12"/>
        <v/>
      </c>
      <c r="I123" t="str">
        <f t="shared" si="13"/>
        <v/>
      </c>
    </row>
    <row r="124" spans="1:9" hidden="1">
      <c r="A124" t="s">
        <v>736</v>
      </c>
      <c r="B124" t="str">
        <f t="shared" si="8"/>
        <v>Wielkopolskie</v>
      </c>
      <c r="C124" t="str">
        <f t="shared" si="9"/>
        <v/>
      </c>
      <c r="D124" t="str">
        <f t="shared" si="10"/>
        <v/>
      </c>
      <c r="E124" t="str">
        <f t="shared" si="11"/>
        <v/>
      </c>
      <c r="F124" t="str">
        <f t="shared" si="14"/>
        <v/>
      </c>
      <c r="G124" t="str">
        <f t="shared" si="15"/>
        <v/>
      </c>
      <c r="H124" t="str">
        <f t="shared" si="12"/>
        <v/>
      </c>
      <c r="I124" t="str">
        <f t="shared" si="13"/>
        <v/>
      </c>
    </row>
    <row r="125" spans="1:9" hidden="1">
      <c r="A125" t="s">
        <v>737</v>
      </c>
      <c r="B125" t="str">
        <f t="shared" si="8"/>
        <v>Wielkopolskie</v>
      </c>
      <c r="C125" t="str">
        <f t="shared" si="9"/>
        <v/>
      </c>
      <c r="D125" t="str">
        <f t="shared" si="10"/>
        <v/>
      </c>
      <c r="E125" t="str">
        <f t="shared" si="11"/>
        <v/>
      </c>
      <c r="F125" t="str">
        <f t="shared" si="14"/>
        <v/>
      </c>
      <c r="G125" t="str">
        <f t="shared" si="15"/>
        <v/>
      </c>
      <c r="H125" t="str">
        <f t="shared" si="12"/>
        <v/>
      </c>
      <c r="I125" t="str">
        <f t="shared" si="13"/>
        <v/>
      </c>
    </row>
    <row r="126" spans="1:9" hidden="1">
      <c r="A126" t="s">
        <v>738</v>
      </c>
      <c r="B126" t="str">
        <f t="shared" si="8"/>
        <v>Wielkopolskie</v>
      </c>
      <c r="C126" t="str">
        <f t="shared" si="9"/>
        <v/>
      </c>
      <c r="D126" t="str">
        <f t="shared" si="10"/>
        <v/>
      </c>
      <c r="E126" t="str">
        <f t="shared" si="11"/>
        <v/>
      </c>
      <c r="F126" t="str">
        <f t="shared" si="14"/>
        <v/>
      </c>
      <c r="G126" t="str">
        <f t="shared" si="15"/>
        <v/>
      </c>
      <c r="H126" t="str">
        <f t="shared" si="12"/>
        <v/>
      </c>
      <c r="I126" t="str">
        <f t="shared" si="13"/>
        <v/>
      </c>
    </row>
    <row r="127" spans="1:9" hidden="1">
      <c r="B127" t="str">
        <f t="shared" si="8"/>
        <v>Wielkopolskie</v>
      </c>
      <c r="C127" t="str">
        <f t="shared" si="9"/>
        <v/>
      </c>
      <c r="D127" t="str">
        <f t="shared" si="10"/>
        <v/>
      </c>
      <c r="E127" t="str">
        <f t="shared" si="11"/>
        <v/>
      </c>
      <c r="F127" t="str">
        <f t="shared" si="14"/>
        <v/>
      </c>
      <c r="G127" t="str">
        <f t="shared" si="15"/>
        <v/>
      </c>
      <c r="H127" t="str">
        <f t="shared" si="12"/>
        <v/>
      </c>
      <c r="I127" t="str">
        <f t="shared" si="13"/>
        <v/>
      </c>
    </row>
    <row r="128" spans="1:9" hidden="1">
      <c r="B128" t="str">
        <f t="shared" si="8"/>
        <v>Wielkopolskie</v>
      </c>
      <c r="C128" t="str">
        <f t="shared" si="9"/>
        <v/>
      </c>
      <c r="D128" t="str">
        <f t="shared" si="10"/>
        <v/>
      </c>
      <c r="E128" t="str">
        <f t="shared" si="11"/>
        <v/>
      </c>
      <c r="F128" t="str">
        <f t="shared" si="14"/>
        <v/>
      </c>
      <c r="G128" t="str">
        <f t="shared" si="15"/>
        <v/>
      </c>
      <c r="H128" t="str">
        <f t="shared" si="12"/>
        <v/>
      </c>
      <c r="I128" t="str">
        <f t="shared" si="13"/>
        <v/>
      </c>
    </row>
    <row r="129" spans="2:9" hidden="1">
      <c r="B129" t="str">
        <f t="shared" si="8"/>
        <v>Wielkopolskie</v>
      </c>
      <c r="C129" t="str">
        <f t="shared" si="9"/>
        <v/>
      </c>
      <c r="D129" t="str">
        <f t="shared" si="10"/>
        <v/>
      </c>
      <c r="E129" t="str">
        <f t="shared" si="11"/>
        <v/>
      </c>
      <c r="F129" t="str">
        <f t="shared" si="14"/>
        <v/>
      </c>
      <c r="G129" t="str">
        <f t="shared" si="15"/>
        <v/>
      </c>
      <c r="H129" t="str">
        <f t="shared" si="12"/>
        <v/>
      </c>
      <c r="I129" t="str">
        <f t="shared" si="13"/>
        <v/>
      </c>
    </row>
    <row r="130" spans="2:9" hidden="1">
      <c r="B130" t="str">
        <f t="shared" ref="B130:B193" si="16">+IF(AND(C130&gt;"",ISERR(FIND("DKK",A129))),A129,B129)</f>
        <v>Wielkopolskie</v>
      </c>
      <c r="C130" t="str">
        <f t="shared" ref="C130:C193" si="17">IF(ISERR(FIND($C$1,A130,1)),"",A130)</f>
        <v/>
      </c>
      <c r="D130" t="str">
        <f t="shared" ref="D130:D193" si="18">IF(C130&gt;"",A131,"")</f>
        <v/>
      </c>
      <c r="E130" t="str">
        <f t="shared" ref="E130:E193" si="19">IF(C130&gt;"",A132,"")</f>
        <v/>
      </c>
      <c r="F130" t="str">
        <f t="shared" si="14"/>
        <v/>
      </c>
      <c r="G130" t="str">
        <f t="shared" si="15"/>
        <v/>
      </c>
      <c r="H130" t="str">
        <f t="shared" ref="H130:H193" si="20">IF(E130&gt;"",IF(ISERR(FIND("DKK",A136)),"",A136),"")</f>
        <v/>
      </c>
      <c r="I130" t="str">
        <f t="shared" ref="I130:I193" si="21">IF(E130&gt;"",IF(ISERR(FIND("DKK",A137)),"",A137),"")</f>
        <v/>
      </c>
    </row>
    <row r="131" spans="2:9" hidden="1">
      <c r="B131" t="str">
        <f t="shared" si="16"/>
        <v>Wielkopolskie</v>
      </c>
      <c r="C131" t="str">
        <f t="shared" si="17"/>
        <v/>
      </c>
      <c r="D131" t="str">
        <f t="shared" si="18"/>
        <v/>
      </c>
      <c r="E131" t="str">
        <f t="shared" si="19"/>
        <v/>
      </c>
      <c r="F131" t="str">
        <f t="shared" ref="F131:F194" si="22">IF(C131&gt;"",MID(A135,FIND("tel.",A135)+5,15),"")</f>
        <v/>
      </c>
      <c r="G131" t="str">
        <f t="shared" ref="G131:G194" si="23">IF(E131&gt;"",MID(A134,FIND("mail:",A134)+6,100),"")</f>
        <v/>
      </c>
      <c r="H131" t="str">
        <f t="shared" si="20"/>
        <v/>
      </c>
      <c r="I131" t="str">
        <f t="shared" si="21"/>
        <v/>
      </c>
    </row>
    <row r="132" spans="2:9" hidden="1">
      <c r="B132" t="str">
        <f t="shared" si="16"/>
        <v>Wielkopolskie</v>
      </c>
      <c r="C132" t="str">
        <f t="shared" si="17"/>
        <v/>
      </c>
      <c r="D132" t="str">
        <f t="shared" si="18"/>
        <v/>
      </c>
      <c r="E132" t="str">
        <f t="shared" si="19"/>
        <v/>
      </c>
      <c r="F132" t="str">
        <f t="shared" si="22"/>
        <v/>
      </c>
      <c r="G132" t="str">
        <f t="shared" si="23"/>
        <v/>
      </c>
      <c r="H132" t="str">
        <f t="shared" si="20"/>
        <v/>
      </c>
      <c r="I132" t="str">
        <f t="shared" si="21"/>
        <v/>
      </c>
    </row>
    <row r="133" spans="2:9" hidden="1">
      <c r="B133" t="str">
        <f t="shared" si="16"/>
        <v>Wielkopolskie</v>
      </c>
      <c r="C133" t="str">
        <f t="shared" si="17"/>
        <v/>
      </c>
      <c r="D133" t="str">
        <f t="shared" si="18"/>
        <v/>
      </c>
      <c r="E133" t="str">
        <f t="shared" si="19"/>
        <v/>
      </c>
      <c r="F133" t="str">
        <f t="shared" si="22"/>
        <v/>
      </c>
      <c r="G133" t="str">
        <f t="shared" si="23"/>
        <v/>
      </c>
      <c r="H133" t="str">
        <f t="shared" si="20"/>
        <v/>
      </c>
      <c r="I133" t="str">
        <f t="shared" si="21"/>
        <v/>
      </c>
    </row>
    <row r="134" spans="2:9" hidden="1">
      <c r="B134" t="str">
        <f t="shared" si="16"/>
        <v>Wielkopolskie</v>
      </c>
      <c r="C134" t="str">
        <f t="shared" si="17"/>
        <v/>
      </c>
      <c r="D134" t="str">
        <f t="shared" si="18"/>
        <v/>
      </c>
      <c r="E134" t="str">
        <f t="shared" si="19"/>
        <v/>
      </c>
      <c r="F134" t="str">
        <f t="shared" si="22"/>
        <v/>
      </c>
      <c r="G134" t="str">
        <f t="shared" si="23"/>
        <v/>
      </c>
      <c r="H134" t="str">
        <f t="shared" si="20"/>
        <v/>
      </c>
      <c r="I134" t="str">
        <f t="shared" si="21"/>
        <v/>
      </c>
    </row>
    <row r="135" spans="2:9" hidden="1">
      <c r="B135" t="str">
        <f t="shared" si="16"/>
        <v>Wielkopolskie</v>
      </c>
      <c r="C135" t="str">
        <f t="shared" si="17"/>
        <v/>
      </c>
      <c r="D135" t="str">
        <f t="shared" si="18"/>
        <v/>
      </c>
      <c r="E135" t="str">
        <f t="shared" si="19"/>
        <v/>
      </c>
      <c r="F135" t="str">
        <f t="shared" si="22"/>
        <v/>
      </c>
      <c r="G135" t="str">
        <f t="shared" si="23"/>
        <v/>
      </c>
      <c r="H135" t="str">
        <f t="shared" si="20"/>
        <v/>
      </c>
      <c r="I135" t="str">
        <f t="shared" si="21"/>
        <v/>
      </c>
    </row>
    <row r="136" spans="2:9" hidden="1">
      <c r="B136" t="str">
        <f t="shared" si="16"/>
        <v>Wielkopolskie</v>
      </c>
      <c r="C136" t="str">
        <f t="shared" si="17"/>
        <v/>
      </c>
      <c r="D136" t="str">
        <f t="shared" si="18"/>
        <v/>
      </c>
      <c r="E136" t="str">
        <f t="shared" si="19"/>
        <v/>
      </c>
      <c r="F136" t="str">
        <f t="shared" si="22"/>
        <v/>
      </c>
      <c r="G136" t="str">
        <f t="shared" si="23"/>
        <v/>
      </c>
      <c r="H136" t="str">
        <f t="shared" si="20"/>
        <v/>
      </c>
      <c r="I136" t="str">
        <f t="shared" si="21"/>
        <v/>
      </c>
    </row>
    <row r="137" spans="2:9" hidden="1">
      <c r="B137" t="str">
        <f t="shared" si="16"/>
        <v>Wielkopolskie</v>
      </c>
      <c r="C137" t="str">
        <f t="shared" si="17"/>
        <v/>
      </c>
      <c r="D137" t="str">
        <f t="shared" si="18"/>
        <v/>
      </c>
      <c r="E137" t="str">
        <f t="shared" si="19"/>
        <v/>
      </c>
      <c r="F137" t="str">
        <f t="shared" si="22"/>
        <v/>
      </c>
      <c r="G137" t="str">
        <f t="shared" si="23"/>
        <v/>
      </c>
      <c r="H137" t="str">
        <f t="shared" si="20"/>
        <v/>
      </c>
      <c r="I137" t="str">
        <f t="shared" si="21"/>
        <v/>
      </c>
    </row>
    <row r="138" spans="2:9" hidden="1">
      <c r="B138" t="str">
        <f t="shared" si="16"/>
        <v>Wielkopolskie</v>
      </c>
      <c r="C138" t="str">
        <f t="shared" si="17"/>
        <v/>
      </c>
      <c r="D138" t="str">
        <f t="shared" si="18"/>
        <v/>
      </c>
      <c r="E138" t="str">
        <f t="shared" si="19"/>
        <v/>
      </c>
      <c r="F138" t="str">
        <f t="shared" si="22"/>
        <v/>
      </c>
      <c r="G138" t="str">
        <f t="shared" si="23"/>
        <v/>
      </c>
      <c r="H138" t="str">
        <f t="shared" si="20"/>
        <v/>
      </c>
      <c r="I138" t="str">
        <f t="shared" si="21"/>
        <v/>
      </c>
    </row>
    <row r="139" spans="2:9" hidden="1">
      <c r="B139" t="str">
        <f t="shared" si="16"/>
        <v>Wielkopolskie</v>
      </c>
      <c r="C139" t="str">
        <f t="shared" si="17"/>
        <v/>
      </c>
      <c r="D139" t="str">
        <f t="shared" si="18"/>
        <v/>
      </c>
      <c r="E139" t="str">
        <f t="shared" si="19"/>
        <v/>
      </c>
      <c r="F139" t="str">
        <f t="shared" si="22"/>
        <v/>
      </c>
      <c r="G139" t="str">
        <f t="shared" si="23"/>
        <v/>
      </c>
      <c r="H139" t="str">
        <f t="shared" si="20"/>
        <v/>
      </c>
      <c r="I139" t="str">
        <f t="shared" si="21"/>
        <v/>
      </c>
    </row>
    <row r="140" spans="2:9" hidden="1">
      <c r="B140" t="str">
        <f t="shared" si="16"/>
        <v>Wielkopolskie</v>
      </c>
      <c r="C140" t="str">
        <f t="shared" si="17"/>
        <v/>
      </c>
      <c r="D140" t="str">
        <f t="shared" si="18"/>
        <v/>
      </c>
      <c r="E140" t="str">
        <f t="shared" si="19"/>
        <v/>
      </c>
      <c r="F140" t="str">
        <f t="shared" si="22"/>
        <v/>
      </c>
      <c r="G140" t="str">
        <f t="shared" si="23"/>
        <v/>
      </c>
      <c r="H140" t="str">
        <f t="shared" si="20"/>
        <v/>
      </c>
      <c r="I140" t="str">
        <f t="shared" si="21"/>
        <v/>
      </c>
    </row>
    <row r="141" spans="2:9" hidden="1">
      <c r="B141" t="str">
        <f t="shared" si="16"/>
        <v>Wielkopolskie</v>
      </c>
      <c r="C141" t="str">
        <f t="shared" si="17"/>
        <v/>
      </c>
      <c r="D141" t="str">
        <f t="shared" si="18"/>
        <v/>
      </c>
      <c r="E141" t="str">
        <f t="shared" si="19"/>
        <v/>
      </c>
      <c r="F141" t="str">
        <f t="shared" si="22"/>
        <v/>
      </c>
      <c r="G141" t="str">
        <f t="shared" si="23"/>
        <v/>
      </c>
      <c r="H141" t="str">
        <f t="shared" si="20"/>
        <v/>
      </c>
      <c r="I141" t="str">
        <f t="shared" si="21"/>
        <v/>
      </c>
    </row>
    <row r="142" spans="2:9" hidden="1">
      <c r="B142" t="str">
        <f t="shared" si="16"/>
        <v>Wielkopolskie</v>
      </c>
      <c r="C142" t="str">
        <f t="shared" si="17"/>
        <v/>
      </c>
      <c r="D142" t="str">
        <f t="shared" si="18"/>
        <v/>
      </c>
      <c r="E142" t="str">
        <f t="shared" si="19"/>
        <v/>
      </c>
      <c r="F142" t="str">
        <f t="shared" si="22"/>
        <v/>
      </c>
      <c r="G142" t="str">
        <f t="shared" si="23"/>
        <v/>
      </c>
      <c r="H142" t="str">
        <f t="shared" si="20"/>
        <v/>
      </c>
      <c r="I142" t="str">
        <f t="shared" si="21"/>
        <v/>
      </c>
    </row>
    <row r="143" spans="2:9" hidden="1">
      <c r="B143" t="str">
        <f t="shared" si="16"/>
        <v>Wielkopolskie</v>
      </c>
      <c r="C143" t="str">
        <f t="shared" si="17"/>
        <v/>
      </c>
      <c r="D143" t="str">
        <f t="shared" si="18"/>
        <v/>
      </c>
      <c r="E143" t="str">
        <f t="shared" si="19"/>
        <v/>
      </c>
      <c r="F143" t="str">
        <f t="shared" si="22"/>
        <v/>
      </c>
      <c r="G143" t="str">
        <f t="shared" si="23"/>
        <v/>
      </c>
      <c r="H143" t="str">
        <f t="shared" si="20"/>
        <v/>
      </c>
      <c r="I143" t="str">
        <f t="shared" si="21"/>
        <v/>
      </c>
    </row>
    <row r="144" spans="2:9" hidden="1">
      <c r="B144" t="str">
        <f t="shared" si="16"/>
        <v>Wielkopolskie</v>
      </c>
      <c r="C144" t="str">
        <f t="shared" si="17"/>
        <v/>
      </c>
      <c r="D144" t="str">
        <f t="shared" si="18"/>
        <v/>
      </c>
      <c r="E144" t="str">
        <f t="shared" si="19"/>
        <v/>
      </c>
      <c r="F144" t="str">
        <f t="shared" si="22"/>
        <v/>
      </c>
      <c r="G144" t="str">
        <f t="shared" si="23"/>
        <v/>
      </c>
      <c r="H144" t="str">
        <f t="shared" si="20"/>
        <v/>
      </c>
      <c r="I144" t="str">
        <f t="shared" si="21"/>
        <v/>
      </c>
    </row>
    <row r="145" spans="2:9" hidden="1">
      <c r="B145" t="str">
        <f t="shared" si="16"/>
        <v>Wielkopolskie</v>
      </c>
      <c r="C145" t="str">
        <f t="shared" si="17"/>
        <v/>
      </c>
      <c r="D145" t="str">
        <f t="shared" si="18"/>
        <v/>
      </c>
      <c r="E145" t="str">
        <f t="shared" si="19"/>
        <v/>
      </c>
      <c r="F145" t="str">
        <f t="shared" si="22"/>
        <v/>
      </c>
      <c r="G145" t="str">
        <f t="shared" si="23"/>
        <v/>
      </c>
      <c r="H145" t="str">
        <f t="shared" si="20"/>
        <v/>
      </c>
      <c r="I145" t="str">
        <f t="shared" si="21"/>
        <v/>
      </c>
    </row>
    <row r="146" spans="2:9" hidden="1">
      <c r="B146" t="str">
        <f t="shared" si="16"/>
        <v>Wielkopolskie</v>
      </c>
      <c r="C146" t="str">
        <f t="shared" si="17"/>
        <v/>
      </c>
      <c r="D146" t="str">
        <f t="shared" si="18"/>
        <v/>
      </c>
      <c r="E146" t="str">
        <f t="shared" si="19"/>
        <v/>
      </c>
      <c r="F146" t="str">
        <f t="shared" si="22"/>
        <v/>
      </c>
      <c r="G146" t="str">
        <f t="shared" si="23"/>
        <v/>
      </c>
      <c r="H146" t="str">
        <f t="shared" si="20"/>
        <v/>
      </c>
      <c r="I146" t="str">
        <f t="shared" si="21"/>
        <v/>
      </c>
    </row>
    <row r="147" spans="2:9" hidden="1">
      <c r="B147" t="str">
        <f t="shared" si="16"/>
        <v>Wielkopolskie</v>
      </c>
      <c r="C147" t="str">
        <f t="shared" si="17"/>
        <v/>
      </c>
      <c r="D147" t="str">
        <f t="shared" si="18"/>
        <v/>
      </c>
      <c r="E147" t="str">
        <f t="shared" si="19"/>
        <v/>
      </c>
      <c r="F147" t="str">
        <f t="shared" si="22"/>
        <v/>
      </c>
      <c r="G147" t="str">
        <f t="shared" si="23"/>
        <v/>
      </c>
      <c r="H147" t="str">
        <f t="shared" si="20"/>
        <v/>
      </c>
      <c r="I147" t="str">
        <f t="shared" si="21"/>
        <v/>
      </c>
    </row>
    <row r="148" spans="2:9" hidden="1">
      <c r="B148" t="str">
        <f t="shared" si="16"/>
        <v>Wielkopolskie</v>
      </c>
      <c r="C148" t="str">
        <f t="shared" si="17"/>
        <v/>
      </c>
      <c r="D148" t="str">
        <f t="shared" si="18"/>
        <v/>
      </c>
      <c r="E148" t="str">
        <f t="shared" si="19"/>
        <v/>
      </c>
      <c r="F148" t="str">
        <f t="shared" si="22"/>
        <v/>
      </c>
      <c r="G148" t="str">
        <f t="shared" si="23"/>
        <v/>
      </c>
      <c r="H148" t="str">
        <f t="shared" si="20"/>
        <v/>
      </c>
      <c r="I148" t="str">
        <f t="shared" si="21"/>
        <v/>
      </c>
    </row>
    <row r="149" spans="2:9" hidden="1">
      <c r="B149" t="str">
        <f t="shared" si="16"/>
        <v>Wielkopolskie</v>
      </c>
      <c r="C149" t="str">
        <f t="shared" si="17"/>
        <v/>
      </c>
      <c r="D149" t="str">
        <f t="shared" si="18"/>
        <v/>
      </c>
      <c r="E149" t="str">
        <f t="shared" si="19"/>
        <v/>
      </c>
      <c r="F149" t="str">
        <f t="shared" si="22"/>
        <v/>
      </c>
      <c r="G149" t="str">
        <f t="shared" si="23"/>
        <v/>
      </c>
      <c r="H149" t="str">
        <f t="shared" si="20"/>
        <v/>
      </c>
      <c r="I149" t="str">
        <f t="shared" si="21"/>
        <v/>
      </c>
    </row>
    <row r="150" spans="2:9" hidden="1">
      <c r="B150" t="str">
        <f t="shared" si="16"/>
        <v>Wielkopolskie</v>
      </c>
      <c r="C150" t="str">
        <f t="shared" si="17"/>
        <v/>
      </c>
      <c r="D150" t="str">
        <f t="shared" si="18"/>
        <v/>
      </c>
      <c r="E150" t="str">
        <f t="shared" si="19"/>
        <v/>
      </c>
      <c r="F150" t="str">
        <f t="shared" si="22"/>
        <v/>
      </c>
      <c r="G150" t="str">
        <f t="shared" si="23"/>
        <v/>
      </c>
      <c r="H150" t="str">
        <f t="shared" si="20"/>
        <v/>
      </c>
      <c r="I150" t="str">
        <f t="shared" si="21"/>
        <v/>
      </c>
    </row>
    <row r="151" spans="2:9" hidden="1">
      <c r="B151" t="str">
        <f t="shared" si="16"/>
        <v>Wielkopolskie</v>
      </c>
      <c r="C151" t="str">
        <f t="shared" si="17"/>
        <v/>
      </c>
      <c r="D151" t="str">
        <f t="shared" si="18"/>
        <v/>
      </c>
      <c r="E151" t="str">
        <f t="shared" si="19"/>
        <v/>
      </c>
      <c r="F151" t="str">
        <f t="shared" si="22"/>
        <v/>
      </c>
      <c r="G151" t="str">
        <f t="shared" si="23"/>
        <v/>
      </c>
      <c r="H151" t="str">
        <f t="shared" si="20"/>
        <v/>
      </c>
      <c r="I151" t="str">
        <f t="shared" si="21"/>
        <v/>
      </c>
    </row>
    <row r="152" spans="2:9" hidden="1">
      <c r="B152" t="str">
        <f t="shared" si="16"/>
        <v>Wielkopolskie</v>
      </c>
      <c r="C152" t="str">
        <f t="shared" si="17"/>
        <v/>
      </c>
      <c r="D152" t="str">
        <f t="shared" si="18"/>
        <v/>
      </c>
      <c r="E152" t="str">
        <f t="shared" si="19"/>
        <v/>
      </c>
      <c r="F152" t="str">
        <f t="shared" si="22"/>
        <v/>
      </c>
      <c r="G152" t="str">
        <f t="shared" si="23"/>
        <v/>
      </c>
      <c r="H152" t="str">
        <f t="shared" si="20"/>
        <v/>
      </c>
      <c r="I152" t="str">
        <f t="shared" si="21"/>
        <v/>
      </c>
    </row>
    <row r="153" spans="2:9" hidden="1">
      <c r="B153" t="str">
        <f t="shared" si="16"/>
        <v>Wielkopolskie</v>
      </c>
      <c r="C153" t="str">
        <f t="shared" si="17"/>
        <v/>
      </c>
      <c r="D153" t="str">
        <f t="shared" si="18"/>
        <v/>
      </c>
      <c r="E153" t="str">
        <f t="shared" si="19"/>
        <v/>
      </c>
      <c r="F153" t="str">
        <f t="shared" si="22"/>
        <v/>
      </c>
      <c r="G153" t="str">
        <f t="shared" si="23"/>
        <v/>
      </c>
      <c r="H153" t="str">
        <f t="shared" si="20"/>
        <v/>
      </c>
      <c r="I153" t="str">
        <f t="shared" si="21"/>
        <v/>
      </c>
    </row>
    <row r="154" spans="2:9" hidden="1">
      <c r="B154" t="str">
        <f t="shared" si="16"/>
        <v>Wielkopolskie</v>
      </c>
      <c r="C154" t="str">
        <f t="shared" si="17"/>
        <v/>
      </c>
      <c r="D154" t="str">
        <f t="shared" si="18"/>
        <v/>
      </c>
      <c r="E154" t="str">
        <f t="shared" si="19"/>
        <v/>
      </c>
      <c r="F154" t="str">
        <f t="shared" si="22"/>
        <v/>
      </c>
      <c r="G154" t="str">
        <f t="shared" si="23"/>
        <v/>
      </c>
      <c r="H154" t="str">
        <f t="shared" si="20"/>
        <v/>
      </c>
      <c r="I154" t="str">
        <f t="shared" si="21"/>
        <v/>
      </c>
    </row>
    <row r="155" spans="2:9" hidden="1">
      <c r="B155" t="str">
        <f t="shared" si="16"/>
        <v>Wielkopolskie</v>
      </c>
      <c r="C155" t="str">
        <f t="shared" si="17"/>
        <v/>
      </c>
      <c r="D155" t="str">
        <f t="shared" si="18"/>
        <v/>
      </c>
      <c r="E155" t="str">
        <f t="shared" si="19"/>
        <v/>
      </c>
      <c r="F155" t="str">
        <f t="shared" si="22"/>
        <v/>
      </c>
      <c r="G155" t="str">
        <f t="shared" si="23"/>
        <v/>
      </c>
      <c r="H155" t="str">
        <f t="shared" si="20"/>
        <v/>
      </c>
      <c r="I155" t="str">
        <f t="shared" si="21"/>
        <v/>
      </c>
    </row>
    <row r="156" spans="2:9" hidden="1">
      <c r="B156" t="str">
        <f t="shared" si="16"/>
        <v>Wielkopolskie</v>
      </c>
      <c r="C156" t="str">
        <f t="shared" si="17"/>
        <v/>
      </c>
      <c r="D156" t="str">
        <f t="shared" si="18"/>
        <v/>
      </c>
      <c r="E156" t="str">
        <f t="shared" si="19"/>
        <v/>
      </c>
      <c r="F156" t="str">
        <f t="shared" si="22"/>
        <v/>
      </c>
      <c r="G156" t="str">
        <f t="shared" si="23"/>
        <v/>
      </c>
      <c r="H156" t="str">
        <f t="shared" si="20"/>
        <v/>
      </c>
      <c r="I156" t="str">
        <f t="shared" si="21"/>
        <v/>
      </c>
    </row>
    <row r="157" spans="2:9" hidden="1">
      <c r="B157" t="str">
        <f t="shared" si="16"/>
        <v>Wielkopolskie</v>
      </c>
      <c r="C157" t="str">
        <f t="shared" si="17"/>
        <v/>
      </c>
      <c r="D157" t="str">
        <f t="shared" si="18"/>
        <v/>
      </c>
      <c r="E157" t="str">
        <f t="shared" si="19"/>
        <v/>
      </c>
      <c r="F157" t="str">
        <f t="shared" si="22"/>
        <v/>
      </c>
      <c r="G157" t="str">
        <f t="shared" si="23"/>
        <v/>
      </c>
      <c r="H157" t="str">
        <f t="shared" si="20"/>
        <v/>
      </c>
      <c r="I157" t="str">
        <f t="shared" si="21"/>
        <v/>
      </c>
    </row>
    <row r="158" spans="2:9" hidden="1">
      <c r="B158" t="str">
        <f t="shared" si="16"/>
        <v>Wielkopolskie</v>
      </c>
      <c r="C158" t="str">
        <f t="shared" si="17"/>
        <v/>
      </c>
      <c r="D158" t="str">
        <f t="shared" si="18"/>
        <v/>
      </c>
      <c r="E158" t="str">
        <f t="shared" si="19"/>
        <v/>
      </c>
      <c r="F158" t="str">
        <f t="shared" si="22"/>
        <v/>
      </c>
      <c r="G158" t="str">
        <f t="shared" si="23"/>
        <v/>
      </c>
      <c r="H158" t="str">
        <f t="shared" si="20"/>
        <v/>
      </c>
      <c r="I158" t="str">
        <f t="shared" si="21"/>
        <v/>
      </c>
    </row>
    <row r="159" spans="2:9" hidden="1">
      <c r="B159" t="str">
        <f t="shared" si="16"/>
        <v>Wielkopolskie</v>
      </c>
      <c r="C159" t="str">
        <f t="shared" si="17"/>
        <v/>
      </c>
      <c r="D159" t="str">
        <f t="shared" si="18"/>
        <v/>
      </c>
      <c r="E159" t="str">
        <f t="shared" si="19"/>
        <v/>
      </c>
      <c r="F159" t="str">
        <f t="shared" si="22"/>
        <v/>
      </c>
      <c r="G159" t="str">
        <f t="shared" si="23"/>
        <v/>
      </c>
      <c r="H159" t="str">
        <f t="shared" si="20"/>
        <v/>
      </c>
      <c r="I159" t="str">
        <f t="shared" si="21"/>
        <v/>
      </c>
    </row>
    <row r="160" spans="2:9" hidden="1">
      <c r="B160" t="str">
        <f t="shared" si="16"/>
        <v>Wielkopolskie</v>
      </c>
      <c r="C160" t="str">
        <f t="shared" si="17"/>
        <v/>
      </c>
      <c r="D160" t="str">
        <f t="shared" si="18"/>
        <v/>
      </c>
      <c r="E160" t="str">
        <f t="shared" si="19"/>
        <v/>
      </c>
      <c r="F160" t="str">
        <f t="shared" si="22"/>
        <v/>
      </c>
      <c r="G160" t="str">
        <f t="shared" si="23"/>
        <v/>
      </c>
      <c r="H160" t="str">
        <f t="shared" si="20"/>
        <v/>
      </c>
      <c r="I160" t="str">
        <f t="shared" si="21"/>
        <v/>
      </c>
    </row>
    <row r="161" spans="2:9" hidden="1">
      <c r="B161" t="str">
        <f t="shared" si="16"/>
        <v>Wielkopolskie</v>
      </c>
      <c r="C161" t="str">
        <f t="shared" si="17"/>
        <v/>
      </c>
      <c r="D161" t="str">
        <f t="shared" si="18"/>
        <v/>
      </c>
      <c r="E161" t="str">
        <f t="shared" si="19"/>
        <v/>
      </c>
      <c r="F161" t="str">
        <f t="shared" si="22"/>
        <v/>
      </c>
      <c r="G161" t="str">
        <f t="shared" si="23"/>
        <v/>
      </c>
      <c r="H161" t="str">
        <f t="shared" si="20"/>
        <v/>
      </c>
      <c r="I161" t="str">
        <f t="shared" si="21"/>
        <v/>
      </c>
    </row>
    <row r="162" spans="2:9" hidden="1">
      <c r="B162" t="str">
        <f t="shared" si="16"/>
        <v>Wielkopolskie</v>
      </c>
      <c r="C162" t="str">
        <f t="shared" si="17"/>
        <v/>
      </c>
      <c r="D162" t="str">
        <f t="shared" si="18"/>
        <v/>
      </c>
      <c r="E162" t="str">
        <f t="shared" si="19"/>
        <v/>
      </c>
      <c r="F162" t="str">
        <f t="shared" si="22"/>
        <v/>
      </c>
      <c r="G162" t="str">
        <f t="shared" si="23"/>
        <v/>
      </c>
      <c r="H162" t="str">
        <f t="shared" si="20"/>
        <v/>
      </c>
      <c r="I162" t="str">
        <f t="shared" si="21"/>
        <v/>
      </c>
    </row>
    <row r="163" spans="2:9" hidden="1">
      <c r="B163" t="str">
        <f t="shared" si="16"/>
        <v>Wielkopolskie</v>
      </c>
      <c r="C163" t="str">
        <f t="shared" si="17"/>
        <v/>
      </c>
      <c r="D163" t="str">
        <f t="shared" si="18"/>
        <v/>
      </c>
      <c r="E163" t="str">
        <f t="shared" si="19"/>
        <v/>
      </c>
      <c r="F163" t="str">
        <f t="shared" si="22"/>
        <v/>
      </c>
      <c r="G163" t="str">
        <f t="shared" si="23"/>
        <v/>
      </c>
      <c r="H163" t="str">
        <f t="shared" si="20"/>
        <v/>
      </c>
      <c r="I163" t="str">
        <f t="shared" si="21"/>
        <v/>
      </c>
    </row>
    <row r="164" spans="2:9" hidden="1">
      <c r="B164" t="str">
        <f t="shared" si="16"/>
        <v>Wielkopolskie</v>
      </c>
      <c r="C164" t="str">
        <f t="shared" si="17"/>
        <v/>
      </c>
      <c r="D164" t="str">
        <f t="shared" si="18"/>
        <v/>
      </c>
      <c r="E164" t="str">
        <f t="shared" si="19"/>
        <v/>
      </c>
      <c r="F164" t="str">
        <f t="shared" si="22"/>
        <v/>
      </c>
      <c r="G164" t="str">
        <f t="shared" si="23"/>
        <v/>
      </c>
      <c r="H164" t="str">
        <f t="shared" si="20"/>
        <v/>
      </c>
      <c r="I164" t="str">
        <f t="shared" si="21"/>
        <v/>
      </c>
    </row>
    <row r="165" spans="2:9" hidden="1">
      <c r="B165" t="str">
        <f t="shared" si="16"/>
        <v>Wielkopolskie</v>
      </c>
      <c r="C165" t="str">
        <f t="shared" si="17"/>
        <v/>
      </c>
      <c r="D165" t="str">
        <f t="shared" si="18"/>
        <v/>
      </c>
      <c r="E165" t="str">
        <f t="shared" si="19"/>
        <v/>
      </c>
      <c r="F165" t="str">
        <f t="shared" si="22"/>
        <v/>
      </c>
      <c r="G165" t="str">
        <f t="shared" si="23"/>
        <v/>
      </c>
      <c r="H165" t="str">
        <f t="shared" si="20"/>
        <v/>
      </c>
      <c r="I165" t="str">
        <f t="shared" si="21"/>
        <v/>
      </c>
    </row>
    <row r="166" spans="2:9" hidden="1">
      <c r="B166" t="str">
        <f t="shared" si="16"/>
        <v>Wielkopolskie</v>
      </c>
      <c r="C166" t="str">
        <f t="shared" si="17"/>
        <v/>
      </c>
      <c r="D166" t="str">
        <f t="shared" si="18"/>
        <v/>
      </c>
      <c r="E166" t="str">
        <f t="shared" si="19"/>
        <v/>
      </c>
      <c r="F166" t="str">
        <f t="shared" si="22"/>
        <v/>
      </c>
      <c r="G166" t="str">
        <f t="shared" si="23"/>
        <v/>
      </c>
      <c r="H166" t="str">
        <f t="shared" si="20"/>
        <v/>
      </c>
      <c r="I166" t="str">
        <f t="shared" si="21"/>
        <v/>
      </c>
    </row>
    <row r="167" spans="2:9" hidden="1">
      <c r="B167" t="str">
        <f t="shared" si="16"/>
        <v>Wielkopolskie</v>
      </c>
      <c r="C167" t="str">
        <f t="shared" si="17"/>
        <v/>
      </c>
      <c r="D167" t="str">
        <f t="shared" si="18"/>
        <v/>
      </c>
      <c r="E167" t="str">
        <f t="shared" si="19"/>
        <v/>
      </c>
      <c r="F167" t="str">
        <f t="shared" si="22"/>
        <v/>
      </c>
      <c r="G167" t="str">
        <f t="shared" si="23"/>
        <v/>
      </c>
      <c r="H167" t="str">
        <f t="shared" si="20"/>
        <v/>
      </c>
      <c r="I167" t="str">
        <f t="shared" si="21"/>
        <v/>
      </c>
    </row>
    <row r="168" spans="2:9" hidden="1">
      <c r="B168" t="str">
        <f t="shared" si="16"/>
        <v>Wielkopolskie</v>
      </c>
      <c r="C168" t="str">
        <f t="shared" si="17"/>
        <v/>
      </c>
      <c r="D168" t="str">
        <f t="shared" si="18"/>
        <v/>
      </c>
      <c r="E168" t="str">
        <f t="shared" si="19"/>
        <v/>
      </c>
      <c r="F168" t="str">
        <f t="shared" si="22"/>
        <v/>
      </c>
      <c r="G168" t="str">
        <f t="shared" si="23"/>
        <v/>
      </c>
      <c r="H168" t="str">
        <f t="shared" si="20"/>
        <v/>
      </c>
      <c r="I168" t="str">
        <f t="shared" si="21"/>
        <v/>
      </c>
    </row>
    <row r="169" spans="2:9" hidden="1">
      <c r="B169" t="str">
        <f t="shared" si="16"/>
        <v>Wielkopolskie</v>
      </c>
      <c r="C169" t="str">
        <f t="shared" si="17"/>
        <v/>
      </c>
      <c r="D169" t="str">
        <f t="shared" si="18"/>
        <v/>
      </c>
      <c r="E169" t="str">
        <f t="shared" si="19"/>
        <v/>
      </c>
      <c r="F169" t="str">
        <f t="shared" si="22"/>
        <v/>
      </c>
      <c r="G169" t="str">
        <f t="shared" si="23"/>
        <v/>
      </c>
      <c r="H169" t="str">
        <f t="shared" si="20"/>
        <v/>
      </c>
      <c r="I169" t="str">
        <f t="shared" si="21"/>
        <v/>
      </c>
    </row>
    <row r="170" spans="2:9" hidden="1">
      <c r="B170" t="str">
        <f t="shared" si="16"/>
        <v>Wielkopolskie</v>
      </c>
      <c r="C170" t="str">
        <f t="shared" si="17"/>
        <v/>
      </c>
      <c r="D170" t="str">
        <f t="shared" si="18"/>
        <v/>
      </c>
      <c r="E170" t="str">
        <f t="shared" si="19"/>
        <v/>
      </c>
      <c r="F170" t="str">
        <f t="shared" si="22"/>
        <v/>
      </c>
      <c r="G170" t="str">
        <f t="shared" si="23"/>
        <v/>
      </c>
      <c r="H170" t="str">
        <f t="shared" si="20"/>
        <v/>
      </c>
      <c r="I170" t="str">
        <f t="shared" si="21"/>
        <v/>
      </c>
    </row>
    <row r="171" spans="2:9" hidden="1">
      <c r="B171" t="str">
        <f t="shared" si="16"/>
        <v>Wielkopolskie</v>
      </c>
      <c r="C171" t="str">
        <f t="shared" si="17"/>
        <v/>
      </c>
      <c r="D171" t="str">
        <f t="shared" si="18"/>
        <v/>
      </c>
      <c r="E171" t="str">
        <f t="shared" si="19"/>
        <v/>
      </c>
      <c r="F171" t="str">
        <f t="shared" si="22"/>
        <v/>
      </c>
      <c r="G171" t="str">
        <f t="shared" si="23"/>
        <v/>
      </c>
      <c r="H171" t="str">
        <f t="shared" si="20"/>
        <v/>
      </c>
      <c r="I171" t="str">
        <f t="shared" si="21"/>
        <v/>
      </c>
    </row>
    <row r="172" spans="2:9" hidden="1">
      <c r="B172" t="str">
        <f t="shared" si="16"/>
        <v>Wielkopolskie</v>
      </c>
      <c r="C172" t="str">
        <f t="shared" si="17"/>
        <v/>
      </c>
      <c r="D172" t="str">
        <f t="shared" si="18"/>
        <v/>
      </c>
      <c r="E172" t="str">
        <f t="shared" si="19"/>
        <v/>
      </c>
      <c r="F172" t="str">
        <f t="shared" si="22"/>
        <v/>
      </c>
      <c r="G172" t="str">
        <f t="shared" si="23"/>
        <v/>
      </c>
      <c r="H172" t="str">
        <f t="shared" si="20"/>
        <v/>
      </c>
      <c r="I172" t="str">
        <f t="shared" si="21"/>
        <v/>
      </c>
    </row>
    <row r="173" spans="2:9" hidden="1">
      <c r="B173" t="str">
        <f t="shared" si="16"/>
        <v>Wielkopolskie</v>
      </c>
      <c r="C173" t="str">
        <f t="shared" si="17"/>
        <v/>
      </c>
      <c r="D173" t="str">
        <f t="shared" si="18"/>
        <v/>
      </c>
      <c r="E173" t="str">
        <f t="shared" si="19"/>
        <v/>
      </c>
      <c r="F173" t="str">
        <f t="shared" si="22"/>
        <v/>
      </c>
      <c r="G173" t="str">
        <f t="shared" si="23"/>
        <v/>
      </c>
      <c r="H173" t="str">
        <f t="shared" si="20"/>
        <v/>
      </c>
      <c r="I173" t="str">
        <f t="shared" si="21"/>
        <v/>
      </c>
    </row>
    <row r="174" spans="2:9" hidden="1">
      <c r="B174" t="str">
        <f t="shared" si="16"/>
        <v>Wielkopolskie</v>
      </c>
      <c r="C174" t="str">
        <f t="shared" si="17"/>
        <v/>
      </c>
      <c r="D174" t="str">
        <f t="shared" si="18"/>
        <v/>
      </c>
      <c r="E174" t="str">
        <f t="shared" si="19"/>
        <v/>
      </c>
      <c r="F174" t="str">
        <f t="shared" si="22"/>
        <v/>
      </c>
      <c r="G174" t="str">
        <f t="shared" si="23"/>
        <v/>
      </c>
      <c r="H174" t="str">
        <f t="shared" si="20"/>
        <v/>
      </c>
      <c r="I174" t="str">
        <f t="shared" si="21"/>
        <v/>
      </c>
    </row>
    <row r="175" spans="2:9" hidden="1">
      <c r="B175" t="str">
        <f t="shared" si="16"/>
        <v>Wielkopolskie</v>
      </c>
      <c r="C175" t="str">
        <f t="shared" si="17"/>
        <v/>
      </c>
      <c r="D175" t="str">
        <f t="shared" si="18"/>
        <v/>
      </c>
      <c r="E175" t="str">
        <f t="shared" si="19"/>
        <v/>
      </c>
      <c r="F175" t="str">
        <f t="shared" si="22"/>
        <v/>
      </c>
      <c r="G175" t="str">
        <f t="shared" si="23"/>
        <v/>
      </c>
      <c r="H175" t="str">
        <f t="shared" si="20"/>
        <v/>
      </c>
      <c r="I175" t="str">
        <f t="shared" si="21"/>
        <v/>
      </c>
    </row>
    <row r="176" spans="2:9" hidden="1">
      <c r="B176" t="str">
        <f t="shared" si="16"/>
        <v>Wielkopolskie</v>
      </c>
      <c r="C176" t="str">
        <f t="shared" si="17"/>
        <v/>
      </c>
      <c r="D176" t="str">
        <f t="shared" si="18"/>
        <v/>
      </c>
      <c r="E176" t="str">
        <f t="shared" si="19"/>
        <v/>
      </c>
      <c r="F176" t="str">
        <f t="shared" si="22"/>
        <v/>
      </c>
      <c r="G176" t="str">
        <f t="shared" si="23"/>
        <v/>
      </c>
      <c r="H176" t="str">
        <f t="shared" si="20"/>
        <v/>
      </c>
      <c r="I176" t="str">
        <f t="shared" si="21"/>
        <v/>
      </c>
    </row>
    <row r="177" spans="2:9" hidden="1">
      <c r="B177" t="str">
        <f t="shared" si="16"/>
        <v>Wielkopolskie</v>
      </c>
      <c r="C177" t="str">
        <f t="shared" si="17"/>
        <v/>
      </c>
      <c r="D177" t="str">
        <f t="shared" si="18"/>
        <v/>
      </c>
      <c r="E177" t="str">
        <f t="shared" si="19"/>
        <v/>
      </c>
      <c r="F177" t="str">
        <f t="shared" si="22"/>
        <v/>
      </c>
      <c r="G177" t="str">
        <f t="shared" si="23"/>
        <v/>
      </c>
      <c r="H177" t="str">
        <f t="shared" si="20"/>
        <v/>
      </c>
      <c r="I177" t="str">
        <f t="shared" si="21"/>
        <v/>
      </c>
    </row>
    <row r="178" spans="2:9" hidden="1">
      <c r="B178" t="str">
        <f t="shared" si="16"/>
        <v>Wielkopolskie</v>
      </c>
      <c r="C178" t="str">
        <f t="shared" si="17"/>
        <v/>
      </c>
      <c r="D178" t="str">
        <f t="shared" si="18"/>
        <v/>
      </c>
      <c r="E178" t="str">
        <f t="shared" si="19"/>
        <v/>
      </c>
      <c r="F178" t="str">
        <f t="shared" si="22"/>
        <v/>
      </c>
      <c r="G178" t="str">
        <f t="shared" si="23"/>
        <v/>
      </c>
      <c r="H178" t="str">
        <f t="shared" si="20"/>
        <v/>
      </c>
      <c r="I178" t="str">
        <f t="shared" si="21"/>
        <v/>
      </c>
    </row>
    <row r="179" spans="2:9" hidden="1">
      <c r="B179" t="str">
        <f t="shared" si="16"/>
        <v>Wielkopolskie</v>
      </c>
      <c r="C179" t="str">
        <f t="shared" si="17"/>
        <v/>
      </c>
      <c r="D179" t="str">
        <f t="shared" si="18"/>
        <v/>
      </c>
      <c r="E179" t="str">
        <f t="shared" si="19"/>
        <v/>
      </c>
      <c r="F179" t="str">
        <f t="shared" si="22"/>
        <v/>
      </c>
      <c r="G179" t="str">
        <f t="shared" si="23"/>
        <v/>
      </c>
      <c r="H179" t="str">
        <f t="shared" si="20"/>
        <v/>
      </c>
      <c r="I179" t="str">
        <f t="shared" si="21"/>
        <v/>
      </c>
    </row>
    <row r="180" spans="2:9" hidden="1">
      <c r="B180" t="str">
        <f t="shared" si="16"/>
        <v>Wielkopolskie</v>
      </c>
      <c r="C180" t="str">
        <f t="shared" si="17"/>
        <v/>
      </c>
      <c r="D180" t="str">
        <f t="shared" si="18"/>
        <v/>
      </c>
      <c r="E180" t="str">
        <f t="shared" si="19"/>
        <v/>
      </c>
      <c r="F180" t="str">
        <f t="shared" si="22"/>
        <v/>
      </c>
      <c r="G180" t="str">
        <f t="shared" si="23"/>
        <v/>
      </c>
      <c r="H180" t="str">
        <f t="shared" si="20"/>
        <v/>
      </c>
      <c r="I180" t="str">
        <f t="shared" si="21"/>
        <v/>
      </c>
    </row>
    <row r="181" spans="2:9" hidden="1">
      <c r="B181" t="str">
        <f t="shared" si="16"/>
        <v>Wielkopolskie</v>
      </c>
      <c r="C181" t="str">
        <f t="shared" si="17"/>
        <v/>
      </c>
      <c r="D181" t="str">
        <f t="shared" si="18"/>
        <v/>
      </c>
      <c r="E181" t="str">
        <f t="shared" si="19"/>
        <v/>
      </c>
      <c r="F181" t="str">
        <f t="shared" si="22"/>
        <v/>
      </c>
      <c r="G181" t="str">
        <f t="shared" si="23"/>
        <v/>
      </c>
      <c r="H181" t="str">
        <f t="shared" si="20"/>
        <v/>
      </c>
      <c r="I181" t="str">
        <f t="shared" si="21"/>
        <v/>
      </c>
    </row>
    <row r="182" spans="2:9" hidden="1">
      <c r="B182" t="str">
        <f t="shared" si="16"/>
        <v>Wielkopolskie</v>
      </c>
      <c r="C182" t="str">
        <f t="shared" si="17"/>
        <v/>
      </c>
      <c r="D182" t="str">
        <f t="shared" si="18"/>
        <v/>
      </c>
      <c r="E182" t="str">
        <f t="shared" si="19"/>
        <v/>
      </c>
      <c r="F182" t="str">
        <f t="shared" si="22"/>
        <v/>
      </c>
      <c r="G182" t="str">
        <f t="shared" si="23"/>
        <v/>
      </c>
      <c r="H182" t="str">
        <f t="shared" si="20"/>
        <v/>
      </c>
      <c r="I182" t="str">
        <f t="shared" si="21"/>
        <v/>
      </c>
    </row>
    <row r="183" spans="2:9" hidden="1">
      <c r="B183" t="str">
        <f t="shared" si="16"/>
        <v>Wielkopolskie</v>
      </c>
      <c r="C183" t="str">
        <f t="shared" si="17"/>
        <v/>
      </c>
      <c r="D183" t="str">
        <f t="shared" si="18"/>
        <v/>
      </c>
      <c r="E183" t="str">
        <f t="shared" si="19"/>
        <v/>
      </c>
      <c r="F183" t="str">
        <f t="shared" si="22"/>
        <v/>
      </c>
      <c r="G183" t="str">
        <f t="shared" si="23"/>
        <v/>
      </c>
      <c r="H183" t="str">
        <f t="shared" si="20"/>
        <v/>
      </c>
      <c r="I183" t="str">
        <f t="shared" si="21"/>
        <v/>
      </c>
    </row>
    <row r="184" spans="2:9" hidden="1">
      <c r="B184" t="str">
        <f t="shared" si="16"/>
        <v>Wielkopolskie</v>
      </c>
      <c r="C184" t="str">
        <f t="shared" si="17"/>
        <v/>
      </c>
      <c r="D184" t="str">
        <f t="shared" si="18"/>
        <v/>
      </c>
      <c r="E184" t="str">
        <f t="shared" si="19"/>
        <v/>
      </c>
      <c r="F184" t="str">
        <f t="shared" si="22"/>
        <v/>
      </c>
      <c r="G184" t="str">
        <f t="shared" si="23"/>
        <v/>
      </c>
      <c r="H184" t="str">
        <f t="shared" si="20"/>
        <v/>
      </c>
      <c r="I184" t="str">
        <f t="shared" si="21"/>
        <v/>
      </c>
    </row>
    <row r="185" spans="2:9" hidden="1">
      <c r="B185" t="str">
        <f t="shared" si="16"/>
        <v>Wielkopolskie</v>
      </c>
      <c r="C185" t="str">
        <f t="shared" si="17"/>
        <v/>
      </c>
      <c r="D185" t="str">
        <f t="shared" si="18"/>
        <v/>
      </c>
      <c r="E185" t="str">
        <f t="shared" si="19"/>
        <v/>
      </c>
      <c r="F185" t="str">
        <f t="shared" si="22"/>
        <v/>
      </c>
      <c r="G185" t="str">
        <f t="shared" si="23"/>
        <v/>
      </c>
      <c r="H185" t="str">
        <f t="shared" si="20"/>
        <v/>
      </c>
      <c r="I185" t="str">
        <f t="shared" si="21"/>
        <v/>
      </c>
    </row>
    <row r="186" spans="2:9" hidden="1">
      <c r="B186" t="str">
        <f t="shared" si="16"/>
        <v>Wielkopolskie</v>
      </c>
      <c r="C186" t="str">
        <f t="shared" si="17"/>
        <v/>
      </c>
      <c r="D186" t="str">
        <f t="shared" si="18"/>
        <v/>
      </c>
      <c r="E186" t="str">
        <f t="shared" si="19"/>
        <v/>
      </c>
      <c r="F186" t="str">
        <f t="shared" si="22"/>
        <v/>
      </c>
      <c r="G186" t="str">
        <f t="shared" si="23"/>
        <v/>
      </c>
      <c r="H186" t="str">
        <f t="shared" si="20"/>
        <v/>
      </c>
      <c r="I186" t="str">
        <f t="shared" si="21"/>
        <v/>
      </c>
    </row>
    <row r="187" spans="2:9" hidden="1">
      <c r="B187" t="str">
        <f t="shared" si="16"/>
        <v>Wielkopolskie</v>
      </c>
      <c r="C187" t="str">
        <f t="shared" si="17"/>
        <v/>
      </c>
      <c r="D187" t="str">
        <f t="shared" si="18"/>
        <v/>
      </c>
      <c r="E187" t="str">
        <f t="shared" si="19"/>
        <v/>
      </c>
      <c r="F187" t="str">
        <f t="shared" si="22"/>
        <v/>
      </c>
      <c r="G187" t="str">
        <f t="shared" si="23"/>
        <v/>
      </c>
      <c r="H187" t="str">
        <f t="shared" si="20"/>
        <v/>
      </c>
      <c r="I187" t="str">
        <f t="shared" si="21"/>
        <v/>
      </c>
    </row>
    <row r="188" spans="2:9" hidden="1">
      <c r="B188" t="str">
        <f t="shared" si="16"/>
        <v>Wielkopolskie</v>
      </c>
      <c r="C188" t="str">
        <f t="shared" si="17"/>
        <v/>
      </c>
      <c r="D188" t="str">
        <f t="shared" si="18"/>
        <v/>
      </c>
      <c r="E188" t="str">
        <f t="shared" si="19"/>
        <v/>
      </c>
      <c r="F188" t="str">
        <f t="shared" si="22"/>
        <v/>
      </c>
      <c r="G188" t="str">
        <f t="shared" si="23"/>
        <v/>
      </c>
      <c r="H188" t="str">
        <f t="shared" si="20"/>
        <v/>
      </c>
      <c r="I188" t="str">
        <f t="shared" si="21"/>
        <v/>
      </c>
    </row>
    <row r="189" spans="2:9" hidden="1">
      <c r="B189" t="str">
        <f t="shared" si="16"/>
        <v>Wielkopolskie</v>
      </c>
      <c r="C189" t="str">
        <f t="shared" si="17"/>
        <v/>
      </c>
      <c r="D189" t="str">
        <f t="shared" si="18"/>
        <v/>
      </c>
      <c r="E189" t="str">
        <f t="shared" si="19"/>
        <v/>
      </c>
      <c r="F189" t="str">
        <f t="shared" si="22"/>
        <v/>
      </c>
      <c r="G189" t="str">
        <f t="shared" si="23"/>
        <v/>
      </c>
      <c r="H189" t="str">
        <f t="shared" si="20"/>
        <v/>
      </c>
      <c r="I189" t="str">
        <f t="shared" si="21"/>
        <v/>
      </c>
    </row>
    <row r="190" spans="2:9" hidden="1">
      <c r="B190" t="str">
        <f t="shared" si="16"/>
        <v>Wielkopolskie</v>
      </c>
      <c r="C190" t="str">
        <f t="shared" si="17"/>
        <v/>
      </c>
      <c r="D190" t="str">
        <f t="shared" si="18"/>
        <v/>
      </c>
      <c r="E190" t="str">
        <f t="shared" si="19"/>
        <v/>
      </c>
      <c r="F190" t="str">
        <f t="shared" si="22"/>
        <v/>
      </c>
      <c r="G190" t="str">
        <f t="shared" si="23"/>
        <v/>
      </c>
      <c r="H190" t="str">
        <f t="shared" si="20"/>
        <v/>
      </c>
      <c r="I190" t="str">
        <f t="shared" si="21"/>
        <v/>
      </c>
    </row>
    <row r="191" spans="2:9" hidden="1">
      <c r="B191" t="str">
        <f t="shared" si="16"/>
        <v>Wielkopolskie</v>
      </c>
      <c r="C191" t="str">
        <f t="shared" si="17"/>
        <v/>
      </c>
      <c r="D191" t="str">
        <f t="shared" si="18"/>
        <v/>
      </c>
      <c r="E191" t="str">
        <f t="shared" si="19"/>
        <v/>
      </c>
      <c r="F191" t="str">
        <f t="shared" si="22"/>
        <v/>
      </c>
      <c r="G191" t="str">
        <f t="shared" si="23"/>
        <v/>
      </c>
      <c r="H191" t="str">
        <f t="shared" si="20"/>
        <v/>
      </c>
      <c r="I191" t="str">
        <f t="shared" si="21"/>
        <v/>
      </c>
    </row>
    <row r="192" spans="2:9" hidden="1">
      <c r="B192" t="str">
        <f t="shared" si="16"/>
        <v>Wielkopolskie</v>
      </c>
      <c r="C192" t="str">
        <f t="shared" si="17"/>
        <v/>
      </c>
      <c r="D192" t="str">
        <f t="shared" si="18"/>
        <v/>
      </c>
      <c r="E192" t="str">
        <f t="shared" si="19"/>
        <v/>
      </c>
      <c r="F192" t="str">
        <f t="shared" si="22"/>
        <v/>
      </c>
      <c r="G192" t="str">
        <f t="shared" si="23"/>
        <v/>
      </c>
      <c r="H192" t="str">
        <f t="shared" si="20"/>
        <v/>
      </c>
      <c r="I192" t="str">
        <f t="shared" si="21"/>
        <v/>
      </c>
    </row>
    <row r="193" spans="2:9" hidden="1">
      <c r="B193" t="str">
        <f t="shared" si="16"/>
        <v>Wielkopolskie</v>
      </c>
      <c r="C193" t="str">
        <f t="shared" si="17"/>
        <v/>
      </c>
      <c r="D193" t="str">
        <f t="shared" si="18"/>
        <v/>
      </c>
      <c r="E193" t="str">
        <f t="shared" si="19"/>
        <v/>
      </c>
      <c r="F193" t="str">
        <f t="shared" si="22"/>
        <v/>
      </c>
      <c r="G193" t="str">
        <f t="shared" si="23"/>
        <v/>
      </c>
      <c r="H193" t="str">
        <f t="shared" si="20"/>
        <v/>
      </c>
      <c r="I193" t="str">
        <f t="shared" si="21"/>
        <v/>
      </c>
    </row>
    <row r="194" spans="2:9" hidden="1">
      <c r="B194" t="str">
        <f t="shared" ref="B194:B257" si="24">+IF(AND(C194&gt;"",ISERR(FIND("DKK",A193))),A193,B193)</f>
        <v>Wielkopolskie</v>
      </c>
      <c r="C194" t="str">
        <f t="shared" ref="C194:C257" si="25">IF(ISERR(FIND($C$1,A194,1)),"",A194)</f>
        <v/>
      </c>
      <c r="D194" t="str">
        <f t="shared" ref="D194:D257" si="26">IF(C194&gt;"",A195,"")</f>
        <v/>
      </c>
      <c r="E194" t="str">
        <f t="shared" ref="E194:E257" si="27">IF(C194&gt;"",A196,"")</f>
        <v/>
      </c>
      <c r="F194" t="str">
        <f t="shared" si="22"/>
        <v/>
      </c>
      <c r="G194" t="str">
        <f t="shared" si="23"/>
        <v/>
      </c>
      <c r="H194" t="str">
        <f t="shared" ref="H194:H257" si="28">IF(E194&gt;"",IF(ISERR(FIND("DKK",A200)),"",A200),"")</f>
        <v/>
      </c>
      <c r="I194" t="str">
        <f t="shared" ref="I194:I257" si="29">IF(E194&gt;"",IF(ISERR(FIND("DKK",A201)),"",A201),"")</f>
        <v/>
      </c>
    </row>
    <row r="195" spans="2:9" hidden="1">
      <c r="B195" t="str">
        <f t="shared" si="24"/>
        <v>Wielkopolskie</v>
      </c>
      <c r="C195" t="str">
        <f t="shared" si="25"/>
        <v/>
      </c>
      <c r="D195" t="str">
        <f t="shared" si="26"/>
        <v/>
      </c>
      <c r="E195" t="str">
        <f t="shared" si="27"/>
        <v/>
      </c>
      <c r="F195" t="str">
        <f t="shared" ref="F195:F258" si="30">IF(C195&gt;"",MID(A199,FIND("tel.",A199)+5,15),"")</f>
        <v/>
      </c>
      <c r="G195" t="str">
        <f t="shared" ref="G195:G258" si="31">IF(E195&gt;"",MID(A198,FIND("mail:",A198)+6,100),"")</f>
        <v/>
      </c>
      <c r="H195" t="str">
        <f t="shared" si="28"/>
        <v/>
      </c>
      <c r="I195" t="str">
        <f t="shared" si="29"/>
        <v/>
      </c>
    </row>
    <row r="196" spans="2:9" hidden="1">
      <c r="B196" t="str">
        <f t="shared" si="24"/>
        <v>Wielkopolskie</v>
      </c>
      <c r="C196" t="str">
        <f t="shared" si="25"/>
        <v/>
      </c>
      <c r="D196" t="str">
        <f t="shared" si="26"/>
        <v/>
      </c>
      <c r="E196" t="str">
        <f t="shared" si="27"/>
        <v/>
      </c>
      <c r="F196" t="str">
        <f t="shared" si="30"/>
        <v/>
      </c>
      <c r="G196" t="str">
        <f t="shared" si="31"/>
        <v/>
      </c>
      <c r="H196" t="str">
        <f t="shared" si="28"/>
        <v/>
      </c>
      <c r="I196" t="str">
        <f t="shared" si="29"/>
        <v/>
      </c>
    </row>
    <row r="197" spans="2:9" hidden="1">
      <c r="B197" t="str">
        <f t="shared" si="24"/>
        <v>Wielkopolskie</v>
      </c>
      <c r="C197" t="str">
        <f t="shared" si="25"/>
        <v/>
      </c>
      <c r="D197" t="str">
        <f t="shared" si="26"/>
        <v/>
      </c>
      <c r="E197" t="str">
        <f t="shared" si="27"/>
        <v/>
      </c>
      <c r="F197" t="str">
        <f t="shared" si="30"/>
        <v/>
      </c>
      <c r="G197" t="str">
        <f t="shared" si="31"/>
        <v/>
      </c>
      <c r="H197" t="str">
        <f t="shared" si="28"/>
        <v/>
      </c>
      <c r="I197" t="str">
        <f t="shared" si="29"/>
        <v/>
      </c>
    </row>
    <row r="198" spans="2:9" hidden="1">
      <c r="B198" t="str">
        <f t="shared" si="24"/>
        <v>Wielkopolskie</v>
      </c>
      <c r="C198" t="str">
        <f t="shared" si="25"/>
        <v/>
      </c>
      <c r="D198" t="str">
        <f t="shared" si="26"/>
        <v/>
      </c>
      <c r="E198" t="str">
        <f t="shared" si="27"/>
        <v/>
      </c>
      <c r="F198" t="str">
        <f t="shared" si="30"/>
        <v/>
      </c>
      <c r="G198" t="str">
        <f t="shared" si="31"/>
        <v/>
      </c>
      <c r="H198" t="str">
        <f t="shared" si="28"/>
        <v/>
      </c>
      <c r="I198" t="str">
        <f t="shared" si="29"/>
        <v/>
      </c>
    </row>
    <row r="199" spans="2:9" hidden="1">
      <c r="B199" t="str">
        <f t="shared" si="24"/>
        <v>Wielkopolskie</v>
      </c>
      <c r="C199" t="str">
        <f t="shared" si="25"/>
        <v/>
      </c>
      <c r="D199" t="str">
        <f t="shared" si="26"/>
        <v/>
      </c>
      <c r="E199" t="str">
        <f t="shared" si="27"/>
        <v/>
      </c>
      <c r="F199" t="str">
        <f t="shared" si="30"/>
        <v/>
      </c>
      <c r="G199" t="str">
        <f t="shared" si="31"/>
        <v/>
      </c>
      <c r="H199" t="str">
        <f t="shared" si="28"/>
        <v/>
      </c>
      <c r="I199" t="str">
        <f t="shared" si="29"/>
        <v/>
      </c>
    </row>
    <row r="200" spans="2:9" hidden="1">
      <c r="B200" t="str">
        <f t="shared" si="24"/>
        <v>Wielkopolskie</v>
      </c>
      <c r="C200" t="str">
        <f t="shared" si="25"/>
        <v/>
      </c>
      <c r="D200" t="str">
        <f t="shared" si="26"/>
        <v/>
      </c>
      <c r="E200" t="str">
        <f t="shared" si="27"/>
        <v/>
      </c>
      <c r="F200" t="str">
        <f t="shared" si="30"/>
        <v/>
      </c>
      <c r="G200" t="str">
        <f t="shared" si="31"/>
        <v/>
      </c>
      <c r="H200" t="str">
        <f t="shared" si="28"/>
        <v/>
      </c>
      <c r="I200" t="str">
        <f t="shared" si="29"/>
        <v/>
      </c>
    </row>
    <row r="201" spans="2:9" hidden="1">
      <c r="B201" t="str">
        <f t="shared" si="24"/>
        <v>Wielkopolskie</v>
      </c>
      <c r="C201" t="str">
        <f t="shared" si="25"/>
        <v/>
      </c>
      <c r="D201" t="str">
        <f t="shared" si="26"/>
        <v/>
      </c>
      <c r="E201" t="str">
        <f t="shared" si="27"/>
        <v/>
      </c>
      <c r="F201" t="str">
        <f t="shared" si="30"/>
        <v/>
      </c>
      <c r="G201" t="str">
        <f t="shared" si="31"/>
        <v/>
      </c>
      <c r="H201" t="str">
        <f t="shared" si="28"/>
        <v/>
      </c>
      <c r="I201" t="str">
        <f t="shared" si="29"/>
        <v/>
      </c>
    </row>
    <row r="202" spans="2:9" hidden="1">
      <c r="B202" t="str">
        <f t="shared" si="24"/>
        <v>Wielkopolskie</v>
      </c>
      <c r="C202" t="str">
        <f t="shared" si="25"/>
        <v/>
      </c>
      <c r="D202" t="str">
        <f t="shared" si="26"/>
        <v/>
      </c>
      <c r="E202" t="str">
        <f t="shared" si="27"/>
        <v/>
      </c>
      <c r="F202" t="str">
        <f t="shared" si="30"/>
        <v/>
      </c>
      <c r="G202" t="str">
        <f t="shared" si="31"/>
        <v/>
      </c>
      <c r="H202" t="str">
        <f t="shared" si="28"/>
        <v/>
      </c>
      <c r="I202" t="str">
        <f t="shared" si="29"/>
        <v/>
      </c>
    </row>
    <row r="203" spans="2:9" hidden="1">
      <c r="B203" t="str">
        <f t="shared" si="24"/>
        <v>Wielkopolskie</v>
      </c>
      <c r="C203" t="str">
        <f t="shared" si="25"/>
        <v/>
      </c>
      <c r="D203" t="str">
        <f t="shared" si="26"/>
        <v/>
      </c>
      <c r="E203" t="str">
        <f t="shared" si="27"/>
        <v/>
      </c>
      <c r="F203" t="str">
        <f t="shared" si="30"/>
        <v/>
      </c>
      <c r="G203" t="str">
        <f t="shared" si="31"/>
        <v/>
      </c>
      <c r="H203" t="str">
        <f t="shared" si="28"/>
        <v/>
      </c>
      <c r="I203" t="str">
        <f t="shared" si="29"/>
        <v/>
      </c>
    </row>
    <row r="204" spans="2:9" hidden="1">
      <c r="B204" t="str">
        <f t="shared" si="24"/>
        <v>Wielkopolskie</v>
      </c>
      <c r="C204" t="str">
        <f t="shared" si="25"/>
        <v/>
      </c>
      <c r="D204" t="str">
        <f t="shared" si="26"/>
        <v/>
      </c>
      <c r="E204" t="str">
        <f t="shared" si="27"/>
        <v/>
      </c>
      <c r="F204" t="str">
        <f t="shared" si="30"/>
        <v/>
      </c>
      <c r="G204" t="str">
        <f t="shared" si="31"/>
        <v/>
      </c>
      <c r="H204" t="str">
        <f t="shared" si="28"/>
        <v/>
      </c>
      <c r="I204" t="str">
        <f t="shared" si="29"/>
        <v/>
      </c>
    </row>
    <row r="205" spans="2:9" hidden="1">
      <c r="B205" t="str">
        <f t="shared" si="24"/>
        <v>Wielkopolskie</v>
      </c>
      <c r="C205" t="str">
        <f t="shared" si="25"/>
        <v/>
      </c>
      <c r="D205" t="str">
        <f t="shared" si="26"/>
        <v/>
      </c>
      <c r="E205" t="str">
        <f t="shared" si="27"/>
        <v/>
      </c>
      <c r="F205" t="str">
        <f t="shared" si="30"/>
        <v/>
      </c>
      <c r="G205" t="str">
        <f t="shared" si="31"/>
        <v/>
      </c>
      <c r="H205" t="str">
        <f t="shared" si="28"/>
        <v/>
      </c>
      <c r="I205" t="str">
        <f t="shared" si="29"/>
        <v/>
      </c>
    </row>
    <row r="206" spans="2:9" hidden="1">
      <c r="B206" t="str">
        <f t="shared" si="24"/>
        <v>Wielkopolskie</v>
      </c>
      <c r="C206" t="str">
        <f t="shared" si="25"/>
        <v/>
      </c>
      <c r="D206" t="str">
        <f t="shared" si="26"/>
        <v/>
      </c>
      <c r="E206" t="str">
        <f t="shared" si="27"/>
        <v/>
      </c>
      <c r="F206" t="str">
        <f t="shared" si="30"/>
        <v/>
      </c>
      <c r="G206" t="str">
        <f t="shared" si="31"/>
        <v/>
      </c>
      <c r="H206" t="str">
        <f t="shared" si="28"/>
        <v/>
      </c>
      <c r="I206" t="str">
        <f t="shared" si="29"/>
        <v/>
      </c>
    </row>
    <row r="207" spans="2:9" hidden="1">
      <c r="B207" t="str">
        <f t="shared" si="24"/>
        <v>Wielkopolskie</v>
      </c>
      <c r="C207" t="str">
        <f t="shared" si="25"/>
        <v/>
      </c>
      <c r="D207" t="str">
        <f t="shared" si="26"/>
        <v/>
      </c>
      <c r="E207" t="str">
        <f t="shared" si="27"/>
        <v/>
      </c>
      <c r="F207" t="str">
        <f t="shared" si="30"/>
        <v/>
      </c>
      <c r="G207" t="str">
        <f t="shared" si="31"/>
        <v/>
      </c>
      <c r="H207" t="str">
        <f t="shared" si="28"/>
        <v/>
      </c>
      <c r="I207" t="str">
        <f t="shared" si="29"/>
        <v/>
      </c>
    </row>
    <row r="208" spans="2:9" hidden="1">
      <c r="B208" t="str">
        <f t="shared" si="24"/>
        <v>Wielkopolskie</v>
      </c>
      <c r="C208" t="str">
        <f t="shared" si="25"/>
        <v/>
      </c>
      <c r="D208" t="str">
        <f t="shared" si="26"/>
        <v/>
      </c>
      <c r="E208" t="str">
        <f t="shared" si="27"/>
        <v/>
      </c>
      <c r="F208" t="str">
        <f t="shared" si="30"/>
        <v/>
      </c>
      <c r="G208" t="str">
        <f t="shared" si="31"/>
        <v/>
      </c>
      <c r="H208" t="str">
        <f t="shared" si="28"/>
        <v/>
      </c>
      <c r="I208" t="str">
        <f t="shared" si="29"/>
        <v/>
      </c>
    </row>
    <row r="209" spans="2:9" hidden="1">
      <c r="B209" t="str">
        <f t="shared" si="24"/>
        <v>Wielkopolskie</v>
      </c>
      <c r="C209" t="str">
        <f t="shared" si="25"/>
        <v/>
      </c>
      <c r="D209" t="str">
        <f t="shared" si="26"/>
        <v/>
      </c>
      <c r="E209" t="str">
        <f t="shared" si="27"/>
        <v/>
      </c>
      <c r="F209" t="str">
        <f t="shared" si="30"/>
        <v/>
      </c>
      <c r="G209" t="str">
        <f t="shared" si="31"/>
        <v/>
      </c>
      <c r="H209" t="str">
        <f t="shared" si="28"/>
        <v/>
      </c>
      <c r="I209" t="str">
        <f t="shared" si="29"/>
        <v/>
      </c>
    </row>
    <row r="210" spans="2:9" hidden="1">
      <c r="B210" t="str">
        <f t="shared" si="24"/>
        <v>Wielkopolskie</v>
      </c>
      <c r="C210" t="str">
        <f t="shared" si="25"/>
        <v/>
      </c>
      <c r="D210" t="str">
        <f t="shared" si="26"/>
        <v/>
      </c>
      <c r="E210" t="str">
        <f t="shared" si="27"/>
        <v/>
      </c>
      <c r="F210" t="str">
        <f t="shared" si="30"/>
        <v/>
      </c>
      <c r="G210" t="str">
        <f t="shared" si="31"/>
        <v/>
      </c>
      <c r="H210" t="str">
        <f t="shared" si="28"/>
        <v/>
      </c>
      <c r="I210" t="str">
        <f t="shared" si="29"/>
        <v/>
      </c>
    </row>
    <row r="211" spans="2:9" hidden="1">
      <c r="B211" t="str">
        <f t="shared" si="24"/>
        <v>Wielkopolskie</v>
      </c>
      <c r="C211" t="str">
        <f t="shared" si="25"/>
        <v/>
      </c>
      <c r="D211" t="str">
        <f t="shared" si="26"/>
        <v/>
      </c>
      <c r="E211" t="str">
        <f t="shared" si="27"/>
        <v/>
      </c>
      <c r="F211" t="str">
        <f t="shared" si="30"/>
        <v/>
      </c>
      <c r="G211" t="str">
        <f t="shared" si="31"/>
        <v/>
      </c>
      <c r="H211" t="str">
        <f t="shared" si="28"/>
        <v/>
      </c>
      <c r="I211" t="str">
        <f t="shared" si="29"/>
        <v/>
      </c>
    </row>
    <row r="212" spans="2:9" hidden="1">
      <c r="B212" t="str">
        <f t="shared" si="24"/>
        <v>Wielkopolskie</v>
      </c>
      <c r="C212" t="str">
        <f t="shared" si="25"/>
        <v/>
      </c>
      <c r="D212" t="str">
        <f t="shared" si="26"/>
        <v/>
      </c>
      <c r="E212" t="str">
        <f t="shared" si="27"/>
        <v/>
      </c>
      <c r="F212" t="str">
        <f t="shared" si="30"/>
        <v/>
      </c>
      <c r="G212" t="str">
        <f t="shared" si="31"/>
        <v/>
      </c>
      <c r="H212" t="str">
        <f t="shared" si="28"/>
        <v/>
      </c>
      <c r="I212" t="str">
        <f t="shared" si="29"/>
        <v/>
      </c>
    </row>
    <row r="213" spans="2:9" hidden="1">
      <c r="B213" t="str">
        <f t="shared" si="24"/>
        <v>Wielkopolskie</v>
      </c>
      <c r="C213" t="str">
        <f t="shared" si="25"/>
        <v/>
      </c>
      <c r="D213" t="str">
        <f t="shared" si="26"/>
        <v/>
      </c>
      <c r="E213" t="str">
        <f t="shared" si="27"/>
        <v/>
      </c>
      <c r="F213" t="str">
        <f t="shared" si="30"/>
        <v/>
      </c>
      <c r="G213" t="str">
        <f t="shared" si="31"/>
        <v/>
      </c>
      <c r="H213" t="str">
        <f t="shared" si="28"/>
        <v/>
      </c>
      <c r="I213" t="str">
        <f t="shared" si="29"/>
        <v/>
      </c>
    </row>
    <row r="214" spans="2:9" hidden="1">
      <c r="B214" t="str">
        <f t="shared" si="24"/>
        <v>Wielkopolskie</v>
      </c>
      <c r="C214" t="str">
        <f t="shared" si="25"/>
        <v/>
      </c>
      <c r="D214" t="str">
        <f t="shared" si="26"/>
        <v/>
      </c>
      <c r="E214" t="str">
        <f t="shared" si="27"/>
        <v/>
      </c>
      <c r="F214" t="str">
        <f t="shared" si="30"/>
        <v/>
      </c>
      <c r="G214" t="str">
        <f t="shared" si="31"/>
        <v/>
      </c>
      <c r="H214" t="str">
        <f t="shared" si="28"/>
        <v/>
      </c>
      <c r="I214" t="str">
        <f t="shared" si="29"/>
        <v/>
      </c>
    </row>
    <row r="215" spans="2:9" hidden="1">
      <c r="B215" t="str">
        <f t="shared" si="24"/>
        <v>Wielkopolskie</v>
      </c>
      <c r="C215" t="str">
        <f t="shared" si="25"/>
        <v/>
      </c>
      <c r="D215" t="str">
        <f t="shared" si="26"/>
        <v/>
      </c>
      <c r="E215" t="str">
        <f t="shared" si="27"/>
        <v/>
      </c>
      <c r="F215" t="str">
        <f t="shared" si="30"/>
        <v/>
      </c>
      <c r="G215" t="str">
        <f t="shared" si="31"/>
        <v/>
      </c>
      <c r="H215" t="str">
        <f t="shared" si="28"/>
        <v/>
      </c>
      <c r="I215" t="str">
        <f t="shared" si="29"/>
        <v/>
      </c>
    </row>
    <row r="216" spans="2:9" hidden="1">
      <c r="B216" t="str">
        <f t="shared" si="24"/>
        <v>Wielkopolskie</v>
      </c>
      <c r="C216" t="str">
        <f t="shared" si="25"/>
        <v/>
      </c>
      <c r="D216" t="str">
        <f t="shared" si="26"/>
        <v/>
      </c>
      <c r="E216" t="str">
        <f t="shared" si="27"/>
        <v/>
      </c>
      <c r="F216" t="str">
        <f t="shared" si="30"/>
        <v/>
      </c>
      <c r="G216" t="str">
        <f t="shared" si="31"/>
        <v/>
      </c>
      <c r="H216" t="str">
        <f t="shared" si="28"/>
        <v/>
      </c>
      <c r="I216" t="str">
        <f t="shared" si="29"/>
        <v/>
      </c>
    </row>
    <row r="217" spans="2:9" hidden="1">
      <c r="B217" t="str">
        <f t="shared" si="24"/>
        <v>Wielkopolskie</v>
      </c>
      <c r="C217" t="str">
        <f t="shared" si="25"/>
        <v/>
      </c>
      <c r="D217" t="str">
        <f t="shared" si="26"/>
        <v/>
      </c>
      <c r="E217" t="str">
        <f t="shared" si="27"/>
        <v/>
      </c>
      <c r="F217" t="str">
        <f t="shared" si="30"/>
        <v/>
      </c>
      <c r="G217" t="str">
        <f t="shared" si="31"/>
        <v/>
      </c>
      <c r="H217" t="str">
        <f t="shared" si="28"/>
        <v/>
      </c>
      <c r="I217" t="str">
        <f t="shared" si="29"/>
        <v/>
      </c>
    </row>
    <row r="218" spans="2:9" hidden="1">
      <c r="B218" t="str">
        <f t="shared" si="24"/>
        <v>Wielkopolskie</v>
      </c>
      <c r="C218" t="str">
        <f t="shared" si="25"/>
        <v/>
      </c>
      <c r="D218" t="str">
        <f t="shared" si="26"/>
        <v/>
      </c>
      <c r="E218" t="str">
        <f t="shared" si="27"/>
        <v/>
      </c>
      <c r="F218" t="str">
        <f t="shared" si="30"/>
        <v/>
      </c>
      <c r="G218" t="str">
        <f t="shared" si="31"/>
        <v/>
      </c>
      <c r="H218" t="str">
        <f t="shared" si="28"/>
        <v/>
      </c>
      <c r="I218" t="str">
        <f t="shared" si="29"/>
        <v/>
      </c>
    </row>
    <row r="219" spans="2:9" hidden="1">
      <c r="B219" t="str">
        <f t="shared" si="24"/>
        <v>Wielkopolskie</v>
      </c>
      <c r="C219" t="str">
        <f t="shared" si="25"/>
        <v/>
      </c>
      <c r="D219" t="str">
        <f t="shared" si="26"/>
        <v/>
      </c>
      <c r="E219" t="str">
        <f t="shared" si="27"/>
        <v/>
      </c>
      <c r="F219" t="str">
        <f t="shared" si="30"/>
        <v/>
      </c>
      <c r="G219" t="str">
        <f t="shared" si="31"/>
        <v/>
      </c>
      <c r="H219" t="str">
        <f t="shared" si="28"/>
        <v/>
      </c>
      <c r="I219" t="str">
        <f t="shared" si="29"/>
        <v/>
      </c>
    </row>
    <row r="220" spans="2:9" hidden="1">
      <c r="B220" t="str">
        <f t="shared" si="24"/>
        <v>Wielkopolskie</v>
      </c>
      <c r="C220" t="str">
        <f t="shared" si="25"/>
        <v/>
      </c>
      <c r="D220" t="str">
        <f t="shared" si="26"/>
        <v/>
      </c>
      <c r="E220" t="str">
        <f t="shared" si="27"/>
        <v/>
      </c>
      <c r="F220" t="str">
        <f t="shared" si="30"/>
        <v/>
      </c>
      <c r="G220" t="str">
        <f t="shared" si="31"/>
        <v/>
      </c>
      <c r="H220" t="str">
        <f t="shared" si="28"/>
        <v/>
      </c>
      <c r="I220" t="str">
        <f t="shared" si="29"/>
        <v/>
      </c>
    </row>
    <row r="221" spans="2:9" hidden="1">
      <c r="B221" t="str">
        <f t="shared" si="24"/>
        <v>Wielkopolskie</v>
      </c>
      <c r="C221" t="str">
        <f t="shared" si="25"/>
        <v/>
      </c>
      <c r="D221" t="str">
        <f t="shared" si="26"/>
        <v/>
      </c>
      <c r="E221" t="str">
        <f t="shared" si="27"/>
        <v/>
      </c>
      <c r="F221" t="str">
        <f t="shared" si="30"/>
        <v/>
      </c>
      <c r="G221" t="str">
        <f t="shared" si="31"/>
        <v/>
      </c>
      <c r="H221" t="str">
        <f t="shared" si="28"/>
        <v/>
      </c>
      <c r="I221" t="str">
        <f t="shared" si="29"/>
        <v/>
      </c>
    </row>
    <row r="222" spans="2:9" hidden="1">
      <c r="B222" t="str">
        <f t="shared" si="24"/>
        <v>Wielkopolskie</v>
      </c>
      <c r="C222" t="str">
        <f t="shared" si="25"/>
        <v/>
      </c>
      <c r="D222" t="str">
        <f t="shared" si="26"/>
        <v/>
      </c>
      <c r="E222" t="str">
        <f t="shared" si="27"/>
        <v/>
      </c>
      <c r="F222" t="str">
        <f t="shared" si="30"/>
        <v/>
      </c>
      <c r="G222" t="str">
        <f t="shared" si="31"/>
        <v/>
      </c>
      <c r="H222" t="str">
        <f t="shared" si="28"/>
        <v/>
      </c>
      <c r="I222" t="str">
        <f t="shared" si="29"/>
        <v/>
      </c>
    </row>
    <row r="223" spans="2:9" hidden="1">
      <c r="B223" t="str">
        <f t="shared" si="24"/>
        <v>Wielkopolskie</v>
      </c>
      <c r="C223" t="str">
        <f t="shared" si="25"/>
        <v/>
      </c>
      <c r="D223" t="str">
        <f t="shared" si="26"/>
        <v/>
      </c>
      <c r="E223" t="str">
        <f t="shared" si="27"/>
        <v/>
      </c>
      <c r="F223" t="str">
        <f t="shared" si="30"/>
        <v/>
      </c>
      <c r="G223" t="str">
        <f t="shared" si="31"/>
        <v/>
      </c>
      <c r="H223" t="str">
        <f t="shared" si="28"/>
        <v/>
      </c>
      <c r="I223" t="str">
        <f t="shared" si="29"/>
        <v/>
      </c>
    </row>
    <row r="224" spans="2:9" hidden="1">
      <c r="B224" t="str">
        <f t="shared" si="24"/>
        <v>Wielkopolskie</v>
      </c>
      <c r="C224" t="str">
        <f t="shared" si="25"/>
        <v/>
      </c>
      <c r="D224" t="str">
        <f t="shared" si="26"/>
        <v/>
      </c>
      <c r="E224" t="str">
        <f t="shared" si="27"/>
        <v/>
      </c>
      <c r="F224" t="str">
        <f t="shared" si="30"/>
        <v/>
      </c>
      <c r="G224" t="str">
        <f t="shared" si="31"/>
        <v/>
      </c>
      <c r="H224" t="str">
        <f t="shared" si="28"/>
        <v/>
      </c>
      <c r="I224" t="str">
        <f t="shared" si="29"/>
        <v/>
      </c>
    </row>
    <row r="225" spans="2:9" hidden="1">
      <c r="B225" t="str">
        <f t="shared" si="24"/>
        <v>Wielkopolskie</v>
      </c>
      <c r="C225" t="str">
        <f t="shared" si="25"/>
        <v/>
      </c>
      <c r="D225" t="str">
        <f t="shared" si="26"/>
        <v/>
      </c>
      <c r="E225" t="str">
        <f t="shared" si="27"/>
        <v/>
      </c>
      <c r="F225" t="str">
        <f t="shared" si="30"/>
        <v/>
      </c>
      <c r="G225" t="str">
        <f t="shared" si="31"/>
        <v/>
      </c>
      <c r="H225" t="str">
        <f t="shared" si="28"/>
        <v/>
      </c>
      <c r="I225" t="str">
        <f t="shared" si="29"/>
        <v/>
      </c>
    </row>
    <row r="226" spans="2:9" hidden="1">
      <c r="B226" t="str">
        <f t="shared" si="24"/>
        <v>Wielkopolskie</v>
      </c>
      <c r="C226" t="str">
        <f t="shared" si="25"/>
        <v/>
      </c>
      <c r="D226" t="str">
        <f t="shared" si="26"/>
        <v/>
      </c>
      <c r="E226" t="str">
        <f t="shared" si="27"/>
        <v/>
      </c>
      <c r="F226" t="str">
        <f t="shared" si="30"/>
        <v/>
      </c>
      <c r="G226" t="str">
        <f t="shared" si="31"/>
        <v/>
      </c>
      <c r="H226" t="str">
        <f t="shared" si="28"/>
        <v/>
      </c>
      <c r="I226" t="str">
        <f t="shared" si="29"/>
        <v/>
      </c>
    </row>
    <row r="227" spans="2:9" hidden="1">
      <c r="B227" t="str">
        <f t="shared" si="24"/>
        <v>Wielkopolskie</v>
      </c>
      <c r="C227" t="str">
        <f t="shared" si="25"/>
        <v/>
      </c>
      <c r="D227" t="str">
        <f t="shared" si="26"/>
        <v/>
      </c>
      <c r="E227" t="str">
        <f t="shared" si="27"/>
        <v/>
      </c>
      <c r="F227" t="str">
        <f t="shared" si="30"/>
        <v/>
      </c>
      <c r="G227" t="str">
        <f t="shared" si="31"/>
        <v/>
      </c>
      <c r="H227" t="str">
        <f t="shared" si="28"/>
        <v/>
      </c>
      <c r="I227" t="str">
        <f t="shared" si="29"/>
        <v/>
      </c>
    </row>
    <row r="228" spans="2:9" hidden="1">
      <c r="B228" t="str">
        <f t="shared" si="24"/>
        <v>Wielkopolskie</v>
      </c>
      <c r="C228" t="str">
        <f t="shared" si="25"/>
        <v/>
      </c>
      <c r="D228" t="str">
        <f t="shared" si="26"/>
        <v/>
      </c>
      <c r="E228" t="str">
        <f t="shared" si="27"/>
        <v/>
      </c>
      <c r="F228" t="str">
        <f t="shared" si="30"/>
        <v/>
      </c>
      <c r="G228" t="str">
        <f t="shared" si="31"/>
        <v/>
      </c>
      <c r="H228" t="str">
        <f t="shared" si="28"/>
        <v/>
      </c>
      <c r="I228" t="str">
        <f t="shared" si="29"/>
        <v/>
      </c>
    </row>
    <row r="229" spans="2:9" hidden="1">
      <c r="B229" t="str">
        <f t="shared" si="24"/>
        <v>Wielkopolskie</v>
      </c>
      <c r="C229" t="str">
        <f t="shared" si="25"/>
        <v/>
      </c>
      <c r="D229" t="str">
        <f t="shared" si="26"/>
        <v/>
      </c>
      <c r="E229" t="str">
        <f t="shared" si="27"/>
        <v/>
      </c>
      <c r="F229" t="str">
        <f t="shared" si="30"/>
        <v/>
      </c>
      <c r="G229" t="str">
        <f t="shared" si="31"/>
        <v/>
      </c>
      <c r="H229" t="str">
        <f t="shared" si="28"/>
        <v/>
      </c>
      <c r="I229" t="str">
        <f t="shared" si="29"/>
        <v/>
      </c>
    </row>
    <row r="230" spans="2:9" hidden="1">
      <c r="B230" t="str">
        <f t="shared" si="24"/>
        <v>Wielkopolskie</v>
      </c>
      <c r="C230" t="str">
        <f t="shared" si="25"/>
        <v/>
      </c>
      <c r="D230" t="str">
        <f t="shared" si="26"/>
        <v/>
      </c>
      <c r="E230" t="str">
        <f t="shared" si="27"/>
        <v/>
      </c>
      <c r="F230" t="str">
        <f t="shared" si="30"/>
        <v/>
      </c>
      <c r="G230" t="str">
        <f t="shared" si="31"/>
        <v/>
      </c>
      <c r="H230" t="str">
        <f t="shared" si="28"/>
        <v/>
      </c>
      <c r="I230" t="str">
        <f t="shared" si="29"/>
        <v/>
      </c>
    </row>
    <row r="231" spans="2:9" hidden="1">
      <c r="B231" t="str">
        <f t="shared" si="24"/>
        <v>Wielkopolskie</v>
      </c>
      <c r="C231" t="str">
        <f t="shared" si="25"/>
        <v/>
      </c>
      <c r="D231" t="str">
        <f t="shared" si="26"/>
        <v/>
      </c>
      <c r="E231" t="str">
        <f t="shared" si="27"/>
        <v/>
      </c>
      <c r="F231" t="str">
        <f t="shared" si="30"/>
        <v/>
      </c>
      <c r="G231" t="str">
        <f t="shared" si="31"/>
        <v/>
      </c>
      <c r="H231" t="str">
        <f t="shared" si="28"/>
        <v/>
      </c>
      <c r="I231" t="str">
        <f t="shared" si="29"/>
        <v/>
      </c>
    </row>
    <row r="232" spans="2:9" hidden="1">
      <c r="B232" t="str">
        <f t="shared" si="24"/>
        <v>Wielkopolskie</v>
      </c>
      <c r="C232" t="str">
        <f t="shared" si="25"/>
        <v/>
      </c>
      <c r="D232" t="str">
        <f t="shared" si="26"/>
        <v/>
      </c>
      <c r="E232" t="str">
        <f t="shared" si="27"/>
        <v/>
      </c>
      <c r="F232" t="str">
        <f t="shared" si="30"/>
        <v/>
      </c>
      <c r="G232" t="str">
        <f t="shared" si="31"/>
        <v/>
      </c>
      <c r="H232" t="str">
        <f t="shared" si="28"/>
        <v/>
      </c>
      <c r="I232" t="str">
        <f t="shared" si="29"/>
        <v/>
      </c>
    </row>
    <row r="233" spans="2:9" hidden="1">
      <c r="B233" t="str">
        <f t="shared" si="24"/>
        <v>Wielkopolskie</v>
      </c>
      <c r="C233" t="str">
        <f t="shared" si="25"/>
        <v/>
      </c>
      <c r="D233" t="str">
        <f t="shared" si="26"/>
        <v/>
      </c>
      <c r="E233" t="str">
        <f t="shared" si="27"/>
        <v/>
      </c>
      <c r="F233" t="str">
        <f t="shared" si="30"/>
        <v/>
      </c>
      <c r="G233" t="str">
        <f t="shared" si="31"/>
        <v/>
      </c>
      <c r="H233" t="str">
        <f t="shared" si="28"/>
        <v/>
      </c>
      <c r="I233" t="str">
        <f t="shared" si="29"/>
        <v/>
      </c>
    </row>
    <row r="234" spans="2:9" hidden="1">
      <c r="B234" t="str">
        <f t="shared" si="24"/>
        <v>Wielkopolskie</v>
      </c>
      <c r="C234" t="str">
        <f t="shared" si="25"/>
        <v/>
      </c>
      <c r="D234" t="str">
        <f t="shared" si="26"/>
        <v/>
      </c>
      <c r="E234" t="str">
        <f t="shared" si="27"/>
        <v/>
      </c>
      <c r="F234" t="str">
        <f t="shared" si="30"/>
        <v/>
      </c>
      <c r="G234" t="str">
        <f t="shared" si="31"/>
        <v/>
      </c>
      <c r="H234" t="str">
        <f t="shared" si="28"/>
        <v/>
      </c>
      <c r="I234" t="str">
        <f t="shared" si="29"/>
        <v/>
      </c>
    </row>
    <row r="235" spans="2:9" hidden="1">
      <c r="B235" t="str">
        <f t="shared" si="24"/>
        <v>Wielkopolskie</v>
      </c>
      <c r="C235" t="str">
        <f t="shared" si="25"/>
        <v/>
      </c>
      <c r="D235" t="str">
        <f t="shared" si="26"/>
        <v/>
      </c>
      <c r="E235" t="str">
        <f t="shared" si="27"/>
        <v/>
      </c>
      <c r="F235" t="str">
        <f t="shared" si="30"/>
        <v/>
      </c>
      <c r="G235" t="str">
        <f t="shared" si="31"/>
        <v/>
      </c>
      <c r="H235" t="str">
        <f t="shared" si="28"/>
        <v/>
      </c>
      <c r="I235" t="str">
        <f t="shared" si="29"/>
        <v/>
      </c>
    </row>
    <row r="236" spans="2:9" hidden="1">
      <c r="B236" t="str">
        <f t="shared" si="24"/>
        <v>Wielkopolskie</v>
      </c>
      <c r="C236" t="str">
        <f t="shared" si="25"/>
        <v/>
      </c>
      <c r="D236" t="str">
        <f t="shared" si="26"/>
        <v/>
      </c>
      <c r="E236" t="str">
        <f t="shared" si="27"/>
        <v/>
      </c>
      <c r="F236" t="str">
        <f t="shared" si="30"/>
        <v/>
      </c>
      <c r="G236" t="str">
        <f t="shared" si="31"/>
        <v/>
      </c>
      <c r="H236" t="str">
        <f t="shared" si="28"/>
        <v/>
      </c>
      <c r="I236" t="str">
        <f t="shared" si="29"/>
        <v/>
      </c>
    </row>
    <row r="237" spans="2:9" hidden="1">
      <c r="B237" t="str">
        <f t="shared" si="24"/>
        <v>Wielkopolskie</v>
      </c>
      <c r="C237" t="str">
        <f t="shared" si="25"/>
        <v/>
      </c>
      <c r="D237" t="str">
        <f t="shared" si="26"/>
        <v/>
      </c>
      <c r="E237" t="str">
        <f t="shared" si="27"/>
        <v/>
      </c>
      <c r="F237" t="str">
        <f t="shared" si="30"/>
        <v/>
      </c>
      <c r="G237" t="str">
        <f t="shared" si="31"/>
        <v/>
      </c>
      <c r="H237" t="str">
        <f t="shared" si="28"/>
        <v/>
      </c>
      <c r="I237" t="str">
        <f t="shared" si="29"/>
        <v/>
      </c>
    </row>
    <row r="238" spans="2:9" hidden="1">
      <c r="B238" t="str">
        <f t="shared" si="24"/>
        <v>Wielkopolskie</v>
      </c>
      <c r="C238" t="str">
        <f t="shared" si="25"/>
        <v/>
      </c>
      <c r="D238" t="str">
        <f t="shared" si="26"/>
        <v/>
      </c>
      <c r="E238" t="str">
        <f t="shared" si="27"/>
        <v/>
      </c>
      <c r="F238" t="str">
        <f t="shared" si="30"/>
        <v/>
      </c>
      <c r="G238" t="str">
        <f t="shared" si="31"/>
        <v/>
      </c>
      <c r="H238" t="str">
        <f t="shared" si="28"/>
        <v/>
      </c>
      <c r="I238" t="str">
        <f t="shared" si="29"/>
        <v/>
      </c>
    </row>
    <row r="239" spans="2:9" hidden="1">
      <c r="B239" t="str">
        <f t="shared" si="24"/>
        <v>Wielkopolskie</v>
      </c>
      <c r="C239" t="str">
        <f t="shared" si="25"/>
        <v/>
      </c>
      <c r="D239" t="str">
        <f t="shared" si="26"/>
        <v/>
      </c>
      <c r="E239" t="str">
        <f t="shared" si="27"/>
        <v/>
      </c>
      <c r="F239" t="str">
        <f t="shared" si="30"/>
        <v/>
      </c>
      <c r="G239" t="str">
        <f t="shared" si="31"/>
        <v/>
      </c>
      <c r="H239" t="str">
        <f t="shared" si="28"/>
        <v/>
      </c>
      <c r="I239" t="str">
        <f t="shared" si="29"/>
        <v/>
      </c>
    </row>
    <row r="240" spans="2:9" hidden="1">
      <c r="B240" t="str">
        <f t="shared" si="24"/>
        <v>Wielkopolskie</v>
      </c>
      <c r="C240" t="str">
        <f t="shared" si="25"/>
        <v/>
      </c>
      <c r="D240" t="str">
        <f t="shared" si="26"/>
        <v/>
      </c>
      <c r="E240" t="str">
        <f t="shared" si="27"/>
        <v/>
      </c>
      <c r="F240" t="str">
        <f t="shared" si="30"/>
        <v/>
      </c>
      <c r="G240" t="str">
        <f t="shared" si="31"/>
        <v/>
      </c>
      <c r="H240" t="str">
        <f t="shared" si="28"/>
        <v/>
      </c>
      <c r="I240" t="str">
        <f t="shared" si="29"/>
        <v/>
      </c>
    </row>
    <row r="241" spans="2:9" hidden="1">
      <c r="B241" t="str">
        <f t="shared" si="24"/>
        <v>Wielkopolskie</v>
      </c>
      <c r="C241" t="str">
        <f t="shared" si="25"/>
        <v/>
      </c>
      <c r="D241" t="str">
        <f t="shared" si="26"/>
        <v/>
      </c>
      <c r="E241" t="str">
        <f t="shared" si="27"/>
        <v/>
      </c>
      <c r="F241" t="str">
        <f t="shared" si="30"/>
        <v/>
      </c>
      <c r="G241" t="str">
        <f t="shared" si="31"/>
        <v/>
      </c>
      <c r="H241" t="str">
        <f t="shared" si="28"/>
        <v/>
      </c>
      <c r="I241" t="str">
        <f t="shared" si="29"/>
        <v/>
      </c>
    </row>
    <row r="242" spans="2:9" hidden="1">
      <c r="B242" t="str">
        <f t="shared" si="24"/>
        <v>Wielkopolskie</v>
      </c>
      <c r="C242" t="str">
        <f t="shared" si="25"/>
        <v/>
      </c>
      <c r="D242" t="str">
        <f t="shared" si="26"/>
        <v/>
      </c>
      <c r="E242" t="str">
        <f t="shared" si="27"/>
        <v/>
      </c>
      <c r="F242" t="str">
        <f t="shared" si="30"/>
        <v/>
      </c>
      <c r="G242" t="str">
        <f t="shared" si="31"/>
        <v/>
      </c>
      <c r="H242" t="str">
        <f t="shared" si="28"/>
        <v/>
      </c>
      <c r="I242" t="str">
        <f t="shared" si="29"/>
        <v/>
      </c>
    </row>
    <row r="243" spans="2:9" hidden="1">
      <c r="B243" t="str">
        <f t="shared" si="24"/>
        <v>Wielkopolskie</v>
      </c>
      <c r="C243" t="str">
        <f t="shared" si="25"/>
        <v/>
      </c>
      <c r="D243" t="str">
        <f t="shared" si="26"/>
        <v/>
      </c>
      <c r="E243" t="str">
        <f t="shared" si="27"/>
        <v/>
      </c>
      <c r="F243" t="str">
        <f t="shared" si="30"/>
        <v/>
      </c>
      <c r="G243" t="str">
        <f t="shared" si="31"/>
        <v/>
      </c>
      <c r="H243" t="str">
        <f t="shared" si="28"/>
        <v/>
      </c>
      <c r="I243" t="str">
        <f t="shared" si="29"/>
        <v/>
      </c>
    </row>
    <row r="244" spans="2:9" hidden="1">
      <c r="B244" t="str">
        <f t="shared" si="24"/>
        <v>Wielkopolskie</v>
      </c>
      <c r="C244" t="str">
        <f t="shared" si="25"/>
        <v/>
      </c>
      <c r="D244" t="str">
        <f t="shared" si="26"/>
        <v/>
      </c>
      <c r="E244" t="str">
        <f t="shared" si="27"/>
        <v/>
      </c>
      <c r="F244" t="str">
        <f t="shared" si="30"/>
        <v/>
      </c>
      <c r="G244" t="str">
        <f t="shared" si="31"/>
        <v/>
      </c>
      <c r="H244" t="str">
        <f t="shared" si="28"/>
        <v/>
      </c>
      <c r="I244" t="str">
        <f t="shared" si="29"/>
        <v/>
      </c>
    </row>
    <row r="245" spans="2:9" hidden="1">
      <c r="B245" t="str">
        <f t="shared" si="24"/>
        <v>Wielkopolskie</v>
      </c>
      <c r="C245" t="str">
        <f t="shared" si="25"/>
        <v/>
      </c>
      <c r="D245" t="str">
        <f t="shared" si="26"/>
        <v/>
      </c>
      <c r="E245" t="str">
        <f t="shared" si="27"/>
        <v/>
      </c>
      <c r="F245" t="str">
        <f t="shared" si="30"/>
        <v/>
      </c>
      <c r="G245" t="str">
        <f t="shared" si="31"/>
        <v/>
      </c>
      <c r="H245" t="str">
        <f t="shared" si="28"/>
        <v/>
      </c>
      <c r="I245" t="str">
        <f t="shared" si="29"/>
        <v/>
      </c>
    </row>
    <row r="246" spans="2:9" hidden="1">
      <c r="B246" t="str">
        <f t="shared" si="24"/>
        <v>Wielkopolskie</v>
      </c>
      <c r="C246" t="str">
        <f t="shared" si="25"/>
        <v/>
      </c>
      <c r="D246" t="str">
        <f t="shared" si="26"/>
        <v/>
      </c>
      <c r="E246" t="str">
        <f t="shared" si="27"/>
        <v/>
      </c>
      <c r="F246" t="str">
        <f t="shared" si="30"/>
        <v/>
      </c>
      <c r="G246" t="str">
        <f t="shared" si="31"/>
        <v/>
      </c>
      <c r="H246" t="str">
        <f t="shared" si="28"/>
        <v/>
      </c>
      <c r="I246" t="str">
        <f t="shared" si="29"/>
        <v/>
      </c>
    </row>
    <row r="247" spans="2:9" hidden="1">
      <c r="B247" t="str">
        <f t="shared" si="24"/>
        <v>Wielkopolskie</v>
      </c>
      <c r="C247" t="str">
        <f t="shared" si="25"/>
        <v/>
      </c>
      <c r="D247" t="str">
        <f t="shared" si="26"/>
        <v/>
      </c>
      <c r="E247" t="str">
        <f t="shared" si="27"/>
        <v/>
      </c>
      <c r="F247" t="str">
        <f t="shared" si="30"/>
        <v/>
      </c>
      <c r="G247" t="str">
        <f t="shared" si="31"/>
        <v/>
      </c>
      <c r="H247" t="str">
        <f t="shared" si="28"/>
        <v/>
      </c>
      <c r="I247" t="str">
        <f t="shared" si="29"/>
        <v/>
      </c>
    </row>
    <row r="248" spans="2:9" hidden="1">
      <c r="B248" t="str">
        <f t="shared" si="24"/>
        <v>Wielkopolskie</v>
      </c>
      <c r="C248" t="str">
        <f t="shared" si="25"/>
        <v/>
      </c>
      <c r="D248" t="str">
        <f t="shared" si="26"/>
        <v/>
      </c>
      <c r="E248" t="str">
        <f t="shared" si="27"/>
        <v/>
      </c>
      <c r="F248" t="str">
        <f t="shared" si="30"/>
        <v/>
      </c>
      <c r="G248" t="str">
        <f t="shared" si="31"/>
        <v/>
      </c>
      <c r="H248" t="str">
        <f t="shared" si="28"/>
        <v/>
      </c>
      <c r="I248" t="str">
        <f t="shared" si="29"/>
        <v/>
      </c>
    </row>
    <row r="249" spans="2:9" hidden="1">
      <c r="B249" t="str">
        <f t="shared" si="24"/>
        <v>Wielkopolskie</v>
      </c>
      <c r="C249" t="str">
        <f t="shared" si="25"/>
        <v/>
      </c>
      <c r="D249" t="str">
        <f t="shared" si="26"/>
        <v/>
      </c>
      <c r="E249" t="str">
        <f t="shared" si="27"/>
        <v/>
      </c>
      <c r="F249" t="str">
        <f t="shared" si="30"/>
        <v/>
      </c>
      <c r="G249" t="str">
        <f t="shared" si="31"/>
        <v/>
      </c>
      <c r="H249" t="str">
        <f t="shared" si="28"/>
        <v/>
      </c>
      <c r="I249" t="str">
        <f t="shared" si="29"/>
        <v/>
      </c>
    </row>
    <row r="250" spans="2:9" hidden="1">
      <c r="B250" t="str">
        <f t="shared" si="24"/>
        <v>Wielkopolskie</v>
      </c>
      <c r="C250" t="str">
        <f t="shared" si="25"/>
        <v/>
      </c>
      <c r="D250" t="str">
        <f t="shared" si="26"/>
        <v/>
      </c>
      <c r="E250" t="str">
        <f t="shared" si="27"/>
        <v/>
      </c>
      <c r="F250" t="str">
        <f t="shared" si="30"/>
        <v/>
      </c>
      <c r="G250" t="str">
        <f t="shared" si="31"/>
        <v/>
      </c>
      <c r="H250" t="str">
        <f t="shared" si="28"/>
        <v/>
      </c>
      <c r="I250" t="str">
        <f t="shared" si="29"/>
        <v/>
      </c>
    </row>
    <row r="251" spans="2:9" hidden="1">
      <c r="B251" t="str">
        <f t="shared" si="24"/>
        <v>Wielkopolskie</v>
      </c>
      <c r="C251" t="str">
        <f t="shared" si="25"/>
        <v/>
      </c>
      <c r="D251" t="str">
        <f t="shared" si="26"/>
        <v/>
      </c>
      <c r="E251" t="str">
        <f t="shared" si="27"/>
        <v/>
      </c>
      <c r="F251" t="str">
        <f t="shared" si="30"/>
        <v/>
      </c>
      <c r="G251" t="str">
        <f t="shared" si="31"/>
        <v/>
      </c>
      <c r="H251" t="str">
        <f t="shared" si="28"/>
        <v/>
      </c>
      <c r="I251" t="str">
        <f t="shared" si="29"/>
        <v/>
      </c>
    </row>
    <row r="252" spans="2:9" hidden="1">
      <c r="B252" t="str">
        <f t="shared" si="24"/>
        <v>Wielkopolskie</v>
      </c>
      <c r="C252" t="str">
        <f t="shared" si="25"/>
        <v/>
      </c>
      <c r="D252" t="str">
        <f t="shared" si="26"/>
        <v/>
      </c>
      <c r="E252" t="str">
        <f t="shared" si="27"/>
        <v/>
      </c>
      <c r="F252" t="str">
        <f t="shared" si="30"/>
        <v/>
      </c>
      <c r="G252" t="str">
        <f t="shared" si="31"/>
        <v/>
      </c>
      <c r="H252" t="str">
        <f t="shared" si="28"/>
        <v/>
      </c>
      <c r="I252" t="str">
        <f t="shared" si="29"/>
        <v/>
      </c>
    </row>
    <row r="253" spans="2:9" hidden="1">
      <c r="B253" t="str">
        <f t="shared" si="24"/>
        <v>Wielkopolskie</v>
      </c>
      <c r="C253" t="str">
        <f t="shared" si="25"/>
        <v/>
      </c>
      <c r="D253" t="str">
        <f t="shared" si="26"/>
        <v/>
      </c>
      <c r="E253" t="str">
        <f t="shared" si="27"/>
        <v/>
      </c>
      <c r="F253" t="str">
        <f t="shared" si="30"/>
        <v/>
      </c>
      <c r="G253" t="str">
        <f t="shared" si="31"/>
        <v/>
      </c>
      <c r="H253" t="str">
        <f t="shared" si="28"/>
        <v/>
      </c>
      <c r="I253" t="str">
        <f t="shared" si="29"/>
        <v/>
      </c>
    </row>
    <row r="254" spans="2:9" hidden="1">
      <c r="B254" t="str">
        <f t="shared" si="24"/>
        <v>Wielkopolskie</v>
      </c>
      <c r="C254" t="str">
        <f t="shared" si="25"/>
        <v/>
      </c>
      <c r="D254" t="str">
        <f t="shared" si="26"/>
        <v/>
      </c>
      <c r="E254" t="str">
        <f t="shared" si="27"/>
        <v/>
      </c>
      <c r="F254" t="str">
        <f t="shared" si="30"/>
        <v/>
      </c>
      <c r="G254" t="str">
        <f t="shared" si="31"/>
        <v/>
      </c>
      <c r="H254" t="str">
        <f t="shared" si="28"/>
        <v/>
      </c>
      <c r="I254" t="str">
        <f t="shared" si="29"/>
        <v/>
      </c>
    </row>
    <row r="255" spans="2:9" hidden="1">
      <c r="B255" t="str">
        <f t="shared" si="24"/>
        <v>Wielkopolskie</v>
      </c>
      <c r="C255" t="str">
        <f t="shared" si="25"/>
        <v/>
      </c>
      <c r="D255" t="str">
        <f t="shared" si="26"/>
        <v/>
      </c>
      <c r="E255" t="str">
        <f t="shared" si="27"/>
        <v/>
      </c>
      <c r="F255" t="str">
        <f t="shared" si="30"/>
        <v/>
      </c>
      <c r="G255" t="str">
        <f t="shared" si="31"/>
        <v/>
      </c>
      <c r="H255" t="str">
        <f t="shared" si="28"/>
        <v/>
      </c>
      <c r="I255" t="str">
        <f t="shared" si="29"/>
        <v/>
      </c>
    </row>
    <row r="256" spans="2:9" hidden="1">
      <c r="B256" t="str">
        <f t="shared" si="24"/>
        <v>Wielkopolskie</v>
      </c>
      <c r="C256" t="str">
        <f t="shared" si="25"/>
        <v/>
      </c>
      <c r="D256" t="str">
        <f t="shared" si="26"/>
        <v/>
      </c>
      <c r="E256" t="str">
        <f t="shared" si="27"/>
        <v/>
      </c>
      <c r="F256" t="str">
        <f t="shared" si="30"/>
        <v/>
      </c>
      <c r="G256" t="str">
        <f t="shared" si="31"/>
        <v/>
      </c>
      <c r="H256" t="str">
        <f t="shared" si="28"/>
        <v/>
      </c>
      <c r="I256" t="str">
        <f t="shared" si="29"/>
        <v/>
      </c>
    </row>
    <row r="257" spans="2:9" hidden="1">
      <c r="B257" t="str">
        <f t="shared" si="24"/>
        <v>Wielkopolskie</v>
      </c>
      <c r="C257" t="str">
        <f t="shared" si="25"/>
        <v/>
      </c>
      <c r="D257" t="str">
        <f t="shared" si="26"/>
        <v/>
      </c>
      <c r="E257" t="str">
        <f t="shared" si="27"/>
        <v/>
      </c>
      <c r="F257" t="str">
        <f t="shared" si="30"/>
        <v/>
      </c>
      <c r="G257" t="str">
        <f t="shared" si="31"/>
        <v/>
      </c>
      <c r="H257" t="str">
        <f t="shared" si="28"/>
        <v/>
      </c>
      <c r="I257" t="str">
        <f t="shared" si="29"/>
        <v/>
      </c>
    </row>
    <row r="258" spans="2:9" hidden="1">
      <c r="B258" t="str">
        <f t="shared" ref="B258:B321" si="32">+IF(AND(C258&gt;"",ISERR(FIND("DKK",A257))),A257,B257)</f>
        <v>Wielkopolskie</v>
      </c>
      <c r="C258" t="str">
        <f t="shared" ref="C258:C321" si="33">IF(ISERR(FIND($C$1,A258,1)),"",A258)</f>
        <v/>
      </c>
      <c r="D258" t="str">
        <f t="shared" ref="D258:D321" si="34">IF(C258&gt;"",A259,"")</f>
        <v/>
      </c>
      <c r="E258" t="str">
        <f t="shared" ref="E258:E321" si="35">IF(C258&gt;"",A260,"")</f>
        <v/>
      </c>
      <c r="F258" t="str">
        <f t="shared" si="30"/>
        <v/>
      </c>
      <c r="G258" t="str">
        <f t="shared" si="31"/>
        <v/>
      </c>
      <c r="H258" t="str">
        <f t="shared" ref="H258:H321" si="36">IF(E258&gt;"",IF(ISERR(FIND("DKK",A264)),"",A264),"")</f>
        <v/>
      </c>
      <c r="I258" t="str">
        <f t="shared" ref="I258:I321" si="37">IF(E258&gt;"",IF(ISERR(FIND("DKK",A265)),"",A265),"")</f>
        <v/>
      </c>
    </row>
    <row r="259" spans="2:9" hidden="1">
      <c r="B259" t="str">
        <f t="shared" si="32"/>
        <v>Wielkopolskie</v>
      </c>
      <c r="C259" t="str">
        <f t="shared" si="33"/>
        <v/>
      </c>
      <c r="D259" t="str">
        <f t="shared" si="34"/>
        <v/>
      </c>
      <c r="E259" t="str">
        <f t="shared" si="35"/>
        <v/>
      </c>
      <c r="F259" t="str">
        <f t="shared" ref="F259:F322" si="38">IF(C259&gt;"",MID(A263,FIND("tel.",A263)+5,15),"")</f>
        <v/>
      </c>
      <c r="G259" t="str">
        <f t="shared" ref="G259:G322" si="39">IF(E259&gt;"",MID(A262,FIND("mail:",A262)+6,100),"")</f>
        <v/>
      </c>
      <c r="H259" t="str">
        <f t="shared" si="36"/>
        <v/>
      </c>
      <c r="I259" t="str">
        <f t="shared" si="37"/>
        <v/>
      </c>
    </row>
    <row r="260" spans="2:9" hidden="1">
      <c r="B260" t="str">
        <f t="shared" si="32"/>
        <v>Wielkopolskie</v>
      </c>
      <c r="C260" t="str">
        <f t="shared" si="33"/>
        <v/>
      </c>
      <c r="D260" t="str">
        <f t="shared" si="34"/>
        <v/>
      </c>
      <c r="E260" t="str">
        <f t="shared" si="35"/>
        <v/>
      </c>
      <c r="F260" t="str">
        <f t="shared" si="38"/>
        <v/>
      </c>
      <c r="G260" t="str">
        <f t="shared" si="39"/>
        <v/>
      </c>
      <c r="H260" t="str">
        <f t="shared" si="36"/>
        <v/>
      </c>
      <c r="I260" t="str">
        <f t="shared" si="37"/>
        <v/>
      </c>
    </row>
    <row r="261" spans="2:9" hidden="1">
      <c r="B261" t="str">
        <f t="shared" si="32"/>
        <v>Wielkopolskie</v>
      </c>
      <c r="C261" t="str">
        <f t="shared" si="33"/>
        <v/>
      </c>
      <c r="D261" t="str">
        <f t="shared" si="34"/>
        <v/>
      </c>
      <c r="E261" t="str">
        <f t="shared" si="35"/>
        <v/>
      </c>
      <c r="F261" t="str">
        <f t="shared" si="38"/>
        <v/>
      </c>
      <c r="G261" t="str">
        <f t="shared" si="39"/>
        <v/>
      </c>
      <c r="H261" t="str">
        <f t="shared" si="36"/>
        <v/>
      </c>
      <c r="I261" t="str">
        <f t="shared" si="37"/>
        <v/>
      </c>
    </row>
    <row r="262" spans="2:9" hidden="1">
      <c r="B262" t="str">
        <f t="shared" si="32"/>
        <v>Wielkopolskie</v>
      </c>
      <c r="C262" t="str">
        <f t="shared" si="33"/>
        <v/>
      </c>
      <c r="D262" t="str">
        <f t="shared" si="34"/>
        <v/>
      </c>
      <c r="E262" t="str">
        <f t="shared" si="35"/>
        <v/>
      </c>
      <c r="F262" t="str">
        <f t="shared" si="38"/>
        <v/>
      </c>
      <c r="G262" t="str">
        <f t="shared" si="39"/>
        <v/>
      </c>
      <c r="H262" t="str">
        <f t="shared" si="36"/>
        <v/>
      </c>
      <c r="I262" t="str">
        <f t="shared" si="37"/>
        <v/>
      </c>
    </row>
    <row r="263" spans="2:9" hidden="1">
      <c r="B263" t="str">
        <f t="shared" si="32"/>
        <v>Wielkopolskie</v>
      </c>
      <c r="C263" t="str">
        <f t="shared" si="33"/>
        <v/>
      </c>
      <c r="D263" t="str">
        <f t="shared" si="34"/>
        <v/>
      </c>
      <c r="E263" t="str">
        <f t="shared" si="35"/>
        <v/>
      </c>
      <c r="F263" t="str">
        <f t="shared" si="38"/>
        <v/>
      </c>
      <c r="G263" t="str">
        <f t="shared" si="39"/>
        <v/>
      </c>
      <c r="H263" t="str">
        <f t="shared" si="36"/>
        <v/>
      </c>
      <c r="I263" t="str">
        <f t="shared" si="37"/>
        <v/>
      </c>
    </row>
    <row r="264" spans="2:9" hidden="1">
      <c r="B264" t="str">
        <f t="shared" si="32"/>
        <v>Wielkopolskie</v>
      </c>
      <c r="C264" t="str">
        <f t="shared" si="33"/>
        <v/>
      </c>
      <c r="D264" t="str">
        <f t="shared" si="34"/>
        <v/>
      </c>
      <c r="E264" t="str">
        <f t="shared" si="35"/>
        <v/>
      </c>
      <c r="F264" t="str">
        <f t="shared" si="38"/>
        <v/>
      </c>
      <c r="G264" t="str">
        <f t="shared" si="39"/>
        <v/>
      </c>
      <c r="H264" t="str">
        <f t="shared" si="36"/>
        <v/>
      </c>
      <c r="I264" t="str">
        <f t="shared" si="37"/>
        <v/>
      </c>
    </row>
    <row r="265" spans="2:9" hidden="1">
      <c r="B265" t="str">
        <f t="shared" si="32"/>
        <v>Wielkopolskie</v>
      </c>
      <c r="C265" t="str">
        <f t="shared" si="33"/>
        <v/>
      </c>
      <c r="D265" t="str">
        <f t="shared" si="34"/>
        <v/>
      </c>
      <c r="E265" t="str">
        <f t="shared" si="35"/>
        <v/>
      </c>
      <c r="F265" t="str">
        <f t="shared" si="38"/>
        <v/>
      </c>
      <c r="G265" t="str">
        <f t="shared" si="39"/>
        <v/>
      </c>
      <c r="H265" t="str">
        <f t="shared" si="36"/>
        <v/>
      </c>
      <c r="I265" t="str">
        <f t="shared" si="37"/>
        <v/>
      </c>
    </row>
    <row r="266" spans="2:9" hidden="1">
      <c r="B266" t="str">
        <f t="shared" si="32"/>
        <v>Wielkopolskie</v>
      </c>
      <c r="C266" t="str">
        <f t="shared" si="33"/>
        <v/>
      </c>
      <c r="D266" t="str">
        <f t="shared" si="34"/>
        <v/>
      </c>
      <c r="E266" t="str">
        <f t="shared" si="35"/>
        <v/>
      </c>
      <c r="F266" t="str">
        <f t="shared" si="38"/>
        <v/>
      </c>
      <c r="G266" t="str">
        <f t="shared" si="39"/>
        <v/>
      </c>
      <c r="H266" t="str">
        <f t="shared" si="36"/>
        <v/>
      </c>
      <c r="I266" t="str">
        <f t="shared" si="37"/>
        <v/>
      </c>
    </row>
    <row r="267" spans="2:9" hidden="1">
      <c r="B267" t="str">
        <f t="shared" si="32"/>
        <v>Wielkopolskie</v>
      </c>
      <c r="C267" t="str">
        <f t="shared" si="33"/>
        <v/>
      </c>
      <c r="D267" t="str">
        <f t="shared" si="34"/>
        <v/>
      </c>
      <c r="E267" t="str">
        <f t="shared" si="35"/>
        <v/>
      </c>
      <c r="F267" t="str">
        <f t="shared" si="38"/>
        <v/>
      </c>
      <c r="G267" t="str">
        <f t="shared" si="39"/>
        <v/>
      </c>
      <c r="H267" t="str">
        <f t="shared" si="36"/>
        <v/>
      </c>
      <c r="I267" t="str">
        <f t="shared" si="37"/>
        <v/>
      </c>
    </row>
    <row r="268" spans="2:9" hidden="1">
      <c r="B268" t="str">
        <f t="shared" si="32"/>
        <v>Wielkopolskie</v>
      </c>
      <c r="C268" t="str">
        <f t="shared" si="33"/>
        <v/>
      </c>
      <c r="D268" t="str">
        <f t="shared" si="34"/>
        <v/>
      </c>
      <c r="E268" t="str">
        <f t="shared" si="35"/>
        <v/>
      </c>
      <c r="F268" t="str">
        <f t="shared" si="38"/>
        <v/>
      </c>
      <c r="G268" t="str">
        <f t="shared" si="39"/>
        <v/>
      </c>
      <c r="H268" t="str">
        <f t="shared" si="36"/>
        <v/>
      </c>
      <c r="I268" t="str">
        <f t="shared" si="37"/>
        <v/>
      </c>
    </row>
    <row r="269" spans="2:9" hidden="1">
      <c r="B269" t="str">
        <f t="shared" si="32"/>
        <v>Wielkopolskie</v>
      </c>
      <c r="C269" t="str">
        <f t="shared" si="33"/>
        <v/>
      </c>
      <c r="D269" t="str">
        <f t="shared" si="34"/>
        <v/>
      </c>
      <c r="E269" t="str">
        <f t="shared" si="35"/>
        <v/>
      </c>
      <c r="F269" t="str">
        <f t="shared" si="38"/>
        <v/>
      </c>
      <c r="G269" t="str">
        <f t="shared" si="39"/>
        <v/>
      </c>
      <c r="H269" t="str">
        <f t="shared" si="36"/>
        <v/>
      </c>
      <c r="I269" t="str">
        <f t="shared" si="37"/>
        <v/>
      </c>
    </row>
    <row r="270" spans="2:9" hidden="1">
      <c r="B270" t="str">
        <f t="shared" si="32"/>
        <v>Wielkopolskie</v>
      </c>
      <c r="C270" t="str">
        <f t="shared" si="33"/>
        <v/>
      </c>
      <c r="D270" t="str">
        <f t="shared" si="34"/>
        <v/>
      </c>
      <c r="E270" t="str">
        <f t="shared" si="35"/>
        <v/>
      </c>
      <c r="F270" t="str">
        <f t="shared" si="38"/>
        <v/>
      </c>
      <c r="G270" t="str">
        <f t="shared" si="39"/>
        <v/>
      </c>
      <c r="H270" t="str">
        <f t="shared" si="36"/>
        <v/>
      </c>
      <c r="I270" t="str">
        <f t="shared" si="37"/>
        <v/>
      </c>
    </row>
    <row r="271" spans="2:9" hidden="1">
      <c r="B271" t="str">
        <f t="shared" si="32"/>
        <v>Wielkopolskie</v>
      </c>
      <c r="C271" t="str">
        <f t="shared" si="33"/>
        <v/>
      </c>
      <c r="D271" t="str">
        <f t="shared" si="34"/>
        <v/>
      </c>
      <c r="E271" t="str">
        <f t="shared" si="35"/>
        <v/>
      </c>
      <c r="F271" t="str">
        <f t="shared" si="38"/>
        <v/>
      </c>
      <c r="G271" t="str">
        <f t="shared" si="39"/>
        <v/>
      </c>
      <c r="H271" t="str">
        <f t="shared" si="36"/>
        <v/>
      </c>
      <c r="I271" t="str">
        <f t="shared" si="37"/>
        <v/>
      </c>
    </row>
    <row r="272" spans="2:9" hidden="1">
      <c r="B272" t="str">
        <f t="shared" si="32"/>
        <v>Wielkopolskie</v>
      </c>
      <c r="C272" t="str">
        <f t="shared" si="33"/>
        <v/>
      </c>
      <c r="D272" t="str">
        <f t="shared" si="34"/>
        <v/>
      </c>
      <c r="E272" t="str">
        <f t="shared" si="35"/>
        <v/>
      </c>
      <c r="F272" t="str">
        <f t="shared" si="38"/>
        <v/>
      </c>
      <c r="G272" t="str">
        <f t="shared" si="39"/>
        <v/>
      </c>
      <c r="H272" t="str">
        <f t="shared" si="36"/>
        <v/>
      </c>
      <c r="I272" t="str">
        <f t="shared" si="37"/>
        <v/>
      </c>
    </row>
    <row r="273" spans="2:9" hidden="1">
      <c r="B273" t="str">
        <f t="shared" si="32"/>
        <v>Wielkopolskie</v>
      </c>
      <c r="C273" t="str">
        <f t="shared" si="33"/>
        <v/>
      </c>
      <c r="D273" t="str">
        <f t="shared" si="34"/>
        <v/>
      </c>
      <c r="E273" t="str">
        <f t="shared" si="35"/>
        <v/>
      </c>
      <c r="F273" t="str">
        <f t="shared" si="38"/>
        <v/>
      </c>
      <c r="G273" t="str">
        <f t="shared" si="39"/>
        <v/>
      </c>
      <c r="H273" t="str">
        <f t="shared" si="36"/>
        <v/>
      </c>
      <c r="I273" t="str">
        <f t="shared" si="37"/>
        <v/>
      </c>
    </row>
    <row r="274" spans="2:9" hidden="1">
      <c r="B274" t="str">
        <f t="shared" si="32"/>
        <v>Wielkopolskie</v>
      </c>
      <c r="C274" t="str">
        <f t="shared" si="33"/>
        <v/>
      </c>
      <c r="D274" t="str">
        <f t="shared" si="34"/>
        <v/>
      </c>
      <c r="E274" t="str">
        <f t="shared" si="35"/>
        <v/>
      </c>
      <c r="F274" t="str">
        <f t="shared" si="38"/>
        <v/>
      </c>
      <c r="G274" t="str">
        <f t="shared" si="39"/>
        <v/>
      </c>
      <c r="H274" t="str">
        <f t="shared" si="36"/>
        <v/>
      </c>
      <c r="I274" t="str">
        <f t="shared" si="37"/>
        <v/>
      </c>
    </row>
    <row r="275" spans="2:9" hidden="1">
      <c r="B275" t="str">
        <f t="shared" si="32"/>
        <v>Wielkopolskie</v>
      </c>
      <c r="C275" t="str">
        <f t="shared" si="33"/>
        <v/>
      </c>
      <c r="D275" t="str">
        <f t="shared" si="34"/>
        <v/>
      </c>
      <c r="E275" t="str">
        <f t="shared" si="35"/>
        <v/>
      </c>
      <c r="F275" t="str">
        <f t="shared" si="38"/>
        <v/>
      </c>
      <c r="G275" t="str">
        <f t="shared" si="39"/>
        <v/>
      </c>
      <c r="H275" t="str">
        <f t="shared" si="36"/>
        <v/>
      </c>
      <c r="I275" t="str">
        <f t="shared" si="37"/>
        <v/>
      </c>
    </row>
    <row r="276" spans="2:9" hidden="1">
      <c r="B276" t="str">
        <f t="shared" si="32"/>
        <v>Wielkopolskie</v>
      </c>
      <c r="C276" t="str">
        <f t="shared" si="33"/>
        <v/>
      </c>
      <c r="D276" t="str">
        <f t="shared" si="34"/>
        <v/>
      </c>
      <c r="E276" t="str">
        <f t="shared" si="35"/>
        <v/>
      </c>
      <c r="F276" t="str">
        <f t="shared" si="38"/>
        <v/>
      </c>
      <c r="G276" t="str">
        <f t="shared" si="39"/>
        <v/>
      </c>
      <c r="H276" t="str">
        <f t="shared" si="36"/>
        <v/>
      </c>
      <c r="I276" t="str">
        <f t="shared" si="37"/>
        <v/>
      </c>
    </row>
    <row r="277" spans="2:9" hidden="1">
      <c r="B277" t="str">
        <f t="shared" si="32"/>
        <v>Wielkopolskie</v>
      </c>
      <c r="C277" t="str">
        <f t="shared" si="33"/>
        <v/>
      </c>
      <c r="D277" t="str">
        <f t="shared" si="34"/>
        <v/>
      </c>
      <c r="E277" t="str">
        <f t="shared" si="35"/>
        <v/>
      </c>
      <c r="F277" t="str">
        <f t="shared" si="38"/>
        <v/>
      </c>
      <c r="G277" t="str">
        <f t="shared" si="39"/>
        <v/>
      </c>
      <c r="H277" t="str">
        <f t="shared" si="36"/>
        <v/>
      </c>
      <c r="I277" t="str">
        <f t="shared" si="37"/>
        <v/>
      </c>
    </row>
    <row r="278" spans="2:9" hidden="1">
      <c r="B278" t="str">
        <f t="shared" si="32"/>
        <v>Wielkopolskie</v>
      </c>
      <c r="C278" t="str">
        <f t="shared" si="33"/>
        <v/>
      </c>
      <c r="D278" t="str">
        <f t="shared" si="34"/>
        <v/>
      </c>
      <c r="E278" t="str">
        <f t="shared" si="35"/>
        <v/>
      </c>
      <c r="F278" t="str">
        <f t="shared" si="38"/>
        <v/>
      </c>
      <c r="G278" t="str">
        <f t="shared" si="39"/>
        <v/>
      </c>
      <c r="H278" t="str">
        <f t="shared" si="36"/>
        <v/>
      </c>
      <c r="I278" t="str">
        <f t="shared" si="37"/>
        <v/>
      </c>
    </row>
    <row r="279" spans="2:9" hidden="1">
      <c r="B279" t="str">
        <f t="shared" si="32"/>
        <v>Wielkopolskie</v>
      </c>
      <c r="C279" t="str">
        <f t="shared" si="33"/>
        <v/>
      </c>
      <c r="D279" t="str">
        <f t="shared" si="34"/>
        <v/>
      </c>
      <c r="E279" t="str">
        <f t="shared" si="35"/>
        <v/>
      </c>
      <c r="F279" t="str">
        <f t="shared" si="38"/>
        <v/>
      </c>
      <c r="G279" t="str">
        <f t="shared" si="39"/>
        <v/>
      </c>
      <c r="H279" t="str">
        <f t="shared" si="36"/>
        <v/>
      </c>
      <c r="I279" t="str">
        <f t="shared" si="37"/>
        <v/>
      </c>
    </row>
    <row r="280" spans="2:9" hidden="1">
      <c r="B280" t="str">
        <f t="shared" si="32"/>
        <v>Wielkopolskie</v>
      </c>
      <c r="C280" t="str">
        <f t="shared" si="33"/>
        <v/>
      </c>
      <c r="D280" t="str">
        <f t="shared" si="34"/>
        <v/>
      </c>
      <c r="E280" t="str">
        <f t="shared" si="35"/>
        <v/>
      </c>
      <c r="F280" t="str">
        <f t="shared" si="38"/>
        <v/>
      </c>
      <c r="G280" t="str">
        <f t="shared" si="39"/>
        <v/>
      </c>
      <c r="H280" t="str">
        <f t="shared" si="36"/>
        <v/>
      </c>
      <c r="I280" t="str">
        <f t="shared" si="37"/>
        <v/>
      </c>
    </row>
    <row r="281" spans="2:9" hidden="1">
      <c r="B281" t="str">
        <f t="shared" si="32"/>
        <v>Wielkopolskie</v>
      </c>
      <c r="C281" t="str">
        <f t="shared" si="33"/>
        <v/>
      </c>
      <c r="D281" t="str">
        <f t="shared" si="34"/>
        <v/>
      </c>
      <c r="E281" t="str">
        <f t="shared" si="35"/>
        <v/>
      </c>
      <c r="F281" t="str">
        <f t="shared" si="38"/>
        <v/>
      </c>
      <c r="G281" t="str">
        <f t="shared" si="39"/>
        <v/>
      </c>
      <c r="H281" t="str">
        <f t="shared" si="36"/>
        <v/>
      </c>
      <c r="I281" t="str">
        <f t="shared" si="37"/>
        <v/>
      </c>
    </row>
    <row r="282" spans="2:9" hidden="1">
      <c r="B282" t="str">
        <f t="shared" si="32"/>
        <v>Wielkopolskie</v>
      </c>
      <c r="C282" t="str">
        <f t="shared" si="33"/>
        <v/>
      </c>
      <c r="D282" t="str">
        <f t="shared" si="34"/>
        <v/>
      </c>
      <c r="E282" t="str">
        <f t="shared" si="35"/>
        <v/>
      </c>
      <c r="F282" t="str">
        <f t="shared" si="38"/>
        <v/>
      </c>
      <c r="G282" t="str">
        <f t="shared" si="39"/>
        <v/>
      </c>
      <c r="H282" t="str">
        <f t="shared" si="36"/>
        <v/>
      </c>
      <c r="I282" t="str">
        <f t="shared" si="37"/>
        <v/>
      </c>
    </row>
    <row r="283" spans="2:9" hidden="1">
      <c r="B283" t="str">
        <f t="shared" si="32"/>
        <v>Wielkopolskie</v>
      </c>
      <c r="C283" t="str">
        <f t="shared" si="33"/>
        <v/>
      </c>
      <c r="D283" t="str">
        <f t="shared" si="34"/>
        <v/>
      </c>
      <c r="E283" t="str">
        <f t="shared" si="35"/>
        <v/>
      </c>
      <c r="F283" t="str">
        <f t="shared" si="38"/>
        <v/>
      </c>
      <c r="G283" t="str">
        <f t="shared" si="39"/>
        <v/>
      </c>
      <c r="H283" t="str">
        <f t="shared" si="36"/>
        <v/>
      </c>
      <c r="I283" t="str">
        <f t="shared" si="37"/>
        <v/>
      </c>
    </row>
    <row r="284" spans="2:9" hidden="1">
      <c r="B284" t="str">
        <f t="shared" si="32"/>
        <v>Wielkopolskie</v>
      </c>
      <c r="C284" t="str">
        <f t="shared" si="33"/>
        <v/>
      </c>
      <c r="D284" t="str">
        <f t="shared" si="34"/>
        <v/>
      </c>
      <c r="E284" t="str">
        <f t="shared" si="35"/>
        <v/>
      </c>
      <c r="F284" t="str">
        <f t="shared" si="38"/>
        <v/>
      </c>
      <c r="G284" t="str">
        <f t="shared" si="39"/>
        <v/>
      </c>
      <c r="H284" t="str">
        <f t="shared" si="36"/>
        <v/>
      </c>
      <c r="I284" t="str">
        <f t="shared" si="37"/>
        <v/>
      </c>
    </row>
    <row r="285" spans="2:9" hidden="1">
      <c r="B285" t="str">
        <f t="shared" si="32"/>
        <v>Wielkopolskie</v>
      </c>
      <c r="C285" t="str">
        <f t="shared" si="33"/>
        <v/>
      </c>
      <c r="D285" t="str">
        <f t="shared" si="34"/>
        <v/>
      </c>
      <c r="E285" t="str">
        <f t="shared" si="35"/>
        <v/>
      </c>
      <c r="F285" t="str">
        <f t="shared" si="38"/>
        <v/>
      </c>
      <c r="G285" t="str">
        <f t="shared" si="39"/>
        <v/>
      </c>
      <c r="H285" t="str">
        <f t="shared" si="36"/>
        <v/>
      </c>
      <c r="I285" t="str">
        <f t="shared" si="37"/>
        <v/>
      </c>
    </row>
    <row r="286" spans="2:9" hidden="1">
      <c r="B286" t="str">
        <f t="shared" si="32"/>
        <v>Wielkopolskie</v>
      </c>
      <c r="C286" t="str">
        <f t="shared" si="33"/>
        <v/>
      </c>
      <c r="D286" t="str">
        <f t="shared" si="34"/>
        <v/>
      </c>
      <c r="E286" t="str">
        <f t="shared" si="35"/>
        <v/>
      </c>
      <c r="F286" t="str">
        <f t="shared" si="38"/>
        <v/>
      </c>
      <c r="G286" t="str">
        <f t="shared" si="39"/>
        <v/>
      </c>
      <c r="H286" t="str">
        <f t="shared" si="36"/>
        <v/>
      </c>
      <c r="I286" t="str">
        <f t="shared" si="37"/>
        <v/>
      </c>
    </row>
    <row r="287" spans="2:9" hidden="1">
      <c r="B287" t="str">
        <f t="shared" si="32"/>
        <v>Wielkopolskie</v>
      </c>
      <c r="C287" t="str">
        <f t="shared" si="33"/>
        <v/>
      </c>
      <c r="D287" t="str">
        <f t="shared" si="34"/>
        <v/>
      </c>
      <c r="E287" t="str">
        <f t="shared" si="35"/>
        <v/>
      </c>
      <c r="F287" t="str">
        <f t="shared" si="38"/>
        <v/>
      </c>
      <c r="G287" t="str">
        <f t="shared" si="39"/>
        <v/>
      </c>
      <c r="H287" t="str">
        <f t="shared" si="36"/>
        <v/>
      </c>
      <c r="I287" t="str">
        <f t="shared" si="37"/>
        <v/>
      </c>
    </row>
    <row r="288" spans="2:9" hidden="1">
      <c r="B288" t="str">
        <f t="shared" si="32"/>
        <v>Wielkopolskie</v>
      </c>
      <c r="C288" t="str">
        <f t="shared" si="33"/>
        <v/>
      </c>
      <c r="D288" t="str">
        <f t="shared" si="34"/>
        <v/>
      </c>
      <c r="E288" t="str">
        <f t="shared" si="35"/>
        <v/>
      </c>
      <c r="F288" t="str">
        <f t="shared" si="38"/>
        <v/>
      </c>
      <c r="G288" t="str">
        <f t="shared" si="39"/>
        <v/>
      </c>
      <c r="H288" t="str">
        <f t="shared" si="36"/>
        <v/>
      </c>
      <c r="I288" t="str">
        <f t="shared" si="37"/>
        <v/>
      </c>
    </row>
    <row r="289" spans="2:9" hidden="1">
      <c r="B289" t="str">
        <f t="shared" si="32"/>
        <v>Wielkopolskie</v>
      </c>
      <c r="C289" t="str">
        <f t="shared" si="33"/>
        <v/>
      </c>
      <c r="D289" t="str">
        <f t="shared" si="34"/>
        <v/>
      </c>
      <c r="E289" t="str">
        <f t="shared" si="35"/>
        <v/>
      </c>
      <c r="F289" t="str">
        <f t="shared" si="38"/>
        <v/>
      </c>
      <c r="G289" t="str">
        <f t="shared" si="39"/>
        <v/>
      </c>
      <c r="H289" t="str">
        <f t="shared" si="36"/>
        <v/>
      </c>
      <c r="I289" t="str">
        <f t="shared" si="37"/>
        <v/>
      </c>
    </row>
    <row r="290" spans="2:9" hidden="1">
      <c r="B290" t="str">
        <f t="shared" si="32"/>
        <v>Wielkopolskie</v>
      </c>
      <c r="C290" t="str">
        <f t="shared" si="33"/>
        <v/>
      </c>
      <c r="D290" t="str">
        <f t="shared" si="34"/>
        <v/>
      </c>
      <c r="E290" t="str">
        <f t="shared" si="35"/>
        <v/>
      </c>
      <c r="F290" t="str">
        <f t="shared" si="38"/>
        <v/>
      </c>
      <c r="G290" t="str">
        <f t="shared" si="39"/>
        <v/>
      </c>
      <c r="H290" t="str">
        <f t="shared" si="36"/>
        <v/>
      </c>
      <c r="I290" t="str">
        <f t="shared" si="37"/>
        <v/>
      </c>
    </row>
    <row r="291" spans="2:9" hidden="1">
      <c r="B291" t="str">
        <f t="shared" si="32"/>
        <v>Wielkopolskie</v>
      </c>
      <c r="C291" t="str">
        <f t="shared" si="33"/>
        <v/>
      </c>
      <c r="D291" t="str">
        <f t="shared" si="34"/>
        <v/>
      </c>
      <c r="E291" t="str">
        <f t="shared" si="35"/>
        <v/>
      </c>
      <c r="F291" t="str">
        <f t="shared" si="38"/>
        <v/>
      </c>
      <c r="G291" t="str">
        <f t="shared" si="39"/>
        <v/>
      </c>
      <c r="H291" t="str">
        <f t="shared" si="36"/>
        <v/>
      </c>
      <c r="I291" t="str">
        <f t="shared" si="37"/>
        <v/>
      </c>
    </row>
    <row r="292" spans="2:9" hidden="1">
      <c r="B292" t="str">
        <f t="shared" si="32"/>
        <v>Wielkopolskie</v>
      </c>
      <c r="C292" t="str">
        <f t="shared" si="33"/>
        <v/>
      </c>
      <c r="D292" t="str">
        <f t="shared" si="34"/>
        <v/>
      </c>
      <c r="E292" t="str">
        <f t="shared" si="35"/>
        <v/>
      </c>
      <c r="F292" t="str">
        <f t="shared" si="38"/>
        <v/>
      </c>
      <c r="G292" t="str">
        <f t="shared" si="39"/>
        <v/>
      </c>
      <c r="H292" t="str">
        <f t="shared" si="36"/>
        <v/>
      </c>
      <c r="I292" t="str">
        <f t="shared" si="37"/>
        <v/>
      </c>
    </row>
    <row r="293" spans="2:9" hidden="1">
      <c r="B293" t="str">
        <f t="shared" si="32"/>
        <v>Wielkopolskie</v>
      </c>
      <c r="C293" t="str">
        <f t="shared" si="33"/>
        <v/>
      </c>
      <c r="D293" t="str">
        <f t="shared" si="34"/>
        <v/>
      </c>
      <c r="E293" t="str">
        <f t="shared" si="35"/>
        <v/>
      </c>
      <c r="F293" t="str">
        <f t="shared" si="38"/>
        <v/>
      </c>
      <c r="G293" t="str">
        <f t="shared" si="39"/>
        <v/>
      </c>
      <c r="H293" t="str">
        <f t="shared" si="36"/>
        <v/>
      </c>
      <c r="I293" t="str">
        <f t="shared" si="37"/>
        <v/>
      </c>
    </row>
    <row r="294" spans="2:9" hidden="1">
      <c r="B294" t="str">
        <f t="shared" si="32"/>
        <v>Wielkopolskie</v>
      </c>
      <c r="C294" t="str">
        <f t="shared" si="33"/>
        <v/>
      </c>
      <c r="D294" t="str">
        <f t="shared" si="34"/>
        <v/>
      </c>
      <c r="E294" t="str">
        <f t="shared" si="35"/>
        <v/>
      </c>
      <c r="F294" t="str">
        <f t="shared" si="38"/>
        <v/>
      </c>
      <c r="G294" t="str">
        <f t="shared" si="39"/>
        <v/>
      </c>
      <c r="H294" t="str">
        <f t="shared" si="36"/>
        <v/>
      </c>
      <c r="I294" t="str">
        <f t="shared" si="37"/>
        <v/>
      </c>
    </row>
    <row r="295" spans="2:9" hidden="1">
      <c r="B295" t="str">
        <f t="shared" si="32"/>
        <v>Wielkopolskie</v>
      </c>
      <c r="C295" t="str">
        <f t="shared" si="33"/>
        <v/>
      </c>
      <c r="D295" t="str">
        <f t="shared" si="34"/>
        <v/>
      </c>
      <c r="E295" t="str">
        <f t="shared" si="35"/>
        <v/>
      </c>
      <c r="F295" t="str">
        <f t="shared" si="38"/>
        <v/>
      </c>
      <c r="G295" t="str">
        <f t="shared" si="39"/>
        <v/>
      </c>
      <c r="H295" t="str">
        <f t="shared" si="36"/>
        <v/>
      </c>
      <c r="I295" t="str">
        <f t="shared" si="37"/>
        <v/>
      </c>
    </row>
    <row r="296" spans="2:9" hidden="1">
      <c r="B296" t="str">
        <f t="shared" si="32"/>
        <v>Wielkopolskie</v>
      </c>
      <c r="C296" t="str">
        <f t="shared" si="33"/>
        <v/>
      </c>
      <c r="D296" t="str">
        <f t="shared" si="34"/>
        <v/>
      </c>
      <c r="E296" t="str">
        <f t="shared" si="35"/>
        <v/>
      </c>
      <c r="F296" t="str">
        <f t="shared" si="38"/>
        <v/>
      </c>
      <c r="G296" t="str">
        <f t="shared" si="39"/>
        <v/>
      </c>
      <c r="H296" t="str">
        <f t="shared" si="36"/>
        <v/>
      </c>
      <c r="I296" t="str">
        <f t="shared" si="37"/>
        <v/>
      </c>
    </row>
    <row r="297" spans="2:9" hidden="1">
      <c r="B297" t="str">
        <f t="shared" si="32"/>
        <v>Wielkopolskie</v>
      </c>
      <c r="C297" t="str">
        <f t="shared" si="33"/>
        <v/>
      </c>
      <c r="D297" t="str">
        <f t="shared" si="34"/>
        <v/>
      </c>
      <c r="E297" t="str">
        <f t="shared" si="35"/>
        <v/>
      </c>
      <c r="F297" t="str">
        <f t="shared" si="38"/>
        <v/>
      </c>
      <c r="G297" t="str">
        <f t="shared" si="39"/>
        <v/>
      </c>
      <c r="H297" t="str">
        <f t="shared" si="36"/>
        <v/>
      </c>
      <c r="I297" t="str">
        <f t="shared" si="37"/>
        <v/>
      </c>
    </row>
    <row r="298" spans="2:9" hidden="1">
      <c r="B298" t="str">
        <f t="shared" si="32"/>
        <v>Wielkopolskie</v>
      </c>
      <c r="C298" t="str">
        <f t="shared" si="33"/>
        <v/>
      </c>
      <c r="D298" t="str">
        <f t="shared" si="34"/>
        <v/>
      </c>
      <c r="E298" t="str">
        <f t="shared" si="35"/>
        <v/>
      </c>
      <c r="F298" t="str">
        <f t="shared" si="38"/>
        <v/>
      </c>
      <c r="G298" t="str">
        <f t="shared" si="39"/>
        <v/>
      </c>
      <c r="H298" t="str">
        <f t="shared" si="36"/>
        <v/>
      </c>
      <c r="I298" t="str">
        <f t="shared" si="37"/>
        <v/>
      </c>
    </row>
    <row r="299" spans="2:9" hidden="1">
      <c r="B299" t="str">
        <f t="shared" si="32"/>
        <v>Wielkopolskie</v>
      </c>
      <c r="C299" t="str">
        <f t="shared" si="33"/>
        <v/>
      </c>
      <c r="D299" t="str">
        <f t="shared" si="34"/>
        <v/>
      </c>
      <c r="E299" t="str">
        <f t="shared" si="35"/>
        <v/>
      </c>
      <c r="F299" t="str">
        <f t="shared" si="38"/>
        <v/>
      </c>
      <c r="G299" t="str">
        <f t="shared" si="39"/>
        <v/>
      </c>
      <c r="H299" t="str">
        <f t="shared" si="36"/>
        <v/>
      </c>
      <c r="I299" t="str">
        <f t="shared" si="37"/>
        <v/>
      </c>
    </row>
    <row r="300" spans="2:9" hidden="1">
      <c r="B300" t="str">
        <f t="shared" si="32"/>
        <v>Wielkopolskie</v>
      </c>
      <c r="C300" t="str">
        <f t="shared" si="33"/>
        <v/>
      </c>
      <c r="D300" t="str">
        <f t="shared" si="34"/>
        <v/>
      </c>
      <c r="E300" t="str">
        <f t="shared" si="35"/>
        <v/>
      </c>
      <c r="F300" t="str">
        <f t="shared" si="38"/>
        <v/>
      </c>
      <c r="G300" t="str">
        <f t="shared" si="39"/>
        <v/>
      </c>
      <c r="H300" t="str">
        <f t="shared" si="36"/>
        <v/>
      </c>
      <c r="I300" t="str">
        <f t="shared" si="37"/>
        <v/>
      </c>
    </row>
    <row r="301" spans="2:9" hidden="1">
      <c r="B301" t="str">
        <f t="shared" si="32"/>
        <v>Wielkopolskie</v>
      </c>
      <c r="C301" t="str">
        <f t="shared" si="33"/>
        <v/>
      </c>
      <c r="D301" t="str">
        <f t="shared" si="34"/>
        <v/>
      </c>
      <c r="E301" t="str">
        <f t="shared" si="35"/>
        <v/>
      </c>
      <c r="F301" t="str">
        <f t="shared" si="38"/>
        <v/>
      </c>
      <c r="G301" t="str">
        <f t="shared" si="39"/>
        <v/>
      </c>
      <c r="H301" t="str">
        <f t="shared" si="36"/>
        <v/>
      </c>
      <c r="I301" t="str">
        <f t="shared" si="37"/>
        <v/>
      </c>
    </row>
    <row r="302" spans="2:9" hidden="1">
      <c r="B302" t="str">
        <f t="shared" si="32"/>
        <v>Wielkopolskie</v>
      </c>
      <c r="C302" t="str">
        <f t="shared" si="33"/>
        <v/>
      </c>
      <c r="D302" t="str">
        <f t="shared" si="34"/>
        <v/>
      </c>
      <c r="E302" t="str">
        <f t="shared" si="35"/>
        <v/>
      </c>
      <c r="F302" t="str">
        <f t="shared" si="38"/>
        <v/>
      </c>
      <c r="G302" t="str">
        <f t="shared" si="39"/>
        <v/>
      </c>
      <c r="H302" t="str">
        <f t="shared" si="36"/>
        <v/>
      </c>
      <c r="I302" t="str">
        <f t="shared" si="37"/>
        <v/>
      </c>
    </row>
    <row r="303" spans="2:9" hidden="1">
      <c r="B303" t="str">
        <f t="shared" si="32"/>
        <v>Wielkopolskie</v>
      </c>
      <c r="C303" t="str">
        <f t="shared" si="33"/>
        <v/>
      </c>
      <c r="D303" t="str">
        <f t="shared" si="34"/>
        <v/>
      </c>
      <c r="E303" t="str">
        <f t="shared" si="35"/>
        <v/>
      </c>
      <c r="F303" t="str">
        <f t="shared" si="38"/>
        <v/>
      </c>
      <c r="G303" t="str">
        <f t="shared" si="39"/>
        <v/>
      </c>
      <c r="H303" t="str">
        <f t="shared" si="36"/>
        <v/>
      </c>
      <c r="I303" t="str">
        <f t="shared" si="37"/>
        <v/>
      </c>
    </row>
    <row r="304" spans="2:9" hidden="1">
      <c r="B304" t="str">
        <f t="shared" si="32"/>
        <v>Wielkopolskie</v>
      </c>
      <c r="C304" t="str">
        <f t="shared" si="33"/>
        <v/>
      </c>
      <c r="D304" t="str">
        <f t="shared" si="34"/>
        <v/>
      </c>
      <c r="E304" t="str">
        <f t="shared" si="35"/>
        <v/>
      </c>
      <c r="F304" t="str">
        <f t="shared" si="38"/>
        <v/>
      </c>
      <c r="G304" t="str">
        <f t="shared" si="39"/>
        <v/>
      </c>
      <c r="H304" t="str">
        <f t="shared" si="36"/>
        <v/>
      </c>
      <c r="I304" t="str">
        <f t="shared" si="37"/>
        <v/>
      </c>
    </row>
    <row r="305" spans="2:9" hidden="1">
      <c r="B305" t="str">
        <f t="shared" si="32"/>
        <v>Wielkopolskie</v>
      </c>
      <c r="C305" t="str">
        <f t="shared" si="33"/>
        <v/>
      </c>
      <c r="D305" t="str">
        <f t="shared" si="34"/>
        <v/>
      </c>
      <c r="E305" t="str">
        <f t="shared" si="35"/>
        <v/>
      </c>
      <c r="F305" t="str">
        <f t="shared" si="38"/>
        <v/>
      </c>
      <c r="G305" t="str">
        <f t="shared" si="39"/>
        <v/>
      </c>
      <c r="H305" t="str">
        <f t="shared" si="36"/>
        <v/>
      </c>
      <c r="I305" t="str">
        <f t="shared" si="37"/>
        <v/>
      </c>
    </row>
    <row r="306" spans="2:9" hidden="1">
      <c r="B306" t="str">
        <f t="shared" si="32"/>
        <v>Wielkopolskie</v>
      </c>
      <c r="C306" t="str">
        <f t="shared" si="33"/>
        <v/>
      </c>
      <c r="D306" t="str">
        <f t="shared" si="34"/>
        <v/>
      </c>
      <c r="E306" t="str">
        <f t="shared" si="35"/>
        <v/>
      </c>
      <c r="F306" t="str">
        <f t="shared" si="38"/>
        <v/>
      </c>
      <c r="G306" t="str">
        <f t="shared" si="39"/>
        <v/>
      </c>
      <c r="H306" t="str">
        <f t="shared" si="36"/>
        <v/>
      </c>
      <c r="I306" t="str">
        <f t="shared" si="37"/>
        <v/>
      </c>
    </row>
    <row r="307" spans="2:9" hidden="1">
      <c r="B307" t="str">
        <f t="shared" si="32"/>
        <v>Wielkopolskie</v>
      </c>
      <c r="C307" t="str">
        <f t="shared" si="33"/>
        <v/>
      </c>
      <c r="D307" t="str">
        <f t="shared" si="34"/>
        <v/>
      </c>
      <c r="E307" t="str">
        <f t="shared" si="35"/>
        <v/>
      </c>
      <c r="F307" t="str">
        <f t="shared" si="38"/>
        <v/>
      </c>
      <c r="G307" t="str">
        <f t="shared" si="39"/>
        <v/>
      </c>
      <c r="H307" t="str">
        <f t="shared" si="36"/>
        <v/>
      </c>
      <c r="I307" t="str">
        <f t="shared" si="37"/>
        <v/>
      </c>
    </row>
    <row r="308" spans="2:9" hidden="1">
      <c r="B308" t="str">
        <f t="shared" si="32"/>
        <v>Wielkopolskie</v>
      </c>
      <c r="C308" t="str">
        <f t="shared" si="33"/>
        <v/>
      </c>
      <c r="D308" t="str">
        <f t="shared" si="34"/>
        <v/>
      </c>
      <c r="E308" t="str">
        <f t="shared" si="35"/>
        <v/>
      </c>
      <c r="F308" t="str">
        <f t="shared" si="38"/>
        <v/>
      </c>
      <c r="G308" t="str">
        <f t="shared" si="39"/>
        <v/>
      </c>
      <c r="H308" t="str">
        <f t="shared" si="36"/>
        <v/>
      </c>
      <c r="I308" t="str">
        <f t="shared" si="37"/>
        <v/>
      </c>
    </row>
    <row r="309" spans="2:9" hidden="1">
      <c r="B309" t="str">
        <f t="shared" si="32"/>
        <v>Wielkopolskie</v>
      </c>
      <c r="C309" t="str">
        <f t="shared" si="33"/>
        <v/>
      </c>
      <c r="D309" t="str">
        <f t="shared" si="34"/>
        <v/>
      </c>
      <c r="E309" t="str">
        <f t="shared" si="35"/>
        <v/>
      </c>
      <c r="F309" t="str">
        <f t="shared" si="38"/>
        <v/>
      </c>
      <c r="G309" t="str">
        <f t="shared" si="39"/>
        <v/>
      </c>
      <c r="H309" t="str">
        <f t="shared" si="36"/>
        <v/>
      </c>
      <c r="I309" t="str">
        <f t="shared" si="37"/>
        <v/>
      </c>
    </row>
    <row r="310" spans="2:9" hidden="1">
      <c r="B310" t="str">
        <f t="shared" si="32"/>
        <v>Wielkopolskie</v>
      </c>
      <c r="C310" t="str">
        <f t="shared" si="33"/>
        <v/>
      </c>
      <c r="D310" t="str">
        <f t="shared" si="34"/>
        <v/>
      </c>
      <c r="E310" t="str">
        <f t="shared" si="35"/>
        <v/>
      </c>
      <c r="F310" t="str">
        <f t="shared" si="38"/>
        <v/>
      </c>
      <c r="G310" t="str">
        <f t="shared" si="39"/>
        <v/>
      </c>
      <c r="H310" t="str">
        <f t="shared" si="36"/>
        <v/>
      </c>
      <c r="I310" t="str">
        <f t="shared" si="37"/>
        <v/>
      </c>
    </row>
    <row r="311" spans="2:9" hidden="1">
      <c r="B311" t="str">
        <f t="shared" si="32"/>
        <v>Wielkopolskie</v>
      </c>
      <c r="C311" t="str">
        <f t="shared" si="33"/>
        <v/>
      </c>
      <c r="D311" t="str">
        <f t="shared" si="34"/>
        <v/>
      </c>
      <c r="E311" t="str">
        <f t="shared" si="35"/>
        <v/>
      </c>
      <c r="F311" t="str">
        <f t="shared" si="38"/>
        <v/>
      </c>
      <c r="G311" t="str">
        <f t="shared" si="39"/>
        <v/>
      </c>
      <c r="H311" t="str">
        <f t="shared" si="36"/>
        <v/>
      </c>
      <c r="I311" t="str">
        <f t="shared" si="37"/>
        <v/>
      </c>
    </row>
    <row r="312" spans="2:9" hidden="1">
      <c r="B312" t="str">
        <f t="shared" si="32"/>
        <v>Wielkopolskie</v>
      </c>
      <c r="C312" t="str">
        <f t="shared" si="33"/>
        <v/>
      </c>
      <c r="D312" t="str">
        <f t="shared" si="34"/>
        <v/>
      </c>
      <c r="E312" t="str">
        <f t="shared" si="35"/>
        <v/>
      </c>
      <c r="F312" t="str">
        <f t="shared" si="38"/>
        <v/>
      </c>
      <c r="G312" t="str">
        <f t="shared" si="39"/>
        <v/>
      </c>
      <c r="H312" t="str">
        <f t="shared" si="36"/>
        <v/>
      </c>
      <c r="I312" t="str">
        <f t="shared" si="37"/>
        <v/>
      </c>
    </row>
    <row r="313" spans="2:9" hidden="1">
      <c r="B313" t="str">
        <f t="shared" si="32"/>
        <v>Wielkopolskie</v>
      </c>
      <c r="C313" t="str">
        <f t="shared" si="33"/>
        <v/>
      </c>
      <c r="D313" t="str">
        <f t="shared" si="34"/>
        <v/>
      </c>
      <c r="E313" t="str">
        <f t="shared" si="35"/>
        <v/>
      </c>
      <c r="F313" t="str">
        <f t="shared" si="38"/>
        <v/>
      </c>
      <c r="G313" t="str">
        <f t="shared" si="39"/>
        <v/>
      </c>
      <c r="H313" t="str">
        <f t="shared" si="36"/>
        <v/>
      </c>
      <c r="I313" t="str">
        <f t="shared" si="37"/>
        <v/>
      </c>
    </row>
    <row r="314" spans="2:9" hidden="1">
      <c r="B314" t="str">
        <f t="shared" si="32"/>
        <v>Wielkopolskie</v>
      </c>
      <c r="C314" t="str">
        <f t="shared" si="33"/>
        <v/>
      </c>
      <c r="D314" t="str">
        <f t="shared" si="34"/>
        <v/>
      </c>
      <c r="E314" t="str">
        <f t="shared" si="35"/>
        <v/>
      </c>
      <c r="F314" t="str">
        <f t="shared" si="38"/>
        <v/>
      </c>
      <c r="G314" t="str">
        <f t="shared" si="39"/>
        <v/>
      </c>
      <c r="H314" t="str">
        <f t="shared" si="36"/>
        <v/>
      </c>
      <c r="I314" t="str">
        <f t="shared" si="37"/>
        <v/>
      </c>
    </row>
    <row r="315" spans="2:9" hidden="1">
      <c r="B315" t="str">
        <f t="shared" si="32"/>
        <v>Wielkopolskie</v>
      </c>
      <c r="C315" t="str">
        <f t="shared" si="33"/>
        <v/>
      </c>
      <c r="D315" t="str">
        <f t="shared" si="34"/>
        <v/>
      </c>
      <c r="E315" t="str">
        <f t="shared" si="35"/>
        <v/>
      </c>
      <c r="F315" t="str">
        <f t="shared" si="38"/>
        <v/>
      </c>
      <c r="G315" t="str">
        <f t="shared" si="39"/>
        <v/>
      </c>
      <c r="H315" t="str">
        <f t="shared" si="36"/>
        <v/>
      </c>
      <c r="I315" t="str">
        <f t="shared" si="37"/>
        <v/>
      </c>
    </row>
    <row r="316" spans="2:9" hidden="1">
      <c r="B316" t="str">
        <f t="shared" si="32"/>
        <v>Wielkopolskie</v>
      </c>
      <c r="C316" t="str">
        <f t="shared" si="33"/>
        <v/>
      </c>
      <c r="D316" t="str">
        <f t="shared" si="34"/>
        <v/>
      </c>
      <c r="E316" t="str">
        <f t="shared" si="35"/>
        <v/>
      </c>
      <c r="F316" t="str">
        <f t="shared" si="38"/>
        <v/>
      </c>
      <c r="G316" t="str">
        <f t="shared" si="39"/>
        <v/>
      </c>
      <c r="H316" t="str">
        <f t="shared" si="36"/>
        <v/>
      </c>
      <c r="I316" t="str">
        <f t="shared" si="37"/>
        <v/>
      </c>
    </row>
    <row r="317" spans="2:9" hidden="1">
      <c r="B317" t="str">
        <f t="shared" si="32"/>
        <v>Wielkopolskie</v>
      </c>
      <c r="C317" t="str">
        <f t="shared" si="33"/>
        <v/>
      </c>
      <c r="D317" t="str">
        <f t="shared" si="34"/>
        <v/>
      </c>
      <c r="E317" t="str">
        <f t="shared" si="35"/>
        <v/>
      </c>
      <c r="F317" t="str">
        <f t="shared" si="38"/>
        <v/>
      </c>
      <c r="G317" t="str">
        <f t="shared" si="39"/>
        <v/>
      </c>
      <c r="H317" t="str">
        <f t="shared" si="36"/>
        <v/>
      </c>
      <c r="I317" t="str">
        <f t="shared" si="37"/>
        <v/>
      </c>
    </row>
    <row r="318" spans="2:9" hidden="1">
      <c r="B318" t="str">
        <f t="shared" si="32"/>
        <v>Wielkopolskie</v>
      </c>
      <c r="C318" t="str">
        <f t="shared" si="33"/>
        <v/>
      </c>
      <c r="D318" t="str">
        <f t="shared" si="34"/>
        <v/>
      </c>
      <c r="E318" t="str">
        <f t="shared" si="35"/>
        <v/>
      </c>
      <c r="F318" t="str">
        <f t="shared" si="38"/>
        <v/>
      </c>
      <c r="G318" t="str">
        <f t="shared" si="39"/>
        <v/>
      </c>
      <c r="H318" t="str">
        <f t="shared" si="36"/>
        <v/>
      </c>
      <c r="I318" t="str">
        <f t="shared" si="37"/>
        <v/>
      </c>
    </row>
    <row r="319" spans="2:9" hidden="1">
      <c r="B319" t="str">
        <f t="shared" si="32"/>
        <v>Wielkopolskie</v>
      </c>
      <c r="C319" t="str">
        <f t="shared" si="33"/>
        <v/>
      </c>
      <c r="D319" t="str">
        <f t="shared" si="34"/>
        <v/>
      </c>
      <c r="E319" t="str">
        <f t="shared" si="35"/>
        <v/>
      </c>
      <c r="F319" t="str">
        <f t="shared" si="38"/>
        <v/>
      </c>
      <c r="G319" t="str">
        <f t="shared" si="39"/>
        <v/>
      </c>
      <c r="H319" t="str">
        <f t="shared" si="36"/>
        <v/>
      </c>
      <c r="I319" t="str">
        <f t="shared" si="37"/>
        <v/>
      </c>
    </row>
    <row r="320" spans="2:9" hidden="1">
      <c r="B320" t="str">
        <f t="shared" si="32"/>
        <v>Wielkopolskie</v>
      </c>
      <c r="C320" t="str">
        <f t="shared" si="33"/>
        <v/>
      </c>
      <c r="D320" t="str">
        <f t="shared" si="34"/>
        <v/>
      </c>
      <c r="E320" t="str">
        <f t="shared" si="35"/>
        <v/>
      </c>
      <c r="F320" t="str">
        <f t="shared" si="38"/>
        <v/>
      </c>
      <c r="G320" t="str">
        <f t="shared" si="39"/>
        <v/>
      </c>
      <c r="H320" t="str">
        <f t="shared" si="36"/>
        <v/>
      </c>
      <c r="I320" t="str">
        <f t="shared" si="37"/>
        <v/>
      </c>
    </row>
    <row r="321" spans="2:9" hidden="1">
      <c r="B321" t="str">
        <f t="shared" si="32"/>
        <v>Wielkopolskie</v>
      </c>
      <c r="C321" t="str">
        <f t="shared" si="33"/>
        <v/>
      </c>
      <c r="D321" t="str">
        <f t="shared" si="34"/>
        <v/>
      </c>
      <c r="E321" t="str">
        <f t="shared" si="35"/>
        <v/>
      </c>
      <c r="F321" t="str">
        <f t="shared" si="38"/>
        <v/>
      </c>
      <c r="G321" t="str">
        <f t="shared" si="39"/>
        <v/>
      </c>
      <c r="H321" t="str">
        <f t="shared" si="36"/>
        <v/>
      </c>
      <c r="I321" t="str">
        <f t="shared" si="37"/>
        <v/>
      </c>
    </row>
    <row r="322" spans="2:9" hidden="1">
      <c r="B322" t="str">
        <f t="shared" ref="B322:B385" si="40">+IF(AND(C322&gt;"",ISERR(FIND("DKK",A321))),A321,B321)</f>
        <v>Wielkopolskie</v>
      </c>
      <c r="C322" t="str">
        <f t="shared" ref="C322:C385" si="41">IF(ISERR(FIND($C$1,A322,1)),"",A322)</f>
        <v/>
      </c>
      <c r="D322" t="str">
        <f t="shared" ref="D322:D385" si="42">IF(C322&gt;"",A323,"")</f>
        <v/>
      </c>
      <c r="E322" t="str">
        <f t="shared" ref="E322:E385" si="43">IF(C322&gt;"",A324,"")</f>
        <v/>
      </c>
      <c r="F322" t="str">
        <f t="shared" si="38"/>
        <v/>
      </c>
      <c r="G322" t="str">
        <f t="shared" si="39"/>
        <v/>
      </c>
      <c r="H322" t="str">
        <f t="shared" ref="H322:H385" si="44">IF(E322&gt;"",IF(ISERR(FIND("DKK",A328)),"",A328),"")</f>
        <v/>
      </c>
      <c r="I322" t="str">
        <f t="shared" ref="I322:I385" si="45">IF(E322&gt;"",IF(ISERR(FIND("DKK",A329)),"",A329),"")</f>
        <v/>
      </c>
    </row>
    <row r="323" spans="2:9" hidden="1">
      <c r="B323" t="str">
        <f t="shared" si="40"/>
        <v>Wielkopolskie</v>
      </c>
      <c r="C323" t="str">
        <f t="shared" si="41"/>
        <v/>
      </c>
      <c r="D323" t="str">
        <f t="shared" si="42"/>
        <v/>
      </c>
      <c r="E323" t="str">
        <f t="shared" si="43"/>
        <v/>
      </c>
      <c r="F323" t="str">
        <f t="shared" ref="F323:F386" si="46">IF(C323&gt;"",MID(A327,FIND("tel.",A327)+5,15),"")</f>
        <v/>
      </c>
      <c r="G323" t="str">
        <f t="shared" ref="G323:G386" si="47">IF(E323&gt;"",MID(A326,FIND("mail:",A326)+6,100),"")</f>
        <v/>
      </c>
      <c r="H323" t="str">
        <f t="shared" si="44"/>
        <v/>
      </c>
      <c r="I323" t="str">
        <f t="shared" si="45"/>
        <v/>
      </c>
    </row>
    <row r="324" spans="2:9" hidden="1">
      <c r="B324" t="str">
        <f t="shared" si="40"/>
        <v>Wielkopolskie</v>
      </c>
      <c r="C324" t="str">
        <f t="shared" si="41"/>
        <v/>
      </c>
      <c r="D324" t="str">
        <f t="shared" si="42"/>
        <v/>
      </c>
      <c r="E324" t="str">
        <f t="shared" si="43"/>
        <v/>
      </c>
      <c r="F324" t="str">
        <f t="shared" si="46"/>
        <v/>
      </c>
      <c r="G324" t="str">
        <f t="shared" si="47"/>
        <v/>
      </c>
      <c r="H324" t="str">
        <f t="shared" si="44"/>
        <v/>
      </c>
      <c r="I324" t="str">
        <f t="shared" si="45"/>
        <v/>
      </c>
    </row>
    <row r="325" spans="2:9" hidden="1">
      <c r="B325" t="str">
        <f t="shared" si="40"/>
        <v>Wielkopolskie</v>
      </c>
      <c r="C325" t="str">
        <f t="shared" si="41"/>
        <v/>
      </c>
      <c r="D325" t="str">
        <f t="shared" si="42"/>
        <v/>
      </c>
      <c r="E325" t="str">
        <f t="shared" si="43"/>
        <v/>
      </c>
      <c r="F325" t="str">
        <f t="shared" si="46"/>
        <v/>
      </c>
      <c r="G325" t="str">
        <f t="shared" si="47"/>
        <v/>
      </c>
      <c r="H325" t="str">
        <f t="shared" si="44"/>
        <v/>
      </c>
      <c r="I325" t="str">
        <f t="shared" si="45"/>
        <v/>
      </c>
    </row>
    <row r="326" spans="2:9" hidden="1">
      <c r="B326" t="str">
        <f t="shared" si="40"/>
        <v>Wielkopolskie</v>
      </c>
      <c r="C326" t="str">
        <f t="shared" si="41"/>
        <v/>
      </c>
      <c r="D326" t="str">
        <f t="shared" si="42"/>
        <v/>
      </c>
      <c r="E326" t="str">
        <f t="shared" si="43"/>
        <v/>
      </c>
      <c r="F326" t="str">
        <f t="shared" si="46"/>
        <v/>
      </c>
      <c r="G326" t="str">
        <f t="shared" si="47"/>
        <v/>
      </c>
      <c r="H326" t="str">
        <f t="shared" si="44"/>
        <v/>
      </c>
      <c r="I326" t="str">
        <f t="shared" si="45"/>
        <v/>
      </c>
    </row>
    <row r="327" spans="2:9" hidden="1">
      <c r="B327" t="str">
        <f t="shared" si="40"/>
        <v>Wielkopolskie</v>
      </c>
      <c r="C327" t="str">
        <f t="shared" si="41"/>
        <v/>
      </c>
      <c r="D327" t="str">
        <f t="shared" si="42"/>
        <v/>
      </c>
      <c r="E327" t="str">
        <f t="shared" si="43"/>
        <v/>
      </c>
      <c r="F327" t="str">
        <f t="shared" si="46"/>
        <v/>
      </c>
      <c r="G327" t="str">
        <f t="shared" si="47"/>
        <v/>
      </c>
      <c r="H327" t="str">
        <f t="shared" si="44"/>
        <v/>
      </c>
      <c r="I327" t="str">
        <f t="shared" si="45"/>
        <v/>
      </c>
    </row>
    <row r="328" spans="2:9" hidden="1">
      <c r="B328" t="str">
        <f t="shared" si="40"/>
        <v>Wielkopolskie</v>
      </c>
      <c r="C328" t="str">
        <f t="shared" si="41"/>
        <v/>
      </c>
      <c r="D328" t="str">
        <f t="shared" si="42"/>
        <v/>
      </c>
      <c r="E328" t="str">
        <f t="shared" si="43"/>
        <v/>
      </c>
      <c r="F328" t="str">
        <f t="shared" si="46"/>
        <v/>
      </c>
      <c r="G328" t="str">
        <f t="shared" si="47"/>
        <v/>
      </c>
      <c r="H328" t="str">
        <f t="shared" si="44"/>
        <v/>
      </c>
      <c r="I328" t="str">
        <f t="shared" si="45"/>
        <v/>
      </c>
    </row>
    <row r="329" spans="2:9" hidden="1">
      <c r="B329" t="str">
        <f t="shared" si="40"/>
        <v>Wielkopolskie</v>
      </c>
      <c r="C329" t="str">
        <f t="shared" si="41"/>
        <v/>
      </c>
      <c r="D329" t="str">
        <f t="shared" si="42"/>
        <v/>
      </c>
      <c r="E329" t="str">
        <f t="shared" si="43"/>
        <v/>
      </c>
      <c r="F329" t="str">
        <f t="shared" si="46"/>
        <v/>
      </c>
      <c r="G329" t="str">
        <f t="shared" si="47"/>
        <v/>
      </c>
      <c r="H329" t="str">
        <f t="shared" si="44"/>
        <v/>
      </c>
      <c r="I329" t="str">
        <f t="shared" si="45"/>
        <v/>
      </c>
    </row>
    <row r="330" spans="2:9" hidden="1">
      <c r="B330" t="str">
        <f t="shared" si="40"/>
        <v>Wielkopolskie</v>
      </c>
      <c r="C330" t="str">
        <f t="shared" si="41"/>
        <v/>
      </c>
      <c r="D330" t="str">
        <f t="shared" si="42"/>
        <v/>
      </c>
      <c r="E330" t="str">
        <f t="shared" si="43"/>
        <v/>
      </c>
      <c r="F330" t="str">
        <f t="shared" si="46"/>
        <v/>
      </c>
      <c r="G330" t="str">
        <f t="shared" si="47"/>
        <v/>
      </c>
      <c r="H330" t="str">
        <f t="shared" si="44"/>
        <v/>
      </c>
      <c r="I330" t="str">
        <f t="shared" si="45"/>
        <v/>
      </c>
    </row>
    <row r="331" spans="2:9" hidden="1">
      <c r="B331" t="str">
        <f t="shared" si="40"/>
        <v>Wielkopolskie</v>
      </c>
      <c r="C331" t="str">
        <f t="shared" si="41"/>
        <v/>
      </c>
      <c r="D331" t="str">
        <f t="shared" si="42"/>
        <v/>
      </c>
      <c r="E331" t="str">
        <f t="shared" si="43"/>
        <v/>
      </c>
      <c r="F331" t="str">
        <f t="shared" si="46"/>
        <v/>
      </c>
      <c r="G331" t="str">
        <f t="shared" si="47"/>
        <v/>
      </c>
      <c r="H331" t="str">
        <f t="shared" si="44"/>
        <v/>
      </c>
      <c r="I331" t="str">
        <f t="shared" si="45"/>
        <v/>
      </c>
    </row>
    <row r="332" spans="2:9" hidden="1">
      <c r="B332" t="str">
        <f t="shared" si="40"/>
        <v>Wielkopolskie</v>
      </c>
      <c r="C332" t="str">
        <f t="shared" si="41"/>
        <v/>
      </c>
      <c r="D332" t="str">
        <f t="shared" si="42"/>
        <v/>
      </c>
      <c r="E332" t="str">
        <f t="shared" si="43"/>
        <v/>
      </c>
      <c r="F332" t="str">
        <f t="shared" si="46"/>
        <v/>
      </c>
      <c r="G332" t="str">
        <f t="shared" si="47"/>
        <v/>
      </c>
      <c r="H332" t="str">
        <f t="shared" si="44"/>
        <v/>
      </c>
      <c r="I332" t="str">
        <f t="shared" si="45"/>
        <v/>
      </c>
    </row>
    <row r="333" spans="2:9" hidden="1">
      <c r="B333" t="str">
        <f t="shared" si="40"/>
        <v>Wielkopolskie</v>
      </c>
      <c r="C333" t="str">
        <f t="shared" si="41"/>
        <v/>
      </c>
      <c r="D333" t="str">
        <f t="shared" si="42"/>
        <v/>
      </c>
      <c r="E333" t="str">
        <f t="shared" si="43"/>
        <v/>
      </c>
      <c r="F333" t="str">
        <f t="shared" si="46"/>
        <v/>
      </c>
      <c r="G333" t="str">
        <f t="shared" si="47"/>
        <v/>
      </c>
      <c r="H333" t="str">
        <f t="shared" si="44"/>
        <v/>
      </c>
      <c r="I333" t="str">
        <f t="shared" si="45"/>
        <v/>
      </c>
    </row>
    <row r="334" spans="2:9" hidden="1">
      <c r="B334" t="str">
        <f t="shared" si="40"/>
        <v>Wielkopolskie</v>
      </c>
      <c r="C334" t="str">
        <f t="shared" si="41"/>
        <v/>
      </c>
      <c r="D334" t="str">
        <f t="shared" si="42"/>
        <v/>
      </c>
      <c r="E334" t="str">
        <f t="shared" si="43"/>
        <v/>
      </c>
      <c r="F334" t="str">
        <f t="shared" si="46"/>
        <v/>
      </c>
      <c r="G334" t="str">
        <f t="shared" si="47"/>
        <v/>
      </c>
      <c r="H334" t="str">
        <f t="shared" si="44"/>
        <v/>
      </c>
      <c r="I334" t="str">
        <f t="shared" si="45"/>
        <v/>
      </c>
    </row>
    <row r="335" spans="2:9" hidden="1">
      <c r="B335" t="str">
        <f t="shared" si="40"/>
        <v>Wielkopolskie</v>
      </c>
      <c r="C335" t="str">
        <f t="shared" si="41"/>
        <v/>
      </c>
      <c r="D335" t="str">
        <f t="shared" si="42"/>
        <v/>
      </c>
      <c r="E335" t="str">
        <f t="shared" si="43"/>
        <v/>
      </c>
      <c r="F335" t="str">
        <f t="shared" si="46"/>
        <v/>
      </c>
      <c r="G335" t="str">
        <f t="shared" si="47"/>
        <v/>
      </c>
      <c r="H335" t="str">
        <f t="shared" si="44"/>
        <v/>
      </c>
      <c r="I335" t="str">
        <f t="shared" si="45"/>
        <v/>
      </c>
    </row>
    <row r="336" spans="2:9" hidden="1">
      <c r="B336" t="str">
        <f t="shared" si="40"/>
        <v>Wielkopolskie</v>
      </c>
      <c r="C336" t="str">
        <f t="shared" si="41"/>
        <v/>
      </c>
      <c r="D336" t="str">
        <f t="shared" si="42"/>
        <v/>
      </c>
      <c r="E336" t="str">
        <f t="shared" si="43"/>
        <v/>
      </c>
      <c r="F336" t="str">
        <f t="shared" si="46"/>
        <v/>
      </c>
      <c r="G336" t="str">
        <f t="shared" si="47"/>
        <v/>
      </c>
      <c r="H336" t="str">
        <f t="shared" si="44"/>
        <v/>
      </c>
      <c r="I336" t="str">
        <f t="shared" si="45"/>
        <v/>
      </c>
    </row>
    <row r="337" spans="2:9" hidden="1">
      <c r="B337" t="str">
        <f t="shared" si="40"/>
        <v>Wielkopolskie</v>
      </c>
      <c r="C337" t="str">
        <f t="shared" si="41"/>
        <v/>
      </c>
      <c r="D337" t="str">
        <f t="shared" si="42"/>
        <v/>
      </c>
      <c r="E337" t="str">
        <f t="shared" si="43"/>
        <v/>
      </c>
      <c r="F337" t="str">
        <f t="shared" si="46"/>
        <v/>
      </c>
      <c r="G337" t="str">
        <f t="shared" si="47"/>
        <v/>
      </c>
      <c r="H337" t="str">
        <f t="shared" si="44"/>
        <v/>
      </c>
      <c r="I337" t="str">
        <f t="shared" si="45"/>
        <v/>
      </c>
    </row>
    <row r="338" spans="2:9" hidden="1">
      <c r="B338" t="str">
        <f t="shared" si="40"/>
        <v>Wielkopolskie</v>
      </c>
      <c r="C338" t="str">
        <f t="shared" si="41"/>
        <v/>
      </c>
      <c r="D338" t="str">
        <f t="shared" si="42"/>
        <v/>
      </c>
      <c r="E338" t="str">
        <f t="shared" si="43"/>
        <v/>
      </c>
      <c r="F338" t="str">
        <f t="shared" si="46"/>
        <v/>
      </c>
      <c r="G338" t="str">
        <f t="shared" si="47"/>
        <v/>
      </c>
      <c r="H338" t="str">
        <f t="shared" si="44"/>
        <v/>
      </c>
      <c r="I338" t="str">
        <f t="shared" si="45"/>
        <v/>
      </c>
    </row>
    <row r="339" spans="2:9" hidden="1">
      <c r="B339" t="str">
        <f t="shared" si="40"/>
        <v>Wielkopolskie</v>
      </c>
      <c r="C339" t="str">
        <f t="shared" si="41"/>
        <v/>
      </c>
      <c r="D339" t="str">
        <f t="shared" si="42"/>
        <v/>
      </c>
      <c r="E339" t="str">
        <f t="shared" si="43"/>
        <v/>
      </c>
      <c r="F339" t="str">
        <f t="shared" si="46"/>
        <v/>
      </c>
      <c r="G339" t="str">
        <f t="shared" si="47"/>
        <v/>
      </c>
      <c r="H339" t="str">
        <f t="shared" si="44"/>
        <v/>
      </c>
      <c r="I339" t="str">
        <f t="shared" si="45"/>
        <v/>
      </c>
    </row>
    <row r="340" spans="2:9" hidden="1">
      <c r="B340" t="str">
        <f t="shared" si="40"/>
        <v>Wielkopolskie</v>
      </c>
      <c r="C340" t="str">
        <f t="shared" si="41"/>
        <v/>
      </c>
      <c r="D340" t="str">
        <f t="shared" si="42"/>
        <v/>
      </c>
      <c r="E340" t="str">
        <f t="shared" si="43"/>
        <v/>
      </c>
      <c r="F340" t="str">
        <f t="shared" si="46"/>
        <v/>
      </c>
      <c r="G340" t="str">
        <f t="shared" si="47"/>
        <v/>
      </c>
      <c r="H340" t="str">
        <f t="shared" si="44"/>
        <v/>
      </c>
      <c r="I340" t="str">
        <f t="shared" si="45"/>
        <v/>
      </c>
    </row>
    <row r="341" spans="2:9" hidden="1">
      <c r="B341" t="str">
        <f t="shared" si="40"/>
        <v>Wielkopolskie</v>
      </c>
      <c r="C341" t="str">
        <f t="shared" si="41"/>
        <v/>
      </c>
      <c r="D341" t="str">
        <f t="shared" si="42"/>
        <v/>
      </c>
      <c r="E341" t="str">
        <f t="shared" si="43"/>
        <v/>
      </c>
      <c r="F341" t="str">
        <f t="shared" si="46"/>
        <v/>
      </c>
      <c r="G341" t="str">
        <f t="shared" si="47"/>
        <v/>
      </c>
      <c r="H341" t="str">
        <f t="shared" si="44"/>
        <v/>
      </c>
      <c r="I341" t="str">
        <f t="shared" si="45"/>
        <v/>
      </c>
    </row>
    <row r="342" spans="2:9" hidden="1">
      <c r="B342" t="str">
        <f t="shared" si="40"/>
        <v>Wielkopolskie</v>
      </c>
      <c r="C342" t="str">
        <f t="shared" si="41"/>
        <v/>
      </c>
      <c r="D342" t="str">
        <f t="shared" si="42"/>
        <v/>
      </c>
      <c r="E342" t="str">
        <f t="shared" si="43"/>
        <v/>
      </c>
      <c r="F342" t="str">
        <f t="shared" si="46"/>
        <v/>
      </c>
      <c r="G342" t="str">
        <f t="shared" si="47"/>
        <v/>
      </c>
      <c r="H342" t="str">
        <f t="shared" si="44"/>
        <v/>
      </c>
      <c r="I342" t="str">
        <f t="shared" si="45"/>
        <v/>
      </c>
    </row>
    <row r="343" spans="2:9" hidden="1">
      <c r="B343" t="str">
        <f t="shared" si="40"/>
        <v>Wielkopolskie</v>
      </c>
      <c r="C343" t="str">
        <f t="shared" si="41"/>
        <v/>
      </c>
      <c r="D343" t="str">
        <f t="shared" si="42"/>
        <v/>
      </c>
      <c r="E343" t="str">
        <f t="shared" si="43"/>
        <v/>
      </c>
      <c r="F343" t="str">
        <f t="shared" si="46"/>
        <v/>
      </c>
      <c r="G343" t="str">
        <f t="shared" si="47"/>
        <v/>
      </c>
      <c r="H343" t="str">
        <f t="shared" si="44"/>
        <v/>
      </c>
      <c r="I343" t="str">
        <f t="shared" si="45"/>
        <v/>
      </c>
    </row>
    <row r="344" spans="2:9" hidden="1">
      <c r="B344" t="str">
        <f t="shared" si="40"/>
        <v>Wielkopolskie</v>
      </c>
      <c r="C344" t="str">
        <f t="shared" si="41"/>
        <v/>
      </c>
      <c r="D344" t="str">
        <f t="shared" si="42"/>
        <v/>
      </c>
      <c r="E344" t="str">
        <f t="shared" si="43"/>
        <v/>
      </c>
      <c r="F344" t="str">
        <f t="shared" si="46"/>
        <v/>
      </c>
      <c r="G344" t="str">
        <f t="shared" si="47"/>
        <v/>
      </c>
      <c r="H344" t="str">
        <f t="shared" si="44"/>
        <v/>
      </c>
      <c r="I344" t="str">
        <f t="shared" si="45"/>
        <v/>
      </c>
    </row>
    <row r="345" spans="2:9" hidden="1">
      <c r="B345" t="str">
        <f t="shared" si="40"/>
        <v>Wielkopolskie</v>
      </c>
      <c r="C345" t="str">
        <f t="shared" si="41"/>
        <v/>
      </c>
      <c r="D345" t="str">
        <f t="shared" si="42"/>
        <v/>
      </c>
      <c r="E345" t="str">
        <f t="shared" si="43"/>
        <v/>
      </c>
      <c r="F345" t="str">
        <f t="shared" si="46"/>
        <v/>
      </c>
      <c r="G345" t="str">
        <f t="shared" si="47"/>
        <v/>
      </c>
      <c r="H345" t="str">
        <f t="shared" si="44"/>
        <v/>
      </c>
      <c r="I345" t="str">
        <f t="shared" si="45"/>
        <v/>
      </c>
    </row>
    <row r="346" spans="2:9" hidden="1">
      <c r="B346" t="str">
        <f t="shared" si="40"/>
        <v>Wielkopolskie</v>
      </c>
      <c r="C346" t="str">
        <f t="shared" si="41"/>
        <v/>
      </c>
      <c r="D346" t="str">
        <f t="shared" si="42"/>
        <v/>
      </c>
      <c r="E346" t="str">
        <f t="shared" si="43"/>
        <v/>
      </c>
      <c r="F346" t="str">
        <f t="shared" si="46"/>
        <v/>
      </c>
      <c r="G346" t="str">
        <f t="shared" si="47"/>
        <v/>
      </c>
      <c r="H346" t="str">
        <f t="shared" si="44"/>
        <v/>
      </c>
      <c r="I346" t="str">
        <f t="shared" si="45"/>
        <v/>
      </c>
    </row>
    <row r="347" spans="2:9" hidden="1">
      <c r="B347" t="str">
        <f t="shared" si="40"/>
        <v>Wielkopolskie</v>
      </c>
      <c r="C347" t="str">
        <f t="shared" si="41"/>
        <v/>
      </c>
      <c r="D347" t="str">
        <f t="shared" si="42"/>
        <v/>
      </c>
      <c r="E347" t="str">
        <f t="shared" si="43"/>
        <v/>
      </c>
      <c r="F347" t="str">
        <f t="shared" si="46"/>
        <v/>
      </c>
      <c r="G347" t="str">
        <f t="shared" si="47"/>
        <v/>
      </c>
      <c r="H347" t="str">
        <f t="shared" si="44"/>
        <v/>
      </c>
      <c r="I347" t="str">
        <f t="shared" si="45"/>
        <v/>
      </c>
    </row>
    <row r="348" spans="2:9" hidden="1">
      <c r="B348" t="str">
        <f t="shared" si="40"/>
        <v>Wielkopolskie</v>
      </c>
      <c r="C348" t="str">
        <f t="shared" si="41"/>
        <v/>
      </c>
      <c r="D348" t="str">
        <f t="shared" si="42"/>
        <v/>
      </c>
      <c r="E348" t="str">
        <f t="shared" si="43"/>
        <v/>
      </c>
      <c r="F348" t="str">
        <f t="shared" si="46"/>
        <v/>
      </c>
      <c r="G348" t="str">
        <f t="shared" si="47"/>
        <v/>
      </c>
      <c r="H348" t="str">
        <f t="shared" si="44"/>
        <v/>
      </c>
      <c r="I348" t="str">
        <f t="shared" si="45"/>
        <v/>
      </c>
    </row>
    <row r="349" spans="2:9" hidden="1">
      <c r="B349" t="str">
        <f t="shared" si="40"/>
        <v>Wielkopolskie</v>
      </c>
      <c r="C349" t="str">
        <f t="shared" si="41"/>
        <v/>
      </c>
      <c r="D349" t="str">
        <f t="shared" si="42"/>
        <v/>
      </c>
      <c r="E349" t="str">
        <f t="shared" si="43"/>
        <v/>
      </c>
      <c r="F349" t="str">
        <f t="shared" si="46"/>
        <v/>
      </c>
      <c r="G349" t="str">
        <f t="shared" si="47"/>
        <v/>
      </c>
      <c r="H349" t="str">
        <f t="shared" si="44"/>
        <v/>
      </c>
      <c r="I349" t="str">
        <f t="shared" si="45"/>
        <v/>
      </c>
    </row>
    <row r="350" spans="2:9" hidden="1">
      <c r="B350" t="str">
        <f t="shared" si="40"/>
        <v>Wielkopolskie</v>
      </c>
      <c r="C350" t="str">
        <f t="shared" si="41"/>
        <v/>
      </c>
      <c r="D350" t="str">
        <f t="shared" si="42"/>
        <v/>
      </c>
      <c r="E350" t="str">
        <f t="shared" si="43"/>
        <v/>
      </c>
      <c r="F350" t="str">
        <f t="shared" si="46"/>
        <v/>
      </c>
      <c r="G350" t="str">
        <f t="shared" si="47"/>
        <v/>
      </c>
      <c r="H350" t="str">
        <f t="shared" si="44"/>
        <v/>
      </c>
      <c r="I350" t="str">
        <f t="shared" si="45"/>
        <v/>
      </c>
    </row>
    <row r="351" spans="2:9" hidden="1">
      <c r="B351" t="str">
        <f t="shared" si="40"/>
        <v>Wielkopolskie</v>
      </c>
      <c r="C351" t="str">
        <f t="shared" si="41"/>
        <v/>
      </c>
      <c r="D351" t="str">
        <f t="shared" si="42"/>
        <v/>
      </c>
      <c r="E351" t="str">
        <f t="shared" si="43"/>
        <v/>
      </c>
      <c r="F351" t="str">
        <f t="shared" si="46"/>
        <v/>
      </c>
      <c r="G351" t="str">
        <f t="shared" si="47"/>
        <v/>
      </c>
      <c r="H351" t="str">
        <f t="shared" si="44"/>
        <v/>
      </c>
      <c r="I351" t="str">
        <f t="shared" si="45"/>
        <v/>
      </c>
    </row>
    <row r="352" spans="2:9" hidden="1">
      <c r="B352" t="str">
        <f t="shared" si="40"/>
        <v>Wielkopolskie</v>
      </c>
      <c r="C352" t="str">
        <f t="shared" si="41"/>
        <v/>
      </c>
      <c r="D352" t="str">
        <f t="shared" si="42"/>
        <v/>
      </c>
      <c r="E352" t="str">
        <f t="shared" si="43"/>
        <v/>
      </c>
      <c r="F352" t="str">
        <f t="shared" si="46"/>
        <v/>
      </c>
      <c r="G352" t="str">
        <f t="shared" si="47"/>
        <v/>
      </c>
      <c r="H352" t="str">
        <f t="shared" si="44"/>
        <v/>
      </c>
      <c r="I352" t="str">
        <f t="shared" si="45"/>
        <v/>
      </c>
    </row>
    <row r="353" spans="2:9" hidden="1">
      <c r="B353" t="str">
        <f t="shared" si="40"/>
        <v>Wielkopolskie</v>
      </c>
      <c r="C353" t="str">
        <f t="shared" si="41"/>
        <v/>
      </c>
      <c r="D353" t="str">
        <f t="shared" si="42"/>
        <v/>
      </c>
      <c r="E353" t="str">
        <f t="shared" si="43"/>
        <v/>
      </c>
      <c r="F353" t="str">
        <f t="shared" si="46"/>
        <v/>
      </c>
      <c r="G353" t="str">
        <f t="shared" si="47"/>
        <v/>
      </c>
      <c r="H353" t="str">
        <f t="shared" si="44"/>
        <v/>
      </c>
      <c r="I353" t="str">
        <f t="shared" si="45"/>
        <v/>
      </c>
    </row>
    <row r="354" spans="2:9" hidden="1">
      <c r="B354" t="str">
        <f t="shared" si="40"/>
        <v>Wielkopolskie</v>
      </c>
      <c r="C354" t="str">
        <f t="shared" si="41"/>
        <v/>
      </c>
      <c r="D354" t="str">
        <f t="shared" si="42"/>
        <v/>
      </c>
      <c r="E354" t="str">
        <f t="shared" si="43"/>
        <v/>
      </c>
      <c r="F354" t="str">
        <f t="shared" si="46"/>
        <v/>
      </c>
      <c r="G354" t="str">
        <f t="shared" si="47"/>
        <v/>
      </c>
      <c r="H354" t="str">
        <f t="shared" si="44"/>
        <v/>
      </c>
      <c r="I354" t="str">
        <f t="shared" si="45"/>
        <v/>
      </c>
    </row>
    <row r="355" spans="2:9" hidden="1">
      <c r="B355" t="str">
        <f t="shared" si="40"/>
        <v>Wielkopolskie</v>
      </c>
      <c r="C355" t="str">
        <f t="shared" si="41"/>
        <v/>
      </c>
      <c r="D355" t="str">
        <f t="shared" si="42"/>
        <v/>
      </c>
      <c r="E355" t="str">
        <f t="shared" si="43"/>
        <v/>
      </c>
      <c r="F355" t="str">
        <f t="shared" si="46"/>
        <v/>
      </c>
      <c r="G355" t="str">
        <f t="shared" si="47"/>
        <v/>
      </c>
      <c r="H355" t="str">
        <f t="shared" si="44"/>
        <v/>
      </c>
      <c r="I355" t="str">
        <f t="shared" si="45"/>
        <v/>
      </c>
    </row>
    <row r="356" spans="2:9" hidden="1">
      <c r="B356" t="str">
        <f t="shared" si="40"/>
        <v>Wielkopolskie</v>
      </c>
      <c r="C356" t="str">
        <f t="shared" si="41"/>
        <v/>
      </c>
      <c r="D356" t="str">
        <f t="shared" si="42"/>
        <v/>
      </c>
      <c r="E356" t="str">
        <f t="shared" si="43"/>
        <v/>
      </c>
      <c r="F356" t="str">
        <f t="shared" si="46"/>
        <v/>
      </c>
      <c r="G356" t="str">
        <f t="shared" si="47"/>
        <v/>
      </c>
      <c r="H356" t="str">
        <f t="shared" si="44"/>
        <v/>
      </c>
      <c r="I356" t="str">
        <f t="shared" si="45"/>
        <v/>
      </c>
    </row>
    <row r="357" spans="2:9" hidden="1">
      <c r="B357" t="str">
        <f t="shared" si="40"/>
        <v>Wielkopolskie</v>
      </c>
      <c r="C357" t="str">
        <f t="shared" si="41"/>
        <v/>
      </c>
      <c r="D357" t="str">
        <f t="shared" si="42"/>
        <v/>
      </c>
      <c r="E357" t="str">
        <f t="shared" si="43"/>
        <v/>
      </c>
      <c r="F357" t="str">
        <f t="shared" si="46"/>
        <v/>
      </c>
      <c r="G357" t="str">
        <f t="shared" si="47"/>
        <v/>
      </c>
      <c r="H357" t="str">
        <f t="shared" si="44"/>
        <v/>
      </c>
      <c r="I357" t="str">
        <f t="shared" si="45"/>
        <v/>
      </c>
    </row>
    <row r="358" spans="2:9" hidden="1">
      <c r="B358" t="str">
        <f t="shared" si="40"/>
        <v>Wielkopolskie</v>
      </c>
      <c r="C358" t="str">
        <f t="shared" si="41"/>
        <v/>
      </c>
      <c r="D358" t="str">
        <f t="shared" si="42"/>
        <v/>
      </c>
      <c r="E358" t="str">
        <f t="shared" si="43"/>
        <v/>
      </c>
      <c r="F358" t="str">
        <f t="shared" si="46"/>
        <v/>
      </c>
      <c r="G358" t="str">
        <f t="shared" si="47"/>
        <v/>
      </c>
      <c r="H358" t="str">
        <f t="shared" si="44"/>
        <v/>
      </c>
      <c r="I358" t="str">
        <f t="shared" si="45"/>
        <v/>
      </c>
    </row>
    <row r="359" spans="2:9" hidden="1">
      <c r="B359" t="str">
        <f t="shared" si="40"/>
        <v>Wielkopolskie</v>
      </c>
      <c r="C359" t="str">
        <f t="shared" si="41"/>
        <v/>
      </c>
      <c r="D359" t="str">
        <f t="shared" si="42"/>
        <v/>
      </c>
      <c r="E359" t="str">
        <f t="shared" si="43"/>
        <v/>
      </c>
      <c r="F359" t="str">
        <f t="shared" si="46"/>
        <v/>
      </c>
      <c r="G359" t="str">
        <f t="shared" si="47"/>
        <v/>
      </c>
      <c r="H359" t="str">
        <f t="shared" si="44"/>
        <v/>
      </c>
      <c r="I359" t="str">
        <f t="shared" si="45"/>
        <v/>
      </c>
    </row>
    <row r="360" spans="2:9" hidden="1">
      <c r="B360" t="str">
        <f t="shared" si="40"/>
        <v>Wielkopolskie</v>
      </c>
      <c r="C360" t="str">
        <f t="shared" si="41"/>
        <v/>
      </c>
      <c r="D360" t="str">
        <f t="shared" si="42"/>
        <v/>
      </c>
      <c r="E360" t="str">
        <f t="shared" si="43"/>
        <v/>
      </c>
      <c r="F360" t="str">
        <f t="shared" si="46"/>
        <v/>
      </c>
      <c r="G360" t="str">
        <f t="shared" si="47"/>
        <v/>
      </c>
      <c r="H360" t="str">
        <f t="shared" si="44"/>
        <v/>
      </c>
      <c r="I360" t="str">
        <f t="shared" si="45"/>
        <v/>
      </c>
    </row>
    <row r="361" spans="2:9" hidden="1">
      <c r="B361" t="str">
        <f t="shared" si="40"/>
        <v>Wielkopolskie</v>
      </c>
      <c r="C361" t="str">
        <f t="shared" si="41"/>
        <v/>
      </c>
      <c r="D361" t="str">
        <f t="shared" si="42"/>
        <v/>
      </c>
      <c r="E361" t="str">
        <f t="shared" si="43"/>
        <v/>
      </c>
      <c r="F361" t="str">
        <f t="shared" si="46"/>
        <v/>
      </c>
      <c r="G361" t="str">
        <f t="shared" si="47"/>
        <v/>
      </c>
      <c r="H361" t="str">
        <f t="shared" si="44"/>
        <v/>
      </c>
      <c r="I361" t="str">
        <f t="shared" si="45"/>
        <v/>
      </c>
    </row>
    <row r="362" spans="2:9" hidden="1">
      <c r="B362" t="str">
        <f t="shared" si="40"/>
        <v>Wielkopolskie</v>
      </c>
      <c r="C362" t="str">
        <f t="shared" si="41"/>
        <v/>
      </c>
      <c r="D362" t="str">
        <f t="shared" si="42"/>
        <v/>
      </c>
      <c r="E362" t="str">
        <f t="shared" si="43"/>
        <v/>
      </c>
      <c r="F362" t="str">
        <f t="shared" si="46"/>
        <v/>
      </c>
      <c r="G362" t="str">
        <f t="shared" si="47"/>
        <v/>
      </c>
      <c r="H362" t="str">
        <f t="shared" si="44"/>
        <v/>
      </c>
      <c r="I362" t="str">
        <f t="shared" si="45"/>
        <v/>
      </c>
    </row>
    <row r="363" spans="2:9" hidden="1">
      <c r="B363" t="str">
        <f t="shared" si="40"/>
        <v>Wielkopolskie</v>
      </c>
      <c r="C363" t="str">
        <f t="shared" si="41"/>
        <v/>
      </c>
      <c r="D363" t="str">
        <f t="shared" si="42"/>
        <v/>
      </c>
      <c r="E363" t="str">
        <f t="shared" si="43"/>
        <v/>
      </c>
      <c r="F363" t="str">
        <f t="shared" si="46"/>
        <v/>
      </c>
      <c r="G363" t="str">
        <f t="shared" si="47"/>
        <v/>
      </c>
      <c r="H363" t="str">
        <f t="shared" si="44"/>
        <v/>
      </c>
      <c r="I363" t="str">
        <f t="shared" si="45"/>
        <v/>
      </c>
    </row>
    <row r="364" spans="2:9" hidden="1">
      <c r="B364" t="str">
        <f t="shared" si="40"/>
        <v>Wielkopolskie</v>
      </c>
      <c r="C364" t="str">
        <f t="shared" si="41"/>
        <v/>
      </c>
      <c r="D364" t="str">
        <f t="shared" si="42"/>
        <v/>
      </c>
      <c r="E364" t="str">
        <f t="shared" si="43"/>
        <v/>
      </c>
      <c r="F364" t="str">
        <f t="shared" si="46"/>
        <v/>
      </c>
      <c r="G364" t="str">
        <f t="shared" si="47"/>
        <v/>
      </c>
      <c r="H364" t="str">
        <f t="shared" si="44"/>
        <v/>
      </c>
      <c r="I364" t="str">
        <f t="shared" si="45"/>
        <v/>
      </c>
    </row>
    <row r="365" spans="2:9" hidden="1">
      <c r="B365" t="str">
        <f t="shared" si="40"/>
        <v>Wielkopolskie</v>
      </c>
      <c r="C365" t="str">
        <f t="shared" si="41"/>
        <v/>
      </c>
      <c r="D365" t="str">
        <f t="shared" si="42"/>
        <v/>
      </c>
      <c r="E365" t="str">
        <f t="shared" si="43"/>
        <v/>
      </c>
      <c r="F365" t="str">
        <f t="shared" si="46"/>
        <v/>
      </c>
      <c r="G365" t="str">
        <f t="shared" si="47"/>
        <v/>
      </c>
      <c r="H365" t="str">
        <f t="shared" si="44"/>
        <v/>
      </c>
      <c r="I365" t="str">
        <f t="shared" si="45"/>
        <v/>
      </c>
    </row>
    <row r="366" spans="2:9" hidden="1">
      <c r="B366" t="str">
        <f t="shared" si="40"/>
        <v>Wielkopolskie</v>
      </c>
      <c r="C366" t="str">
        <f t="shared" si="41"/>
        <v/>
      </c>
      <c r="D366" t="str">
        <f t="shared" si="42"/>
        <v/>
      </c>
      <c r="E366" t="str">
        <f t="shared" si="43"/>
        <v/>
      </c>
      <c r="F366" t="str">
        <f t="shared" si="46"/>
        <v/>
      </c>
      <c r="G366" t="str">
        <f t="shared" si="47"/>
        <v/>
      </c>
      <c r="H366" t="str">
        <f t="shared" si="44"/>
        <v/>
      </c>
      <c r="I366" t="str">
        <f t="shared" si="45"/>
        <v/>
      </c>
    </row>
    <row r="367" spans="2:9" hidden="1">
      <c r="B367" t="str">
        <f t="shared" si="40"/>
        <v>Wielkopolskie</v>
      </c>
      <c r="C367" t="str">
        <f t="shared" si="41"/>
        <v/>
      </c>
      <c r="D367" t="str">
        <f t="shared" si="42"/>
        <v/>
      </c>
      <c r="E367" t="str">
        <f t="shared" si="43"/>
        <v/>
      </c>
      <c r="F367" t="str">
        <f t="shared" si="46"/>
        <v/>
      </c>
      <c r="G367" t="str">
        <f t="shared" si="47"/>
        <v/>
      </c>
      <c r="H367" t="str">
        <f t="shared" si="44"/>
        <v/>
      </c>
      <c r="I367" t="str">
        <f t="shared" si="45"/>
        <v/>
      </c>
    </row>
    <row r="368" spans="2:9" hidden="1">
      <c r="B368" t="str">
        <f t="shared" si="40"/>
        <v>Wielkopolskie</v>
      </c>
      <c r="C368" t="str">
        <f t="shared" si="41"/>
        <v/>
      </c>
      <c r="D368" t="str">
        <f t="shared" si="42"/>
        <v/>
      </c>
      <c r="E368" t="str">
        <f t="shared" si="43"/>
        <v/>
      </c>
      <c r="F368" t="str">
        <f t="shared" si="46"/>
        <v/>
      </c>
      <c r="G368" t="str">
        <f t="shared" si="47"/>
        <v/>
      </c>
      <c r="H368" t="str">
        <f t="shared" si="44"/>
        <v/>
      </c>
      <c r="I368" t="str">
        <f t="shared" si="45"/>
        <v/>
      </c>
    </row>
    <row r="369" spans="2:9" hidden="1">
      <c r="B369" t="str">
        <f t="shared" si="40"/>
        <v>Wielkopolskie</v>
      </c>
      <c r="C369" t="str">
        <f t="shared" si="41"/>
        <v/>
      </c>
      <c r="D369" t="str">
        <f t="shared" si="42"/>
        <v/>
      </c>
      <c r="E369" t="str">
        <f t="shared" si="43"/>
        <v/>
      </c>
      <c r="F369" t="str">
        <f t="shared" si="46"/>
        <v/>
      </c>
      <c r="G369" t="str">
        <f t="shared" si="47"/>
        <v/>
      </c>
      <c r="H369" t="str">
        <f t="shared" si="44"/>
        <v/>
      </c>
      <c r="I369" t="str">
        <f t="shared" si="45"/>
        <v/>
      </c>
    </row>
    <row r="370" spans="2:9" hidden="1">
      <c r="B370" t="str">
        <f t="shared" si="40"/>
        <v>Wielkopolskie</v>
      </c>
      <c r="C370" t="str">
        <f t="shared" si="41"/>
        <v/>
      </c>
      <c r="D370" t="str">
        <f t="shared" si="42"/>
        <v/>
      </c>
      <c r="E370" t="str">
        <f t="shared" si="43"/>
        <v/>
      </c>
      <c r="F370" t="str">
        <f t="shared" si="46"/>
        <v/>
      </c>
      <c r="G370" t="str">
        <f t="shared" si="47"/>
        <v/>
      </c>
      <c r="H370" t="str">
        <f t="shared" si="44"/>
        <v/>
      </c>
      <c r="I370" t="str">
        <f t="shared" si="45"/>
        <v/>
      </c>
    </row>
    <row r="371" spans="2:9" hidden="1">
      <c r="B371" t="str">
        <f t="shared" si="40"/>
        <v>Wielkopolskie</v>
      </c>
      <c r="C371" t="str">
        <f t="shared" si="41"/>
        <v/>
      </c>
      <c r="D371" t="str">
        <f t="shared" si="42"/>
        <v/>
      </c>
      <c r="E371" t="str">
        <f t="shared" si="43"/>
        <v/>
      </c>
      <c r="F371" t="str">
        <f t="shared" si="46"/>
        <v/>
      </c>
      <c r="G371" t="str">
        <f t="shared" si="47"/>
        <v/>
      </c>
      <c r="H371" t="str">
        <f t="shared" si="44"/>
        <v/>
      </c>
      <c r="I371" t="str">
        <f t="shared" si="45"/>
        <v/>
      </c>
    </row>
    <row r="372" spans="2:9" hidden="1">
      <c r="B372" t="str">
        <f t="shared" si="40"/>
        <v>Wielkopolskie</v>
      </c>
      <c r="C372" t="str">
        <f t="shared" si="41"/>
        <v/>
      </c>
      <c r="D372" t="str">
        <f t="shared" si="42"/>
        <v/>
      </c>
      <c r="E372" t="str">
        <f t="shared" si="43"/>
        <v/>
      </c>
      <c r="F372" t="str">
        <f t="shared" si="46"/>
        <v/>
      </c>
      <c r="G372" t="str">
        <f t="shared" si="47"/>
        <v/>
      </c>
      <c r="H372" t="str">
        <f t="shared" si="44"/>
        <v/>
      </c>
      <c r="I372" t="str">
        <f t="shared" si="45"/>
        <v/>
      </c>
    </row>
    <row r="373" spans="2:9" hidden="1">
      <c r="B373" t="str">
        <f t="shared" si="40"/>
        <v>Wielkopolskie</v>
      </c>
      <c r="C373" t="str">
        <f t="shared" si="41"/>
        <v/>
      </c>
      <c r="D373" t="str">
        <f t="shared" si="42"/>
        <v/>
      </c>
      <c r="E373" t="str">
        <f t="shared" si="43"/>
        <v/>
      </c>
      <c r="F373" t="str">
        <f t="shared" si="46"/>
        <v/>
      </c>
      <c r="G373" t="str">
        <f t="shared" si="47"/>
        <v/>
      </c>
      <c r="H373" t="str">
        <f t="shared" si="44"/>
        <v/>
      </c>
      <c r="I373" t="str">
        <f t="shared" si="45"/>
        <v/>
      </c>
    </row>
    <row r="374" spans="2:9" hidden="1">
      <c r="B374" t="str">
        <f t="shared" si="40"/>
        <v>Wielkopolskie</v>
      </c>
      <c r="C374" t="str">
        <f t="shared" si="41"/>
        <v/>
      </c>
      <c r="D374" t="str">
        <f t="shared" si="42"/>
        <v/>
      </c>
      <c r="E374" t="str">
        <f t="shared" si="43"/>
        <v/>
      </c>
      <c r="F374" t="str">
        <f t="shared" si="46"/>
        <v/>
      </c>
      <c r="G374" t="str">
        <f t="shared" si="47"/>
        <v/>
      </c>
      <c r="H374" t="str">
        <f t="shared" si="44"/>
        <v/>
      </c>
      <c r="I374" t="str">
        <f t="shared" si="45"/>
        <v/>
      </c>
    </row>
    <row r="375" spans="2:9" hidden="1">
      <c r="B375" t="str">
        <f t="shared" si="40"/>
        <v>Wielkopolskie</v>
      </c>
      <c r="C375" t="str">
        <f t="shared" si="41"/>
        <v/>
      </c>
      <c r="D375" t="str">
        <f t="shared" si="42"/>
        <v/>
      </c>
      <c r="E375" t="str">
        <f t="shared" si="43"/>
        <v/>
      </c>
      <c r="F375" t="str">
        <f t="shared" si="46"/>
        <v/>
      </c>
      <c r="G375" t="str">
        <f t="shared" si="47"/>
        <v/>
      </c>
      <c r="H375" t="str">
        <f t="shared" si="44"/>
        <v/>
      </c>
      <c r="I375" t="str">
        <f t="shared" si="45"/>
        <v/>
      </c>
    </row>
    <row r="376" spans="2:9" hidden="1">
      <c r="B376" t="str">
        <f t="shared" si="40"/>
        <v>Wielkopolskie</v>
      </c>
      <c r="C376" t="str">
        <f t="shared" si="41"/>
        <v/>
      </c>
      <c r="D376" t="str">
        <f t="shared" si="42"/>
        <v/>
      </c>
      <c r="E376" t="str">
        <f t="shared" si="43"/>
        <v/>
      </c>
      <c r="F376" t="str">
        <f t="shared" si="46"/>
        <v/>
      </c>
      <c r="G376" t="str">
        <f t="shared" si="47"/>
        <v/>
      </c>
      <c r="H376" t="str">
        <f t="shared" si="44"/>
        <v/>
      </c>
      <c r="I376" t="str">
        <f t="shared" si="45"/>
        <v/>
      </c>
    </row>
    <row r="377" spans="2:9" hidden="1">
      <c r="B377" t="str">
        <f t="shared" si="40"/>
        <v>Wielkopolskie</v>
      </c>
      <c r="C377" t="str">
        <f t="shared" si="41"/>
        <v/>
      </c>
      <c r="D377" t="str">
        <f t="shared" si="42"/>
        <v/>
      </c>
      <c r="E377" t="str">
        <f t="shared" si="43"/>
        <v/>
      </c>
      <c r="F377" t="str">
        <f t="shared" si="46"/>
        <v/>
      </c>
      <c r="G377" t="str">
        <f t="shared" si="47"/>
        <v/>
      </c>
      <c r="H377" t="str">
        <f t="shared" si="44"/>
        <v/>
      </c>
      <c r="I377" t="str">
        <f t="shared" si="45"/>
        <v/>
      </c>
    </row>
    <row r="378" spans="2:9" hidden="1">
      <c r="B378" t="str">
        <f t="shared" si="40"/>
        <v>Wielkopolskie</v>
      </c>
      <c r="C378" t="str">
        <f t="shared" si="41"/>
        <v/>
      </c>
      <c r="D378" t="str">
        <f t="shared" si="42"/>
        <v/>
      </c>
      <c r="E378" t="str">
        <f t="shared" si="43"/>
        <v/>
      </c>
      <c r="F378" t="str">
        <f t="shared" si="46"/>
        <v/>
      </c>
      <c r="G378" t="str">
        <f t="shared" si="47"/>
        <v/>
      </c>
      <c r="H378" t="str">
        <f t="shared" si="44"/>
        <v/>
      </c>
      <c r="I378" t="str">
        <f t="shared" si="45"/>
        <v/>
      </c>
    </row>
    <row r="379" spans="2:9" hidden="1">
      <c r="B379" t="str">
        <f t="shared" si="40"/>
        <v>Wielkopolskie</v>
      </c>
      <c r="C379" t="str">
        <f t="shared" si="41"/>
        <v/>
      </c>
      <c r="D379" t="str">
        <f t="shared" si="42"/>
        <v/>
      </c>
      <c r="E379" t="str">
        <f t="shared" si="43"/>
        <v/>
      </c>
      <c r="F379" t="str">
        <f t="shared" si="46"/>
        <v/>
      </c>
      <c r="G379" t="str">
        <f t="shared" si="47"/>
        <v/>
      </c>
      <c r="H379" t="str">
        <f t="shared" si="44"/>
        <v/>
      </c>
      <c r="I379" t="str">
        <f t="shared" si="45"/>
        <v/>
      </c>
    </row>
    <row r="380" spans="2:9" hidden="1">
      <c r="B380" t="str">
        <f t="shared" si="40"/>
        <v>Wielkopolskie</v>
      </c>
      <c r="C380" t="str">
        <f t="shared" si="41"/>
        <v/>
      </c>
      <c r="D380" t="str">
        <f t="shared" si="42"/>
        <v/>
      </c>
      <c r="E380" t="str">
        <f t="shared" si="43"/>
        <v/>
      </c>
      <c r="F380" t="str">
        <f t="shared" si="46"/>
        <v/>
      </c>
      <c r="G380" t="str">
        <f t="shared" si="47"/>
        <v/>
      </c>
      <c r="H380" t="str">
        <f t="shared" si="44"/>
        <v/>
      </c>
      <c r="I380" t="str">
        <f t="shared" si="45"/>
        <v/>
      </c>
    </row>
    <row r="381" spans="2:9" hidden="1">
      <c r="B381" t="str">
        <f t="shared" si="40"/>
        <v>Wielkopolskie</v>
      </c>
      <c r="C381" t="str">
        <f t="shared" si="41"/>
        <v/>
      </c>
      <c r="D381" t="str">
        <f t="shared" si="42"/>
        <v/>
      </c>
      <c r="E381" t="str">
        <f t="shared" si="43"/>
        <v/>
      </c>
      <c r="F381" t="str">
        <f t="shared" si="46"/>
        <v/>
      </c>
      <c r="G381" t="str">
        <f t="shared" si="47"/>
        <v/>
      </c>
      <c r="H381" t="str">
        <f t="shared" si="44"/>
        <v/>
      </c>
      <c r="I381" t="str">
        <f t="shared" si="45"/>
        <v/>
      </c>
    </row>
    <row r="382" spans="2:9" hidden="1">
      <c r="B382" t="str">
        <f t="shared" si="40"/>
        <v>Wielkopolskie</v>
      </c>
      <c r="C382" t="str">
        <f t="shared" si="41"/>
        <v/>
      </c>
      <c r="D382" t="str">
        <f t="shared" si="42"/>
        <v/>
      </c>
      <c r="E382" t="str">
        <f t="shared" si="43"/>
        <v/>
      </c>
      <c r="F382" t="str">
        <f t="shared" si="46"/>
        <v/>
      </c>
      <c r="G382" t="str">
        <f t="shared" si="47"/>
        <v/>
      </c>
      <c r="H382" t="str">
        <f t="shared" si="44"/>
        <v/>
      </c>
      <c r="I382" t="str">
        <f t="shared" si="45"/>
        <v/>
      </c>
    </row>
    <row r="383" spans="2:9" hidden="1">
      <c r="B383" t="str">
        <f t="shared" si="40"/>
        <v>Wielkopolskie</v>
      </c>
      <c r="C383" t="str">
        <f t="shared" si="41"/>
        <v/>
      </c>
      <c r="D383" t="str">
        <f t="shared" si="42"/>
        <v/>
      </c>
      <c r="E383" t="str">
        <f t="shared" si="43"/>
        <v/>
      </c>
      <c r="F383" t="str">
        <f t="shared" si="46"/>
        <v/>
      </c>
      <c r="G383" t="str">
        <f t="shared" si="47"/>
        <v/>
      </c>
      <c r="H383" t="str">
        <f t="shared" si="44"/>
        <v/>
      </c>
      <c r="I383" t="str">
        <f t="shared" si="45"/>
        <v/>
      </c>
    </row>
    <row r="384" spans="2:9" hidden="1">
      <c r="B384" t="str">
        <f t="shared" si="40"/>
        <v>Wielkopolskie</v>
      </c>
      <c r="C384" t="str">
        <f t="shared" si="41"/>
        <v/>
      </c>
      <c r="D384" t="str">
        <f t="shared" si="42"/>
        <v/>
      </c>
      <c r="E384" t="str">
        <f t="shared" si="43"/>
        <v/>
      </c>
      <c r="F384" t="str">
        <f t="shared" si="46"/>
        <v/>
      </c>
      <c r="G384" t="str">
        <f t="shared" si="47"/>
        <v/>
      </c>
      <c r="H384" t="str">
        <f t="shared" si="44"/>
        <v/>
      </c>
      <c r="I384" t="str">
        <f t="shared" si="45"/>
        <v/>
      </c>
    </row>
    <row r="385" spans="2:9" hidden="1">
      <c r="B385" t="str">
        <f t="shared" si="40"/>
        <v>Wielkopolskie</v>
      </c>
      <c r="C385" t="str">
        <f t="shared" si="41"/>
        <v/>
      </c>
      <c r="D385" t="str">
        <f t="shared" si="42"/>
        <v/>
      </c>
      <c r="E385" t="str">
        <f t="shared" si="43"/>
        <v/>
      </c>
      <c r="F385" t="str">
        <f t="shared" si="46"/>
        <v/>
      </c>
      <c r="G385" t="str">
        <f t="shared" si="47"/>
        <v/>
      </c>
      <c r="H385" t="str">
        <f t="shared" si="44"/>
        <v/>
      </c>
      <c r="I385" t="str">
        <f t="shared" si="45"/>
        <v/>
      </c>
    </row>
    <row r="386" spans="2:9" hidden="1">
      <c r="B386" t="str">
        <f t="shared" ref="B386:B449" si="48">+IF(AND(C386&gt;"",ISERR(FIND("DKK",A385))),A385,B385)</f>
        <v>Wielkopolskie</v>
      </c>
      <c r="C386" t="str">
        <f t="shared" ref="C386:C449" si="49">IF(ISERR(FIND($C$1,A386,1)),"",A386)</f>
        <v/>
      </c>
      <c r="D386" t="str">
        <f t="shared" ref="D386:D449" si="50">IF(C386&gt;"",A387,"")</f>
        <v/>
      </c>
      <c r="E386" t="str">
        <f t="shared" ref="E386:E449" si="51">IF(C386&gt;"",A388,"")</f>
        <v/>
      </c>
      <c r="F386" t="str">
        <f t="shared" si="46"/>
        <v/>
      </c>
      <c r="G386" t="str">
        <f t="shared" si="47"/>
        <v/>
      </c>
      <c r="H386" t="str">
        <f t="shared" ref="H386:H449" si="52">IF(E386&gt;"",IF(ISERR(FIND("DKK",A392)),"",A392),"")</f>
        <v/>
      </c>
      <c r="I386" t="str">
        <f t="shared" ref="I386:I449" si="53">IF(E386&gt;"",IF(ISERR(FIND("DKK",A393)),"",A393),"")</f>
        <v/>
      </c>
    </row>
    <row r="387" spans="2:9" hidden="1">
      <c r="B387" t="str">
        <f t="shared" si="48"/>
        <v>Wielkopolskie</v>
      </c>
      <c r="C387" t="str">
        <f t="shared" si="49"/>
        <v/>
      </c>
      <c r="D387" t="str">
        <f t="shared" si="50"/>
        <v/>
      </c>
      <c r="E387" t="str">
        <f t="shared" si="51"/>
        <v/>
      </c>
      <c r="F387" t="str">
        <f t="shared" ref="F387:F450" si="54">IF(C387&gt;"",MID(A391,FIND("tel.",A391)+5,15),"")</f>
        <v/>
      </c>
      <c r="G387" t="str">
        <f t="shared" ref="G387:G450" si="55">IF(E387&gt;"",MID(A390,FIND("mail:",A390)+6,100),"")</f>
        <v/>
      </c>
      <c r="H387" t="str">
        <f t="shared" si="52"/>
        <v/>
      </c>
      <c r="I387" t="str">
        <f t="shared" si="53"/>
        <v/>
      </c>
    </row>
    <row r="388" spans="2:9" hidden="1">
      <c r="B388" t="str">
        <f t="shared" si="48"/>
        <v>Wielkopolskie</v>
      </c>
      <c r="C388" t="str">
        <f t="shared" si="49"/>
        <v/>
      </c>
      <c r="D388" t="str">
        <f t="shared" si="50"/>
        <v/>
      </c>
      <c r="E388" t="str">
        <f t="shared" si="51"/>
        <v/>
      </c>
      <c r="F388" t="str">
        <f t="shared" si="54"/>
        <v/>
      </c>
      <c r="G388" t="str">
        <f t="shared" si="55"/>
        <v/>
      </c>
      <c r="H388" t="str">
        <f t="shared" si="52"/>
        <v/>
      </c>
      <c r="I388" t="str">
        <f t="shared" si="53"/>
        <v/>
      </c>
    </row>
    <row r="389" spans="2:9" hidden="1">
      <c r="B389" t="str">
        <f t="shared" si="48"/>
        <v>Wielkopolskie</v>
      </c>
      <c r="C389" t="str">
        <f t="shared" si="49"/>
        <v/>
      </c>
      <c r="D389" t="str">
        <f t="shared" si="50"/>
        <v/>
      </c>
      <c r="E389" t="str">
        <f t="shared" si="51"/>
        <v/>
      </c>
      <c r="F389" t="str">
        <f t="shared" si="54"/>
        <v/>
      </c>
      <c r="G389" t="str">
        <f t="shared" si="55"/>
        <v/>
      </c>
      <c r="H389" t="str">
        <f t="shared" si="52"/>
        <v/>
      </c>
      <c r="I389" t="str">
        <f t="shared" si="53"/>
        <v/>
      </c>
    </row>
    <row r="390" spans="2:9" hidden="1">
      <c r="B390" t="str">
        <f t="shared" si="48"/>
        <v>Wielkopolskie</v>
      </c>
      <c r="C390" t="str">
        <f t="shared" si="49"/>
        <v/>
      </c>
      <c r="D390" t="str">
        <f t="shared" si="50"/>
        <v/>
      </c>
      <c r="E390" t="str">
        <f t="shared" si="51"/>
        <v/>
      </c>
      <c r="F390" t="str">
        <f t="shared" si="54"/>
        <v/>
      </c>
      <c r="G390" t="str">
        <f t="shared" si="55"/>
        <v/>
      </c>
      <c r="H390" t="str">
        <f t="shared" si="52"/>
        <v/>
      </c>
      <c r="I390" t="str">
        <f t="shared" si="53"/>
        <v/>
      </c>
    </row>
    <row r="391" spans="2:9" hidden="1">
      <c r="B391" t="str">
        <f t="shared" si="48"/>
        <v>Wielkopolskie</v>
      </c>
      <c r="C391" t="str">
        <f t="shared" si="49"/>
        <v/>
      </c>
      <c r="D391" t="str">
        <f t="shared" si="50"/>
        <v/>
      </c>
      <c r="E391" t="str">
        <f t="shared" si="51"/>
        <v/>
      </c>
      <c r="F391" t="str">
        <f t="shared" si="54"/>
        <v/>
      </c>
      <c r="G391" t="str">
        <f t="shared" si="55"/>
        <v/>
      </c>
      <c r="H391" t="str">
        <f t="shared" si="52"/>
        <v/>
      </c>
      <c r="I391" t="str">
        <f t="shared" si="53"/>
        <v/>
      </c>
    </row>
    <row r="392" spans="2:9" hidden="1">
      <c r="B392" t="str">
        <f t="shared" si="48"/>
        <v>Wielkopolskie</v>
      </c>
      <c r="C392" t="str">
        <f t="shared" si="49"/>
        <v/>
      </c>
      <c r="D392" t="str">
        <f t="shared" si="50"/>
        <v/>
      </c>
      <c r="E392" t="str">
        <f t="shared" si="51"/>
        <v/>
      </c>
      <c r="F392" t="str">
        <f t="shared" si="54"/>
        <v/>
      </c>
      <c r="G392" t="str">
        <f t="shared" si="55"/>
        <v/>
      </c>
      <c r="H392" t="str">
        <f t="shared" si="52"/>
        <v/>
      </c>
      <c r="I392" t="str">
        <f t="shared" si="53"/>
        <v/>
      </c>
    </row>
    <row r="393" spans="2:9" hidden="1">
      <c r="B393" t="str">
        <f t="shared" si="48"/>
        <v>Wielkopolskie</v>
      </c>
      <c r="C393" t="str">
        <f t="shared" si="49"/>
        <v/>
      </c>
      <c r="D393" t="str">
        <f t="shared" si="50"/>
        <v/>
      </c>
      <c r="E393" t="str">
        <f t="shared" si="51"/>
        <v/>
      </c>
      <c r="F393" t="str">
        <f t="shared" si="54"/>
        <v/>
      </c>
      <c r="G393" t="str">
        <f t="shared" si="55"/>
        <v/>
      </c>
      <c r="H393" t="str">
        <f t="shared" si="52"/>
        <v/>
      </c>
      <c r="I393" t="str">
        <f t="shared" si="53"/>
        <v/>
      </c>
    </row>
    <row r="394" spans="2:9" hidden="1">
      <c r="B394" t="str">
        <f t="shared" si="48"/>
        <v>Wielkopolskie</v>
      </c>
      <c r="C394" t="str">
        <f t="shared" si="49"/>
        <v/>
      </c>
      <c r="D394" t="str">
        <f t="shared" si="50"/>
        <v/>
      </c>
      <c r="E394" t="str">
        <f t="shared" si="51"/>
        <v/>
      </c>
      <c r="F394" t="str">
        <f t="shared" si="54"/>
        <v/>
      </c>
      <c r="G394" t="str">
        <f t="shared" si="55"/>
        <v/>
      </c>
      <c r="H394" t="str">
        <f t="shared" si="52"/>
        <v/>
      </c>
      <c r="I394" t="str">
        <f t="shared" si="53"/>
        <v/>
      </c>
    </row>
    <row r="395" spans="2:9" hidden="1">
      <c r="B395" t="str">
        <f t="shared" si="48"/>
        <v>Wielkopolskie</v>
      </c>
      <c r="C395" t="str">
        <f t="shared" si="49"/>
        <v/>
      </c>
      <c r="D395" t="str">
        <f t="shared" si="50"/>
        <v/>
      </c>
      <c r="E395" t="str">
        <f t="shared" si="51"/>
        <v/>
      </c>
      <c r="F395" t="str">
        <f t="shared" si="54"/>
        <v/>
      </c>
      <c r="G395" t="str">
        <f t="shared" si="55"/>
        <v/>
      </c>
      <c r="H395" t="str">
        <f t="shared" si="52"/>
        <v/>
      </c>
      <c r="I395" t="str">
        <f t="shared" si="53"/>
        <v/>
      </c>
    </row>
    <row r="396" spans="2:9" hidden="1">
      <c r="B396" t="str">
        <f t="shared" si="48"/>
        <v>Wielkopolskie</v>
      </c>
      <c r="C396" t="str">
        <f t="shared" si="49"/>
        <v/>
      </c>
      <c r="D396" t="str">
        <f t="shared" si="50"/>
        <v/>
      </c>
      <c r="E396" t="str">
        <f t="shared" si="51"/>
        <v/>
      </c>
      <c r="F396" t="str">
        <f t="shared" si="54"/>
        <v/>
      </c>
      <c r="G396" t="str">
        <f t="shared" si="55"/>
        <v/>
      </c>
      <c r="H396" t="str">
        <f t="shared" si="52"/>
        <v/>
      </c>
      <c r="I396" t="str">
        <f t="shared" si="53"/>
        <v/>
      </c>
    </row>
    <row r="397" spans="2:9" hidden="1">
      <c r="B397" t="str">
        <f t="shared" si="48"/>
        <v>Wielkopolskie</v>
      </c>
      <c r="C397" t="str">
        <f t="shared" si="49"/>
        <v/>
      </c>
      <c r="D397" t="str">
        <f t="shared" si="50"/>
        <v/>
      </c>
      <c r="E397" t="str">
        <f t="shared" si="51"/>
        <v/>
      </c>
      <c r="F397" t="str">
        <f t="shared" si="54"/>
        <v/>
      </c>
      <c r="G397" t="str">
        <f t="shared" si="55"/>
        <v/>
      </c>
      <c r="H397" t="str">
        <f t="shared" si="52"/>
        <v/>
      </c>
      <c r="I397" t="str">
        <f t="shared" si="53"/>
        <v/>
      </c>
    </row>
    <row r="398" spans="2:9" hidden="1">
      <c r="B398" t="str">
        <f t="shared" si="48"/>
        <v>Wielkopolskie</v>
      </c>
      <c r="C398" t="str">
        <f t="shared" si="49"/>
        <v/>
      </c>
      <c r="D398" t="str">
        <f t="shared" si="50"/>
        <v/>
      </c>
      <c r="E398" t="str">
        <f t="shared" si="51"/>
        <v/>
      </c>
      <c r="F398" t="str">
        <f t="shared" si="54"/>
        <v/>
      </c>
      <c r="G398" t="str">
        <f t="shared" si="55"/>
        <v/>
      </c>
      <c r="H398" t="str">
        <f t="shared" si="52"/>
        <v/>
      </c>
      <c r="I398" t="str">
        <f t="shared" si="53"/>
        <v/>
      </c>
    </row>
    <row r="399" spans="2:9" hidden="1">
      <c r="B399" t="str">
        <f t="shared" si="48"/>
        <v>Wielkopolskie</v>
      </c>
      <c r="C399" t="str">
        <f t="shared" si="49"/>
        <v/>
      </c>
      <c r="D399" t="str">
        <f t="shared" si="50"/>
        <v/>
      </c>
      <c r="E399" t="str">
        <f t="shared" si="51"/>
        <v/>
      </c>
      <c r="F399" t="str">
        <f t="shared" si="54"/>
        <v/>
      </c>
      <c r="G399" t="str">
        <f t="shared" si="55"/>
        <v/>
      </c>
      <c r="H399" t="str">
        <f t="shared" si="52"/>
        <v/>
      </c>
      <c r="I399" t="str">
        <f t="shared" si="53"/>
        <v/>
      </c>
    </row>
    <row r="400" spans="2:9" hidden="1">
      <c r="B400" t="str">
        <f t="shared" si="48"/>
        <v>Wielkopolskie</v>
      </c>
      <c r="C400" t="str">
        <f t="shared" si="49"/>
        <v/>
      </c>
      <c r="D400" t="str">
        <f t="shared" si="50"/>
        <v/>
      </c>
      <c r="E400" t="str">
        <f t="shared" si="51"/>
        <v/>
      </c>
      <c r="F400" t="str">
        <f t="shared" si="54"/>
        <v/>
      </c>
      <c r="G400" t="str">
        <f t="shared" si="55"/>
        <v/>
      </c>
      <c r="H400" t="str">
        <f t="shared" si="52"/>
        <v/>
      </c>
      <c r="I400" t="str">
        <f t="shared" si="53"/>
        <v/>
      </c>
    </row>
    <row r="401" spans="2:9" hidden="1">
      <c r="B401" t="str">
        <f t="shared" si="48"/>
        <v>Wielkopolskie</v>
      </c>
      <c r="C401" t="str">
        <f t="shared" si="49"/>
        <v/>
      </c>
      <c r="D401" t="str">
        <f t="shared" si="50"/>
        <v/>
      </c>
      <c r="E401" t="str">
        <f t="shared" si="51"/>
        <v/>
      </c>
      <c r="F401" t="str">
        <f t="shared" si="54"/>
        <v/>
      </c>
      <c r="G401" t="str">
        <f t="shared" si="55"/>
        <v/>
      </c>
      <c r="H401" t="str">
        <f t="shared" si="52"/>
        <v/>
      </c>
      <c r="I401" t="str">
        <f t="shared" si="53"/>
        <v/>
      </c>
    </row>
    <row r="402" spans="2:9" hidden="1">
      <c r="B402" t="str">
        <f t="shared" si="48"/>
        <v>Wielkopolskie</v>
      </c>
      <c r="C402" t="str">
        <f t="shared" si="49"/>
        <v/>
      </c>
      <c r="D402" t="str">
        <f t="shared" si="50"/>
        <v/>
      </c>
      <c r="E402" t="str">
        <f t="shared" si="51"/>
        <v/>
      </c>
      <c r="F402" t="str">
        <f t="shared" si="54"/>
        <v/>
      </c>
      <c r="G402" t="str">
        <f t="shared" si="55"/>
        <v/>
      </c>
      <c r="H402" t="str">
        <f t="shared" si="52"/>
        <v/>
      </c>
      <c r="I402" t="str">
        <f t="shared" si="53"/>
        <v/>
      </c>
    </row>
    <row r="403" spans="2:9" hidden="1">
      <c r="B403" t="str">
        <f t="shared" si="48"/>
        <v>Wielkopolskie</v>
      </c>
      <c r="C403" t="str">
        <f t="shared" si="49"/>
        <v/>
      </c>
      <c r="D403" t="str">
        <f t="shared" si="50"/>
        <v/>
      </c>
      <c r="E403" t="str">
        <f t="shared" si="51"/>
        <v/>
      </c>
      <c r="F403" t="str">
        <f t="shared" si="54"/>
        <v/>
      </c>
      <c r="G403" t="str">
        <f t="shared" si="55"/>
        <v/>
      </c>
      <c r="H403" t="str">
        <f t="shared" si="52"/>
        <v/>
      </c>
      <c r="I403" t="str">
        <f t="shared" si="53"/>
        <v/>
      </c>
    </row>
    <row r="404" spans="2:9" hidden="1">
      <c r="B404" t="str">
        <f t="shared" si="48"/>
        <v>Wielkopolskie</v>
      </c>
      <c r="C404" t="str">
        <f t="shared" si="49"/>
        <v/>
      </c>
      <c r="D404" t="str">
        <f t="shared" si="50"/>
        <v/>
      </c>
      <c r="E404" t="str">
        <f t="shared" si="51"/>
        <v/>
      </c>
      <c r="F404" t="str">
        <f t="shared" si="54"/>
        <v/>
      </c>
      <c r="G404" t="str">
        <f t="shared" si="55"/>
        <v/>
      </c>
      <c r="H404" t="str">
        <f t="shared" si="52"/>
        <v/>
      </c>
      <c r="I404" t="str">
        <f t="shared" si="53"/>
        <v/>
      </c>
    </row>
    <row r="405" spans="2:9" hidden="1">
      <c r="B405" t="str">
        <f t="shared" si="48"/>
        <v>Wielkopolskie</v>
      </c>
      <c r="C405" t="str">
        <f t="shared" si="49"/>
        <v/>
      </c>
      <c r="D405" t="str">
        <f t="shared" si="50"/>
        <v/>
      </c>
      <c r="E405" t="str">
        <f t="shared" si="51"/>
        <v/>
      </c>
      <c r="F405" t="str">
        <f t="shared" si="54"/>
        <v/>
      </c>
      <c r="G405" t="str">
        <f t="shared" si="55"/>
        <v/>
      </c>
      <c r="H405" t="str">
        <f t="shared" si="52"/>
        <v/>
      </c>
      <c r="I405" t="str">
        <f t="shared" si="53"/>
        <v/>
      </c>
    </row>
    <row r="406" spans="2:9" hidden="1">
      <c r="B406" t="str">
        <f t="shared" si="48"/>
        <v>Wielkopolskie</v>
      </c>
      <c r="C406" t="str">
        <f t="shared" si="49"/>
        <v/>
      </c>
      <c r="D406" t="str">
        <f t="shared" si="50"/>
        <v/>
      </c>
      <c r="E406" t="str">
        <f t="shared" si="51"/>
        <v/>
      </c>
      <c r="F406" t="str">
        <f t="shared" si="54"/>
        <v/>
      </c>
      <c r="G406" t="str">
        <f t="shared" si="55"/>
        <v/>
      </c>
      <c r="H406" t="str">
        <f t="shared" si="52"/>
        <v/>
      </c>
      <c r="I406" t="str">
        <f t="shared" si="53"/>
        <v/>
      </c>
    </row>
    <row r="407" spans="2:9" hidden="1">
      <c r="B407" t="str">
        <f t="shared" si="48"/>
        <v>Wielkopolskie</v>
      </c>
      <c r="C407" t="str">
        <f t="shared" si="49"/>
        <v/>
      </c>
      <c r="D407" t="str">
        <f t="shared" si="50"/>
        <v/>
      </c>
      <c r="E407" t="str">
        <f t="shared" si="51"/>
        <v/>
      </c>
      <c r="F407" t="str">
        <f t="shared" si="54"/>
        <v/>
      </c>
      <c r="G407" t="str">
        <f t="shared" si="55"/>
        <v/>
      </c>
      <c r="H407" t="str">
        <f t="shared" si="52"/>
        <v/>
      </c>
      <c r="I407" t="str">
        <f t="shared" si="53"/>
        <v/>
      </c>
    </row>
    <row r="408" spans="2:9" hidden="1">
      <c r="B408" t="str">
        <f t="shared" si="48"/>
        <v>Wielkopolskie</v>
      </c>
      <c r="C408" t="str">
        <f t="shared" si="49"/>
        <v/>
      </c>
      <c r="D408" t="str">
        <f t="shared" si="50"/>
        <v/>
      </c>
      <c r="E408" t="str">
        <f t="shared" si="51"/>
        <v/>
      </c>
      <c r="F408" t="str">
        <f t="shared" si="54"/>
        <v/>
      </c>
      <c r="G408" t="str">
        <f t="shared" si="55"/>
        <v/>
      </c>
      <c r="H408" t="str">
        <f t="shared" si="52"/>
        <v/>
      </c>
      <c r="I408" t="str">
        <f t="shared" si="53"/>
        <v/>
      </c>
    </row>
    <row r="409" spans="2:9" hidden="1">
      <c r="B409" t="str">
        <f t="shared" si="48"/>
        <v>Wielkopolskie</v>
      </c>
      <c r="C409" t="str">
        <f t="shared" si="49"/>
        <v/>
      </c>
      <c r="D409" t="str">
        <f t="shared" si="50"/>
        <v/>
      </c>
      <c r="E409" t="str">
        <f t="shared" si="51"/>
        <v/>
      </c>
      <c r="F409" t="str">
        <f t="shared" si="54"/>
        <v/>
      </c>
      <c r="G409" t="str">
        <f t="shared" si="55"/>
        <v/>
      </c>
      <c r="H409" t="str">
        <f t="shared" si="52"/>
        <v/>
      </c>
      <c r="I409" t="str">
        <f t="shared" si="53"/>
        <v/>
      </c>
    </row>
    <row r="410" spans="2:9" hidden="1">
      <c r="B410" t="str">
        <f t="shared" si="48"/>
        <v>Wielkopolskie</v>
      </c>
      <c r="C410" t="str">
        <f t="shared" si="49"/>
        <v/>
      </c>
      <c r="D410" t="str">
        <f t="shared" si="50"/>
        <v/>
      </c>
      <c r="E410" t="str">
        <f t="shared" si="51"/>
        <v/>
      </c>
      <c r="F410" t="str">
        <f t="shared" si="54"/>
        <v/>
      </c>
      <c r="G410" t="str">
        <f t="shared" si="55"/>
        <v/>
      </c>
      <c r="H410" t="str">
        <f t="shared" si="52"/>
        <v/>
      </c>
      <c r="I410" t="str">
        <f t="shared" si="53"/>
        <v/>
      </c>
    </row>
    <row r="411" spans="2:9" hidden="1">
      <c r="B411" t="str">
        <f t="shared" si="48"/>
        <v>Wielkopolskie</v>
      </c>
      <c r="C411" t="str">
        <f t="shared" si="49"/>
        <v/>
      </c>
      <c r="D411" t="str">
        <f t="shared" si="50"/>
        <v/>
      </c>
      <c r="E411" t="str">
        <f t="shared" si="51"/>
        <v/>
      </c>
      <c r="F411" t="str">
        <f t="shared" si="54"/>
        <v/>
      </c>
      <c r="G411" t="str">
        <f t="shared" si="55"/>
        <v/>
      </c>
      <c r="H411" t="str">
        <f t="shared" si="52"/>
        <v/>
      </c>
      <c r="I411" t="str">
        <f t="shared" si="53"/>
        <v/>
      </c>
    </row>
    <row r="412" spans="2:9" hidden="1">
      <c r="B412" t="str">
        <f t="shared" si="48"/>
        <v>Wielkopolskie</v>
      </c>
      <c r="C412" t="str">
        <f t="shared" si="49"/>
        <v/>
      </c>
      <c r="D412" t="str">
        <f t="shared" si="50"/>
        <v/>
      </c>
      <c r="E412" t="str">
        <f t="shared" si="51"/>
        <v/>
      </c>
      <c r="F412" t="str">
        <f t="shared" si="54"/>
        <v/>
      </c>
      <c r="G412" t="str">
        <f t="shared" si="55"/>
        <v/>
      </c>
      <c r="H412" t="str">
        <f t="shared" si="52"/>
        <v/>
      </c>
      <c r="I412" t="str">
        <f t="shared" si="53"/>
        <v/>
      </c>
    </row>
    <row r="413" spans="2:9" hidden="1">
      <c r="B413" t="str">
        <f t="shared" si="48"/>
        <v>Wielkopolskie</v>
      </c>
      <c r="C413" t="str">
        <f t="shared" si="49"/>
        <v/>
      </c>
      <c r="D413" t="str">
        <f t="shared" si="50"/>
        <v/>
      </c>
      <c r="E413" t="str">
        <f t="shared" si="51"/>
        <v/>
      </c>
      <c r="F413" t="str">
        <f t="shared" si="54"/>
        <v/>
      </c>
      <c r="G413" t="str">
        <f t="shared" si="55"/>
        <v/>
      </c>
      <c r="H413" t="str">
        <f t="shared" si="52"/>
        <v/>
      </c>
      <c r="I413" t="str">
        <f t="shared" si="53"/>
        <v/>
      </c>
    </row>
    <row r="414" spans="2:9" hidden="1">
      <c r="B414" t="str">
        <f t="shared" si="48"/>
        <v>Wielkopolskie</v>
      </c>
      <c r="C414" t="str">
        <f t="shared" si="49"/>
        <v/>
      </c>
      <c r="D414" t="str">
        <f t="shared" si="50"/>
        <v/>
      </c>
      <c r="E414" t="str">
        <f t="shared" si="51"/>
        <v/>
      </c>
      <c r="F414" t="str">
        <f t="shared" si="54"/>
        <v/>
      </c>
      <c r="G414" t="str">
        <f t="shared" si="55"/>
        <v/>
      </c>
      <c r="H414" t="str">
        <f t="shared" si="52"/>
        <v/>
      </c>
      <c r="I414" t="str">
        <f t="shared" si="53"/>
        <v/>
      </c>
    </row>
    <row r="415" spans="2:9" hidden="1">
      <c r="B415" t="str">
        <f t="shared" si="48"/>
        <v>Wielkopolskie</v>
      </c>
      <c r="C415" t="str">
        <f t="shared" si="49"/>
        <v/>
      </c>
      <c r="D415" t="str">
        <f t="shared" si="50"/>
        <v/>
      </c>
      <c r="E415" t="str">
        <f t="shared" si="51"/>
        <v/>
      </c>
      <c r="F415" t="str">
        <f t="shared" si="54"/>
        <v/>
      </c>
      <c r="G415" t="str">
        <f t="shared" si="55"/>
        <v/>
      </c>
      <c r="H415" t="str">
        <f t="shared" si="52"/>
        <v/>
      </c>
      <c r="I415" t="str">
        <f t="shared" si="53"/>
        <v/>
      </c>
    </row>
    <row r="416" spans="2:9" hidden="1">
      <c r="B416" t="str">
        <f t="shared" si="48"/>
        <v>Wielkopolskie</v>
      </c>
      <c r="C416" t="str">
        <f t="shared" si="49"/>
        <v/>
      </c>
      <c r="D416" t="str">
        <f t="shared" si="50"/>
        <v/>
      </c>
      <c r="E416" t="str">
        <f t="shared" si="51"/>
        <v/>
      </c>
      <c r="F416" t="str">
        <f t="shared" si="54"/>
        <v/>
      </c>
      <c r="G416" t="str">
        <f t="shared" si="55"/>
        <v/>
      </c>
      <c r="H416" t="str">
        <f t="shared" si="52"/>
        <v/>
      </c>
      <c r="I416" t="str">
        <f t="shared" si="53"/>
        <v/>
      </c>
    </row>
    <row r="417" spans="2:9" hidden="1">
      <c r="B417" t="str">
        <f t="shared" si="48"/>
        <v>Wielkopolskie</v>
      </c>
      <c r="C417" t="str">
        <f t="shared" si="49"/>
        <v/>
      </c>
      <c r="D417" t="str">
        <f t="shared" si="50"/>
        <v/>
      </c>
      <c r="E417" t="str">
        <f t="shared" si="51"/>
        <v/>
      </c>
      <c r="F417" t="str">
        <f t="shared" si="54"/>
        <v/>
      </c>
      <c r="G417" t="str">
        <f t="shared" si="55"/>
        <v/>
      </c>
      <c r="H417" t="str">
        <f t="shared" si="52"/>
        <v/>
      </c>
      <c r="I417" t="str">
        <f t="shared" si="53"/>
        <v/>
      </c>
    </row>
    <row r="418" spans="2:9" hidden="1">
      <c r="B418" t="str">
        <f t="shared" si="48"/>
        <v>Wielkopolskie</v>
      </c>
      <c r="C418" t="str">
        <f t="shared" si="49"/>
        <v/>
      </c>
      <c r="D418" t="str">
        <f t="shared" si="50"/>
        <v/>
      </c>
      <c r="E418" t="str">
        <f t="shared" si="51"/>
        <v/>
      </c>
      <c r="F418" t="str">
        <f t="shared" si="54"/>
        <v/>
      </c>
      <c r="G418" t="str">
        <f t="shared" si="55"/>
        <v/>
      </c>
      <c r="H418" t="str">
        <f t="shared" si="52"/>
        <v/>
      </c>
      <c r="I418" t="str">
        <f t="shared" si="53"/>
        <v/>
      </c>
    </row>
    <row r="419" spans="2:9" hidden="1">
      <c r="B419" t="str">
        <f t="shared" si="48"/>
        <v>Wielkopolskie</v>
      </c>
      <c r="C419" t="str">
        <f t="shared" si="49"/>
        <v/>
      </c>
      <c r="D419" t="str">
        <f t="shared" si="50"/>
        <v/>
      </c>
      <c r="E419" t="str">
        <f t="shared" si="51"/>
        <v/>
      </c>
      <c r="F419" t="str">
        <f t="shared" si="54"/>
        <v/>
      </c>
      <c r="G419" t="str">
        <f t="shared" si="55"/>
        <v/>
      </c>
      <c r="H419" t="str">
        <f t="shared" si="52"/>
        <v/>
      </c>
      <c r="I419" t="str">
        <f t="shared" si="53"/>
        <v/>
      </c>
    </row>
    <row r="420" spans="2:9" hidden="1">
      <c r="B420" t="str">
        <f t="shared" si="48"/>
        <v>Wielkopolskie</v>
      </c>
      <c r="C420" t="str">
        <f t="shared" si="49"/>
        <v/>
      </c>
      <c r="D420" t="str">
        <f t="shared" si="50"/>
        <v/>
      </c>
      <c r="E420" t="str">
        <f t="shared" si="51"/>
        <v/>
      </c>
      <c r="F420" t="str">
        <f t="shared" si="54"/>
        <v/>
      </c>
      <c r="G420" t="str">
        <f t="shared" si="55"/>
        <v/>
      </c>
      <c r="H420" t="str">
        <f t="shared" si="52"/>
        <v/>
      </c>
      <c r="I420" t="str">
        <f t="shared" si="53"/>
        <v/>
      </c>
    </row>
    <row r="421" spans="2:9" hidden="1">
      <c r="B421" t="str">
        <f t="shared" si="48"/>
        <v>Wielkopolskie</v>
      </c>
      <c r="C421" t="str">
        <f t="shared" si="49"/>
        <v/>
      </c>
      <c r="D421" t="str">
        <f t="shared" si="50"/>
        <v/>
      </c>
      <c r="E421" t="str">
        <f t="shared" si="51"/>
        <v/>
      </c>
      <c r="F421" t="str">
        <f t="shared" si="54"/>
        <v/>
      </c>
      <c r="G421" t="str">
        <f t="shared" si="55"/>
        <v/>
      </c>
      <c r="H421" t="str">
        <f t="shared" si="52"/>
        <v/>
      </c>
      <c r="I421" t="str">
        <f t="shared" si="53"/>
        <v/>
      </c>
    </row>
    <row r="422" spans="2:9" hidden="1">
      <c r="B422" t="str">
        <f t="shared" si="48"/>
        <v>Wielkopolskie</v>
      </c>
      <c r="C422" t="str">
        <f t="shared" si="49"/>
        <v/>
      </c>
      <c r="D422" t="str">
        <f t="shared" si="50"/>
        <v/>
      </c>
      <c r="E422" t="str">
        <f t="shared" si="51"/>
        <v/>
      </c>
      <c r="F422" t="str">
        <f t="shared" si="54"/>
        <v/>
      </c>
      <c r="G422" t="str">
        <f t="shared" si="55"/>
        <v/>
      </c>
      <c r="H422" t="str">
        <f t="shared" si="52"/>
        <v/>
      </c>
      <c r="I422" t="str">
        <f t="shared" si="53"/>
        <v/>
      </c>
    </row>
    <row r="423" spans="2:9" hidden="1">
      <c r="B423" t="str">
        <f t="shared" si="48"/>
        <v>Wielkopolskie</v>
      </c>
      <c r="C423" t="str">
        <f t="shared" si="49"/>
        <v/>
      </c>
      <c r="D423" t="str">
        <f t="shared" si="50"/>
        <v/>
      </c>
      <c r="E423" t="str">
        <f t="shared" si="51"/>
        <v/>
      </c>
      <c r="F423" t="str">
        <f t="shared" si="54"/>
        <v/>
      </c>
      <c r="G423" t="str">
        <f t="shared" si="55"/>
        <v/>
      </c>
      <c r="H423" t="str">
        <f t="shared" si="52"/>
        <v/>
      </c>
      <c r="I423" t="str">
        <f t="shared" si="53"/>
        <v/>
      </c>
    </row>
    <row r="424" spans="2:9" hidden="1">
      <c r="B424" t="str">
        <f t="shared" si="48"/>
        <v>Wielkopolskie</v>
      </c>
      <c r="C424" t="str">
        <f t="shared" si="49"/>
        <v/>
      </c>
      <c r="D424" t="str">
        <f t="shared" si="50"/>
        <v/>
      </c>
      <c r="E424" t="str">
        <f t="shared" si="51"/>
        <v/>
      </c>
      <c r="F424" t="str">
        <f t="shared" si="54"/>
        <v/>
      </c>
      <c r="G424" t="str">
        <f t="shared" si="55"/>
        <v/>
      </c>
      <c r="H424" t="str">
        <f t="shared" si="52"/>
        <v/>
      </c>
      <c r="I424" t="str">
        <f t="shared" si="53"/>
        <v/>
      </c>
    </row>
    <row r="425" spans="2:9" hidden="1">
      <c r="B425" t="str">
        <f t="shared" si="48"/>
        <v>Wielkopolskie</v>
      </c>
      <c r="C425" t="str">
        <f t="shared" si="49"/>
        <v/>
      </c>
      <c r="D425" t="str">
        <f t="shared" si="50"/>
        <v/>
      </c>
      <c r="E425" t="str">
        <f t="shared" si="51"/>
        <v/>
      </c>
      <c r="F425" t="str">
        <f t="shared" si="54"/>
        <v/>
      </c>
      <c r="G425" t="str">
        <f t="shared" si="55"/>
        <v/>
      </c>
      <c r="H425" t="str">
        <f t="shared" si="52"/>
        <v/>
      </c>
      <c r="I425" t="str">
        <f t="shared" si="53"/>
        <v/>
      </c>
    </row>
    <row r="426" spans="2:9" hidden="1">
      <c r="B426" t="str">
        <f t="shared" si="48"/>
        <v>Wielkopolskie</v>
      </c>
      <c r="C426" t="str">
        <f t="shared" si="49"/>
        <v/>
      </c>
      <c r="D426" t="str">
        <f t="shared" si="50"/>
        <v/>
      </c>
      <c r="E426" t="str">
        <f t="shared" si="51"/>
        <v/>
      </c>
      <c r="F426" t="str">
        <f t="shared" si="54"/>
        <v/>
      </c>
      <c r="G426" t="str">
        <f t="shared" si="55"/>
        <v/>
      </c>
      <c r="H426" t="str">
        <f t="shared" si="52"/>
        <v/>
      </c>
      <c r="I426" t="str">
        <f t="shared" si="53"/>
        <v/>
      </c>
    </row>
    <row r="427" spans="2:9" hidden="1">
      <c r="B427" t="str">
        <f t="shared" si="48"/>
        <v>Wielkopolskie</v>
      </c>
      <c r="C427" t="str">
        <f t="shared" si="49"/>
        <v/>
      </c>
      <c r="D427" t="str">
        <f t="shared" si="50"/>
        <v/>
      </c>
      <c r="E427" t="str">
        <f t="shared" si="51"/>
        <v/>
      </c>
      <c r="F427" t="str">
        <f t="shared" si="54"/>
        <v/>
      </c>
      <c r="G427" t="str">
        <f t="shared" si="55"/>
        <v/>
      </c>
      <c r="H427" t="str">
        <f t="shared" si="52"/>
        <v/>
      </c>
      <c r="I427" t="str">
        <f t="shared" si="53"/>
        <v/>
      </c>
    </row>
    <row r="428" spans="2:9" hidden="1">
      <c r="B428" t="str">
        <f t="shared" si="48"/>
        <v>Wielkopolskie</v>
      </c>
      <c r="C428" t="str">
        <f t="shared" si="49"/>
        <v/>
      </c>
      <c r="D428" t="str">
        <f t="shared" si="50"/>
        <v/>
      </c>
      <c r="E428" t="str">
        <f t="shared" si="51"/>
        <v/>
      </c>
      <c r="F428" t="str">
        <f t="shared" si="54"/>
        <v/>
      </c>
      <c r="G428" t="str">
        <f t="shared" si="55"/>
        <v/>
      </c>
      <c r="H428" t="str">
        <f t="shared" si="52"/>
        <v/>
      </c>
      <c r="I428" t="str">
        <f t="shared" si="53"/>
        <v/>
      </c>
    </row>
    <row r="429" spans="2:9" hidden="1">
      <c r="B429" t="str">
        <f t="shared" si="48"/>
        <v>Wielkopolskie</v>
      </c>
      <c r="C429" t="str">
        <f t="shared" si="49"/>
        <v/>
      </c>
      <c r="D429" t="str">
        <f t="shared" si="50"/>
        <v/>
      </c>
      <c r="E429" t="str">
        <f t="shared" si="51"/>
        <v/>
      </c>
      <c r="F429" t="str">
        <f t="shared" si="54"/>
        <v/>
      </c>
      <c r="G429" t="str">
        <f t="shared" si="55"/>
        <v/>
      </c>
      <c r="H429" t="str">
        <f t="shared" si="52"/>
        <v/>
      </c>
      <c r="I429" t="str">
        <f t="shared" si="53"/>
        <v/>
      </c>
    </row>
    <row r="430" spans="2:9" hidden="1">
      <c r="B430" t="str">
        <f t="shared" si="48"/>
        <v>Wielkopolskie</v>
      </c>
      <c r="C430" t="str">
        <f t="shared" si="49"/>
        <v/>
      </c>
      <c r="D430" t="str">
        <f t="shared" si="50"/>
        <v/>
      </c>
      <c r="E430" t="str">
        <f t="shared" si="51"/>
        <v/>
      </c>
      <c r="F430" t="str">
        <f t="shared" si="54"/>
        <v/>
      </c>
      <c r="G430" t="str">
        <f t="shared" si="55"/>
        <v/>
      </c>
      <c r="H430" t="str">
        <f t="shared" si="52"/>
        <v/>
      </c>
      <c r="I430" t="str">
        <f t="shared" si="53"/>
        <v/>
      </c>
    </row>
    <row r="431" spans="2:9" hidden="1">
      <c r="B431" t="str">
        <f t="shared" si="48"/>
        <v>Wielkopolskie</v>
      </c>
      <c r="C431" t="str">
        <f t="shared" si="49"/>
        <v/>
      </c>
      <c r="D431" t="str">
        <f t="shared" si="50"/>
        <v/>
      </c>
      <c r="E431" t="str">
        <f t="shared" si="51"/>
        <v/>
      </c>
      <c r="F431" t="str">
        <f t="shared" si="54"/>
        <v/>
      </c>
      <c r="G431" t="str">
        <f t="shared" si="55"/>
        <v/>
      </c>
      <c r="H431" t="str">
        <f t="shared" si="52"/>
        <v/>
      </c>
      <c r="I431" t="str">
        <f t="shared" si="53"/>
        <v/>
      </c>
    </row>
    <row r="432" spans="2:9" hidden="1">
      <c r="B432" t="str">
        <f t="shared" si="48"/>
        <v>Wielkopolskie</v>
      </c>
      <c r="C432" t="str">
        <f t="shared" si="49"/>
        <v/>
      </c>
      <c r="D432" t="str">
        <f t="shared" si="50"/>
        <v/>
      </c>
      <c r="E432" t="str">
        <f t="shared" si="51"/>
        <v/>
      </c>
      <c r="F432" t="str">
        <f t="shared" si="54"/>
        <v/>
      </c>
      <c r="G432" t="str">
        <f t="shared" si="55"/>
        <v/>
      </c>
      <c r="H432" t="str">
        <f t="shared" si="52"/>
        <v/>
      </c>
      <c r="I432" t="str">
        <f t="shared" si="53"/>
        <v/>
      </c>
    </row>
    <row r="433" spans="2:9" hidden="1">
      <c r="B433" t="str">
        <f t="shared" si="48"/>
        <v>Wielkopolskie</v>
      </c>
      <c r="C433" t="str">
        <f t="shared" si="49"/>
        <v/>
      </c>
      <c r="D433" t="str">
        <f t="shared" si="50"/>
        <v/>
      </c>
      <c r="E433" t="str">
        <f t="shared" si="51"/>
        <v/>
      </c>
      <c r="F433" t="str">
        <f t="shared" si="54"/>
        <v/>
      </c>
      <c r="G433" t="str">
        <f t="shared" si="55"/>
        <v/>
      </c>
      <c r="H433" t="str">
        <f t="shared" si="52"/>
        <v/>
      </c>
      <c r="I433" t="str">
        <f t="shared" si="53"/>
        <v/>
      </c>
    </row>
    <row r="434" spans="2:9" hidden="1">
      <c r="B434" t="str">
        <f t="shared" si="48"/>
        <v>Wielkopolskie</v>
      </c>
      <c r="C434" t="str">
        <f t="shared" si="49"/>
        <v/>
      </c>
      <c r="D434" t="str">
        <f t="shared" si="50"/>
        <v/>
      </c>
      <c r="E434" t="str">
        <f t="shared" si="51"/>
        <v/>
      </c>
      <c r="F434" t="str">
        <f t="shared" si="54"/>
        <v/>
      </c>
      <c r="G434" t="str">
        <f t="shared" si="55"/>
        <v/>
      </c>
      <c r="H434" t="str">
        <f t="shared" si="52"/>
        <v/>
      </c>
      <c r="I434" t="str">
        <f t="shared" si="53"/>
        <v/>
      </c>
    </row>
    <row r="435" spans="2:9" hidden="1">
      <c r="B435" t="str">
        <f t="shared" si="48"/>
        <v>Wielkopolskie</v>
      </c>
      <c r="C435" t="str">
        <f t="shared" si="49"/>
        <v/>
      </c>
      <c r="D435" t="str">
        <f t="shared" si="50"/>
        <v/>
      </c>
      <c r="E435" t="str">
        <f t="shared" si="51"/>
        <v/>
      </c>
      <c r="F435" t="str">
        <f t="shared" si="54"/>
        <v/>
      </c>
      <c r="G435" t="str">
        <f t="shared" si="55"/>
        <v/>
      </c>
      <c r="H435" t="str">
        <f t="shared" si="52"/>
        <v/>
      </c>
      <c r="I435" t="str">
        <f t="shared" si="53"/>
        <v/>
      </c>
    </row>
    <row r="436" spans="2:9" hidden="1">
      <c r="B436" t="str">
        <f t="shared" si="48"/>
        <v>Wielkopolskie</v>
      </c>
      <c r="C436" t="str">
        <f t="shared" si="49"/>
        <v/>
      </c>
      <c r="D436" t="str">
        <f t="shared" si="50"/>
        <v/>
      </c>
      <c r="E436" t="str">
        <f t="shared" si="51"/>
        <v/>
      </c>
      <c r="F436" t="str">
        <f t="shared" si="54"/>
        <v/>
      </c>
      <c r="G436" t="str">
        <f t="shared" si="55"/>
        <v/>
      </c>
      <c r="H436" t="str">
        <f t="shared" si="52"/>
        <v/>
      </c>
      <c r="I436" t="str">
        <f t="shared" si="53"/>
        <v/>
      </c>
    </row>
    <row r="437" spans="2:9" hidden="1">
      <c r="B437" t="str">
        <f t="shared" si="48"/>
        <v>Wielkopolskie</v>
      </c>
      <c r="C437" t="str">
        <f t="shared" si="49"/>
        <v/>
      </c>
      <c r="D437" t="str">
        <f t="shared" si="50"/>
        <v/>
      </c>
      <c r="E437" t="str">
        <f t="shared" si="51"/>
        <v/>
      </c>
      <c r="F437" t="str">
        <f t="shared" si="54"/>
        <v/>
      </c>
      <c r="G437" t="str">
        <f t="shared" si="55"/>
        <v/>
      </c>
      <c r="H437" t="str">
        <f t="shared" si="52"/>
        <v/>
      </c>
      <c r="I437" t="str">
        <f t="shared" si="53"/>
        <v/>
      </c>
    </row>
    <row r="438" spans="2:9" hidden="1">
      <c r="B438" t="str">
        <f t="shared" si="48"/>
        <v>Wielkopolskie</v>
      </c>
      <c r="C438" t="str">
        <f t="shared" si="49"/>
        <v/>
      </c>
      <c r="D438" t="str">
        <f t="shared" si="50"/>
        <v/>
      </c>
      <c r="E438" t="str">
        <f t="shared" si="51"/>
        <v/>
      </c>
      <c r="F438" t="str">
        <f t="shared" si="54"/>
        <v/>
      </c>
      <c r="G438" t="str">
        <f t="shared" si="55"/>
        <v/>
      </c>
      <c r="H438" t="str">
        <f t="shared" si="52"/>
        <v/>
      </c>
      <c r="I438" t="str">
        <f t="shared" si="53"/>
        <v/>
      </c>
    </row>
    <row r="439" spans="2:9" hidden="1">
      <c r="B439" t="str">
        <f t="shared" si="48"/>
        <v>Wielkopolskie</v>
      </c>
      <c r="C439" t="str">
        <f t="shared" si="49"/>
        <v/>
      </c>
      <c r="D439" t="str">
        <f t="shared" si="50"/>
        <v/>
      </c>
      <c r="E439" t="str">
        <f t="shared" si="51"/>
        <v/>
      </c>
      <c r="F439" t="str">
        <f t="shared" si="54"/>
        <v/>
      </c>
      <c r="G439" t="str">
        <f t="shared" si="55"/>
        <v/>
      </c>
      <c r="H439" t="str">
        <f t="shared" si="52"/>
        <v/>
      </c>
      <c r="I439" t="str">
        <f t="shared" si="53"/>
        <v/>
      </c>
    </row>
    <row r="440" spans="2:9" hidden="1">
      <c r="B440" t="str">
        <f t="shared" si="48"/>
        <v>Wielkopolskie</v>
      </c>
      <c r="C440" t="str">
        <f t="shared" si="49"/>
        <v/>
      </c>
      <c r="D440" t="str">
        <f t="shared" si="50"/>
        <v/>
      </c>
      <c r="E440" t="str">
        <f t="shared" si="51"/>
        <v/>
      </c>
      <c r="F440" t="str">
        <f t="shared" si="54"/>
        <v/>
      </c>
      <c r="G440" t="str">
        <f t="shared" si="55"/>
        <v/>
      </c>
      <c r="H440" t="str">
        <f t="shared" si="52"/>
        <v/>
      </c>
      <c r="I440" t="str">
        <f t="shared" si="53"/>
        <v/>
      </c>
    </row>
    <row r="441" spans="2:9" hidden="1">
      <c r="B441" t="str">
        <f t="shared" si="48"/>
        <v>Wielkopolskie</v>
      </c>
      <c r="C441" t="str">
        <f t="shared" si="49"/>
        <v/>
      </c>
      <c r="D441" t="str">
        <f t="shared" si="50"/>
        <v/>
      </c>
      <c r="E441" t="str">
        <f t="shared" si="51"/>
        <v/>
      </c>
      <c r="F441" t="str">
        <f t="shared" si="54"/>
        <v/>
      </c>
      <c r="G441" t="str">
        <f t="shared" si="55"/>
        <v/>
      </c>
      <c r="H441" t="str">
        <f t="shared" si="52"/>
        <v/>
      </c>
      <c r="I441" t="str">
        <f t="shared" si="53"/>
        <v/>
      </c>
    </row>
    <row r="442" spans="2:9" hidden="1">
      <c r="B442" t="str">
        <f t="shared" si="48"/>
        <v>Wielkopolskie</v>
      </c>
      <c r="C442" t="str">
        <f t="shared" si="49"/>
        <v/>
      </c>
      <c r="D442" t="str">
        <f t="shared" si="50"/>
        <v/>
      </c>
      <c r="E442" t="str">
        <f t="shared" si="51"/>
        <v/>
      </c>
      <c r="F442" t="str">
        <f t="shared" si="54"/>
        <v/>
      </c>
      <c r="G442" t="str">
        <f t="shared" si="55"/>
        <v/>
      </c>
      <c r="H442" t="str">
        <f t="shared" si="52"/>
        <v/>
      </c>
      <c r="I442" t="str">
        <f t="shared" si="53"/>
        <v/>
      </c>
    </row>
    <row r="443" spans="2:9" hidden="1">
      <c r="B443" t="str">
        <f t="shared" si="48"/>
        <v>Wielkopolskie</v>
      </c>
      <c r="C443" t="str">
        <f t="shared" si="49"/>
        <v/>
      </c>
      <c r="D443" t="str">
        <f t="shared" si="50"/>
        <v/>
      </c>
      <c r="E443" t="str">
        <f t="shared" si="51"/>
        <v/>
      </c>
      <c r="F443" t="str">
        <f t="shared" si="54"/>
        <v/>
      </c>
      <c r="G443" t="str">
        <f t="shared" si="55"/>
        <v/>
      </c>
      <c r="H443" t="str">
        <f t="shared" si="52"/>
        <v/>
      </c>
      <c r="I443" t="str">
        <f t="shared" si="53"/>
        <v/>
      </c>
    </row>
    <row r="444" spans="2:9" hidden="1">
      <c r="B444" t="str">
        <f t="shared" si="48"/>
        <v>Wielkopolskie</v>
      </c>
      <c r="C444" t="str">
        <f t="shared" si="49"/>
        <v/>
      </c>
      <c r="D444" t="str">
        <f t="shared" si="50"/>
        <v/>
      </c>
      <c r="E444" t="str">
        <f t="shared" si="51"/>
        <v/>
      </c>
      <c r="F444" t="str">
        <f t="shared" si="54"/>
        <v/>
      </c>
      <c r="G444" t="str">
        <f t="shared" si="55"/>
        <v/>
      </c>
      <c r="H444" t="str">
        <f t="shared" si="52"/>
        <v/>
      </c>
      <c r="I444" t="str">
        <f t="shared" si="53"/>
        <v/>
      </c>
    </row>
    <row r="445" spans="2:9" hidden="1">
      <c r="B445" t="str">
        <f t="shared" si="48"/>
        <v>Wielkopolskie</v>
      </c>
      <c r="C445" t="str">
        <f t="shared" si="49"/>
        <v/>
      </c>
      <c r="D445" t="str">
        <f t="shared" si="50"/>
        <v/>
      </c>
      <c r="E445" t="str">
        <f t="shared" si="51"/>
        <v/>
      </c>
      <c r="F445" t="str">
        <f t="shared" si="54"/>
        <v/>
      </c>
      <c r="G445" t="str">
        <f t="shared" si="55"/>
        <v/>
      </c>
      <c r="H445" t="str">
        <f t="shared" si="52"/>
        <v/>
      </c>
      <c r="I445" t="str">
        <f t="shared" si="53"/>
        <v/>
      </c>
    </row>
    <row r="446" spans="2:9" hidden="1">
      <c r="B446" t="str">
        <f t="shared" si="48"/>
        <v>Wielkopolskie</v>
      </c>
      <c r="C446" t="str">
        <f t="shared" si="49"/>
        <v/>
      </c>
      <c r="D446" t="str">
        <f t="shared" si="50"/>
        <v/>
      </c>
      <c r="E446" t="str">
        <f t="shared" si="51"/>
        <v/>
      </c>
      <c r="F446" t="str">
        <f t="shared" si="54"/>
        <v/>
      </c>
      <c r="G446" t="str">
        <f t="shared" si="55"/>
        <v/>
      </c>
      <c r="H446" t="str">
        <f t="shared" si="52"/>
        <v/>
      </c>
      <c r="I446" t="str">
        <f t="shared" si="53"/>
        <v/>
      </c>
    </row>
    <row r="447" spans="2:9" hidden="1">
      <c r="B447" t="str">
        <f t="shared" si="48"/>
        <v>Wielkopolskie</v>
      </c>
      <c r="C447" t="str">
        <f t="shared" si="49"/>
        <v/>
      </c>
      <c r="D447" t="str">
        <f t="shared" si="50"/>
        <v/>
      </c>
      <c r="E447" t="str">
        <f t="shared" si="51"/>
        <v/>
      </c>
      <c r="F447" t="str">
        <f t="shared" si="54"/>
        <v/>
      </c>
      <c r="G447" t="str">
        <f t="shared" si="55"/>
        <v/>
      </c>
      <c r="H447" t="str">
        <f t="shared" si="52"/>
        <v/>
      </c>
      <c r="I447" t="str">
        <f t="shared" si="53"/>
        <v/>
      </c>
    </row>
    <row r="448" spans="2:9" hidden="1">
      <c r="B448" t="str">
        <f t="shared" si="48"/>
        <v>Wielkopolskie</v>
      </c>
      <c r="C448" t="str">
        <f t="shared" si="49"/>
        <v/>
      </c>
      <c r="D448" t="str">
        <f t="shared" si="50"/>
        <v/>
      </c>
      <c r="E448" t="str">
        <f t="shared" si="51"/>
        <v/>
      </c>
      <c r="F448" t="str">
        <f t="shared" si="54"/>
        <v/>
      </c>
      <c r="G448" t="str">
        <f t="shared" si="55"/>
        <v/>
      </c>
      <c r="H448" t="str">
        <f t="shared" si="52"/>
        <v/>
      </c>
      <c r="I448" t="str">
        <f t="shared" si="53"/>
        <v/>
      </c>
    </row>
    <row r="449" spans="2:9" hidden="1">
      <c r="B449" t="str">
        <f t="shared" si="48"/>
        <v>Wielkopolskie</v>
      </c>
      <c r="C449" t="str">
        <f t="shared" si="49"/>
        <v/>
      </c>
      <c r="D449" t="str">
        <f t="shared" si="50"/>
        <v/>
      </c>
      <c r="E449" t="str">
        <f t="shared" si="51"/>
        <v/>
      </c>
      <c r="F449" t="str">
        <f t="shared" si="54"/>
        <v/>
      </c>
      <c r="G449" t="str">
        <f t="shared" si="55"/>
        <v/>
      </c>
      <c r="H449" t="str">
        <f t="shared" si="52"/>
        <v/>
      </c>
      <c r="I449" t="str">
        <f t="shared" si="53"/>
        <v/>
      </c>
    </row>
    <row r="450" spans="2:9" hidden="1">
      <c r="B450" t="str">
        <f t="shared" ref="B450:B513" si="56">+IF(AND(C450&gt;"",ISERR(FIND("DKK",A449))),A449,B449)</f>
        <v>Wielkopolskie</v>
      </c>
      <c r="C450" t="str">
        <f t="shared" ref="C450:C513" si="57">IF(ISERR(FIND($C$1,A450,1)),"",A450)</f>
        <v/>
      </c>
      <c r="D450" t="str">
        <f t="shared" ref="D450:D513" si="58">IF(C450&gt;"",A451,"")</f>
        <v/>
      </c>
      <c r="E450" t="str">
        <f t="shared" ref="E450:E513" si="59">IF(C450&gt;"",A452,"")</f>
        <v/>
      </c>
      <c r="F450" t="str">
        <f t="shared" si="54"/>
        <v/>
      </c>
      <c r="G450" t="str">
        <f t="shared" si="55"/>
        <v/>
      </c>
      <c r="H450" t="str">
        <f t="shared" ref="H450:H513" si="60">IF(E450&gt;"",IF(ISERR(FIND("DKK",A456)),"",A456),"")</f>
        <v/>
      </c>
      <c r="I450" t="str">
        <f t="shared" ref="I450:I513" si="61">IF(E450&gt;"",IF(ISERR(FIND("DKK",A457)),"",A457),"")</f>
        <v/>
      </c>
    </row>
    <row r="451" spans="2:9" hidden="1">
      <c r="B451" t="str">
        <f t="shared" si="56"/>
        <v>Wielkopolskie</v>
      </c>
      <c r="C451" t="str">
        <f t="shared" si="57"/>
        <v/>
      </c>
      <c r="D451" t="str">
        <f t="shared" si="58"/>
        <v/>
      </c>
      <c r="E451" t="str">
        <f t="shared" si="59"/>
        <v/>
      </c>
      <c r="F451" t="str">
        <f t="shared" ref="F451:F514" si="62">IF(C451&gt;"",MID(A455,FIND("tel.",A455)+5,15),"")</f>
        <v/>
      </c>
      <c r="G451" t="str">
        <f t="shared" ref="G451:G514" si="63">IF(E451&gt;"",MID(A454,FIND("mail:",A454)+6,100),"")</f>
        <v/>
      </c>
      <c r="H451" t="str">
        <f t="shared" si="60"/>
        <v/>
      </c>
      <c r="I451" t="str">
        <f t="shared" si="61"/>
        <v/>
      </c>
    </row>
    <row r="452" spans="2:9" hidden="1">
      <c r="B452" t="str">
        <f t="shared" si="56"/>
        <v>Wielkopolskie</v>
      </c>
      <c r="C452" t="str">
        <f t="shared" si="57"/>
        <v/>
      </c>
      <c r="D452" t="str">
        <f t="shared" si="58"/>
        <v/>
      </c>
      <c r="E452" t="str">
        <f t="shared" si="59"/>
        <v/>
      </c>
      <c r="F452" t="str">
        <f t="shared" si="62"/>
        <v/>
      </c>
      <c r="G452" t="str">
        <f t="shared" si="63"/>
        <v/>
      </c>
      <c r="H452" t="str">
        <f t="shared" si="60"/>
        <v/>
      </c>
      <c r="I452" t="str">
        <f t="shared" si="61"/>
        <v/>
      </c>
    </row>
    <row r="453" spans="2:9" hidden="1">
      <c r="B453" t="str">
        <f t="shared" si="56"/>
        <v>Wielkopolskie</v>
      </c>
      <c r="C453" t="str">
        <f t="shared" si="57"/>
        <v/>
      </c>
      <c r="D453" t="str">
        <f t="shared" si="58"/>
        <v/>
      </c>
      <c r="E453" t="str">
        <f t="shared" si="59"/>
        <v/>
      </c>
      <c r="F453" t="str">
        <f t="shared" si="62"/>
        <v/>
      </c>
      <c r="G453" t="str">
        <f t="shared" si="63"/>
        <v/>
      </c>
      <c r="H453" t="str">
        <f t="shared" si="60"/>
        <v/>
      </c>
      <c r="I453" t="str">
        <f t="shared" si="61"/>
        <v/>
      </c>
    </row>
    <row r="454" spans="2:9" hidden="1">
      <c r="B454" t="str">
        <f t="shared" si="56"/>
        <v>Wielkopolskie</v>
      </c>
      <c r="C454" t="str">
        <f t="shared" si="57"/>
        <v/>
      </c>
      <c r="D454" t="str">
        <f t="shared" si="58"/>
        <v/>
      </c>
      <c r="E454" t="str">
        <f t="shared" si="59"/>
        <v/>
      </c>
      <c r="F454" t="str">
        <f t="shared" si="62"/>
        <v/>
      </c>
      <c r="G454" t="str">
        <f t="shared" si="63"/>
        <v/>
      </c>
      <c r="H454" t="str">
        <f t="shared" si="60"/>
        <v/>
      </c>
      <c r="I454" t="str">
        <f t="shared" si="61"/>
        <v/>
      </c>
    </row>
    <row r="455" spans="2:9" hidden="1">
      <c r="B455" t="str">
        <f t="shared" si="56"/>
        <v>Wielkopolskie</v>
      </c>
      <c r="C455" t="str">
        <f t="shared" si="57"/>
        <v/>
      </c>
      <c r="D455" t="str">
        <f t="shared" si="58"/>
        <v/>
      </c>
      <c r="E455" t="str">
        <f t="shared" si="59"/>
        <v/>
      </c>
      <c r="F455" t="str">
        <f t="shared" si="62"/>
        <v/>
      </c>
      <c r="G455" t="str">
        <f t="shared" si="63"/>
        <v/>
      </c>
      <c r="H455" t="str">
        <f t="shared" si="60"/>
        <v/>
      </c>
      <c r="I455" t="str">
        <f t="shared" si="61"/>
        <v/>
      </c>
    </row>
    <row r="456" spans="2:9" hidden="1">
      <c r="B456" t="str">
        <f t="shared" si="56"/>
        <v>Wielkopolskie</v>
      </c>
      <c r="C456" t="str">
        <f t="shared" si="57"/>
        <v/>
      </c>
      <c r="D456" t="str">
        <f t="shared" si="58"/>
        <v/>
      </c>
      <c r="E456" t="str">
        <f t="shared" si="59"/>
        <v/>
      </c>
      <c r="F456" t="str">
        <f t="shared" si="62"/>
        <v/>
      </c>
      <c r="G456" t="str">
        <f t="shared" si="63"/>
        <v/>
      </c>
      <c r="H456" t="str">
        <f t="shared" si="60"/>
        <v/>
      </c>
      <c r="I456" t="str">
        <f t="shared" si="61"/>
        <v/>
      </c>
    </row>
    <row r="457" spans="2:9" hidden="1">
      <c r="B457" t="str">
        <f t="shared" si="56"/>
        <v>Wielkopolskie</v>
      </c>
      <c r="C457" t="str">
        <f t="shared" si="57"/>
        <v/>
      </c>
      <c r="D457" t="str">
        <f t="shared" si="58"/>
        <v/>
      </c>
      <c r="E457" t="str">
        <f t="shared" si="59"/>
        <v/>
      </c>
      <c r="F457" t="str">
        <f t="shared" si="62"/>
        <v/>
      </c>
      <c r="G457" t="str">
        <f t="shared" si="63"/>
        <v/>
      </c>
      <c r="H457" t="str">
        <f t="shared" si="60"/>
        <v/>
      </c>
      <c r="I457" t="str">
        <f t="shared" si="61"/>
        <v/>
      </c>
    </row>
    <row r="458" spans="2:9" hidden="1">
      <c r="B458" t="str">
        <f t="shared" si="56"/>
        <v>Wielkopolskie</v>
      </c>
      <c r="C458" t="str">
        <f t="shared" si="57"/>
        <v/>
      </c>
      <c r="D458" t="str">
        <f t="shared" si="58"/>
        <v/>
      </c>
      <c r="E458" t="str">
        <f t="shared" si="59"/>
        <v/>
      </c>
      <c r="F458" t="str">
        <f t="shared" si="62"/>
        <v/>
      </c>
      <c r="G458" t="str">
        <f t="shared" si="63"/>
        <v/>
      </c>
      <c r="H458" t="str">
        <f t="shared" si="60"/>
        <v/>
      </c>
      <c r="I458" t="str">
        <f t="shared" si="61"/>
        <v/>
      </c>
    </row>
    <row r="459" spans="2:9" hidden="1">
      <c r="B459" t="str">
        <f t="shared" si="56"/>
        <v>Wielkopolskie</v>
      </c>
      <c r="C459" t="str">
        <f t="shared" si="57"/>
        <v/>
      </c>
      <c r="D459" t="str">
        <f t="shared" si="58"/>
        <v/>
      </c>
      <c r="E459" t="str">
        <f t="shared" si="59"/>
        <v/>
      </c>
      <c r="F459" t="str">
        <f t="shared" si="62"/>
        <v/>
      </c>
      <c r="G459" t="str">
        <f t="shared" si="63"/>
        <v/>
      </c>
      <c r="H459" t="str">
        <f t="shared" si="60"/>
        <v/>
      </c>
      <c r="I459" t="str">
        <f t="shared" si="61"/>
        <v/>
      </c>
    </row>
    <row r="460" spans="2:9" hidden="1">
      <c r="B460" t="str">
        <f t="shared" si="56"/>
        <v>Wielkopolskie</v>
      </c>
      <c r="C460" t="str">
        <f t="shared" si="57"/>
        <v/>
      </c>
      <c r="D460" t="str">
        <f t="shared" si="58"/>
        <v/>
      </c>
      <c r="E460" t="str">
        <f t="shared" si="59"/>
        <v/>
      </c>
      <c r="F460" t="str">
        <f t="shared" si="62"/>
        <v/>
      </c>
      <c r="G460" t="str">
        <f t="shared" si="63"/>
        <v/>
      </c>
      <c r="H460" t="str">
        <f t="shared" si="60"/>
        <v/>
      </c>
      <c r="I460" t="str">
        <f t="shared" si="61"/>
        <v/>
      </c>
    </row>
    <row r="461" spans="2:9" hidden="1">
      <c r="B461" t="str">
        <f t="shared" si="56"/>
        <v>Wielkopolskie</v>
      </c>
      <c r="C461" t="str">
        <f t="shared" si="57"/>
        <v/>
      </c>
      <c r="D461" t="str">
        <f t="shared" si="58"/>
        <v/>
      </c>
      <c r="E461" t="str">
        <f t="shared" si="59"/>
        <v/>
      </c>
      <c r="F461" t="str">
        <f t="shared" si="62"/>
        <v/>
      </c>
      <c r="G461" t="str">
        <f t="shared" si="63"/>
        <v/>
      </c>
      <c r="H461" t="str">
        <f t="shared" si="60"/>
        <v/>
      </c>
      <c r="I461" t="str">
        <f t="shared" si="61"/>
        <v/>
      </c>
    </row>
    <row r="462" spans="2:9" hidden="1">
      <c r="B462" t="str">
        <f t="shared" si="56"/>
        <v>Wielkopolskie</v>
      </c>
      <c r="C462" t="str">
        <f t="shared" si="57"/>
        <v/>
      </c>
      <c r="D462" t="str">
        <f t="shared" si="58"/>
        <v/>
      </c>
      <c r="E462" t="str">
        <f t="shared" si="59"/>
        <v/>
      </c>
      <c r="F462" t="str">
        <f t="shared" si="62"/>
        <v/>
      </c>
      <c r="G462" t="str">
        <f t="shared" si="63"/>
        <v/>
      </c>
      <c r="H462" t="str">
        <f t="shared" si="60"/>
        <v/>
      </c>
      <c r="I462" t="str">
        <f t="shared" si="61"/>
        <v/>
      </c>
    </row>
    <row r="463" spans="2:9" hidden="1">
      <c r="B463" t="str">
        <f t="shared" si="56"/>
        <v>Wielkopolskie</v>
      </c>
      <c r="C463" t="str">
        <f t="shared" si="57"/>
        <v/>
      </c>
      <c r="D463" t="str">
        <f t="shared" si="58"/>
        <v/>
      </c>
      <c r="E463" t="str">
        <f t="shared" si="59"/>
        <v/>
      </c>
      <c r="F463" t="str">
        <f t="shared" si="62"/>
        <v/>
      </c>
      <c r="G463" t="str">
        <f t="shared" si="63"/>
        <v/>
      </c>
      <c r="H463" t="str">
        <f t="shared" si="60"/>
        <v/>
      </c>
      <c r="I463" t="str">
        <f t="shared" si="61"/>
        <v/>
      </c>
    </row>
    <row r="464" spans="2:9" hidden="1">
      <c r="B464" t="str">
        <f t="shared" si="56"/>
        <v>Wielkopolskie</v>
      </c>
      <c r="C464" t="str">
        <f t="shared" si="57"/>
        <v/>
      </c>
      <c r="D464" t="str">
        <f t="shared" si="58"/>
        <v/>
      </c>
      <c r="E464" t="str">
        <f t="shared" si="59"/>
        <v/>
      </c>
      <c r="F464" t="str">
        <f t="shared" si="62"/>
        <v/>
      </c>
      <c r="G464" t="str">
        <f t="shared" si="63"/>
        <v/>
      </c>
      <c r="H464" t="str">
        <f t="shared" si="60"/>
        <v/>
      </c>
      <c r="I464" t="str">
        <f t="shared" si="61"/>
        <v/>
      </c>
    </row>
    <row r="465" spans="2:9" hidden="1">
      <c r="B465" t="str">
        <f t="shared" si="56"/>
        <v>Wielkopolskie</v>
      </c>
      <c r="C465" t="str">
        <f t="shared" si="57"/>
        <v/>
      </c>
      <c r="D465" t="str">
        <f t="shared" si="58"/>
        <v/>
      </c>
      <c r="E465" t="str">
        <f t="shared" si="59"/>
        <v/>
      </c>
      <c r="F465" t="str">
        <f t="shared" si="62"/>
        <v/>
      </c>
      <c r="G465" t="str">
        <f t="shared" si="63"/>
        <v/>
      </c>
      <c r="H465" t="str">
        <f t="shared" si="60"/>
        <v/>
      </c>
      <c r="I465" t="str">
        <f t="shared" si="61"/>
        <v/>
      </c>
    </row>
    <row r="466" spans="2:9" hidden="1">
      <c r="B466" t="str">
        <f t="shared" si="56"/>
        <v>Wielkopolskie</v>
      </c>
      <c r="C466" t="str">
        <f t="shared" si="57"/>
        <v/>
      </c>
      <c r="D466" t="str">
        <f t="shared" si="58"/>
        <v/>
      </c>
      <c r="E466" t="str">
        <f t="shared" si="59"/>
        <v/>
      </c>
      <c r="F466" t="str">
        <f t="shared" si="62"/>
        <v/>
      </c>
      <c r="G466" t="str">
        <f t="shared" si="63"/>
        <v/>
      </c>
      <c r="H466" t="str">
        <f t="shared" si="60"/>
        <v/>
      </c>
      <c r="I466" t="str">
        <f t="shared" si="61"/>
        <v/>
      </c>
    </row>
    <row r="467" spans="2:9" hidden="1">
      <c r="B467" t="str">
        <f t="shared" si="56"/>
        <v>Wielkopolskie</v>
      </c>
      <c r="C467" t="str">
        <f t="shared" si="57"/>
        <v/>
      </c>
      <c r="D467" t="str">
        <f t="shared" si="58"/>
        <v/>
      </c>
      <c r="E467" t="str">
        <f t="shared" si="59"/>
        <v/>
      </c>
      <c r="F467" t="str">
        <f t="shared" si="62"/>
        <v/>
      </c>
      <c r="G467" t="str">
        <f t="shared" si="63"/>
        <v/>
      </c>
      <c r="H467" t="str">
        <f t="shared" si="60"/>
        <v/>
      </c>
      <c r="I467" t="str">
        <f t="shared" si="61"/>
        <v/>
      </c>
    </row>
    <row r="468" spans="2:9" hidden="1">
      <c r="B468" t="str">
        <f t="shared" si="56"/>
        <v>Wielkopolskie</v>
      </c>
      <c r="C468" t="str">
        <f t="shared" si="57"/>
        <v/>
      </c>
      <c r="D468" t="str">
        <f t="shared" si="58"/>
        <v/>
      </c>
      <c r="E468" t="str">
        <f t="shared" si="59"/>
        <v/>
      </c>
      <c r="F468" t="str">
        <f t="shared" si="62"/>
        <v/>
      </c>
      <c r="G468" t="str">
        <f t="shared" si="63"/>
        <v/>
      </c>
      <c r="H468" t="str">
        <f t="shared" si="60"/>
        <v/>
      </c>
      <c r="I468" t="str">
        <f t="shared" si="61"/>
        <v/>
      </c>
    </row>
    <row r="469" spans="2:9" hidden="1">
      <c r="B469" t="str">
        <f t="shared" si="56"/>
        <v>Wielkopolskie</v>
      </c>
      <c r="C469" t="str">
        <f t="shared" si="57"/>
        <v/>
      </c>
      <c r="D469" t="str">
        <f t="shared" si="58"/>
        <v/>
      </c>
      <c r="E469" t="str">
        <f t="shared" si="59"/>
        <v/>
      </c>
      <c r="F469" t="str">
        <f t="shared" si="62"/>
        <v/>
      </c>
      <c r="G469" t="str">
        <f t="shared" si="63"/>
        <v/>
      </c>
      <c r="H469" t="str">
        <f t="shared" si="60"/>
        <v/>
      </c>
      <c r="I469" t="str">
        <f t="shared" si="61"/>
        <v/>
      </c>
    </row>
    <row r="470" spans="2:9" hidden="1">
      <c r="B470" t="str">
        <f t="shared" si="56"/>
        <v>Wielkopolskie</v>
      </c>
      <c r="C470" t="str">
        <f t="shared" si="57"/>
        <v/>
      </c>
      <c r="D470" t="str">
        <f t="shared" si="58"/>
        <v/>
      </c>
      <c r="E470" t="str">
        <f t="shared" si="59"/>
        <v/>
      </c>
      <c r="F470" t="str">
        <f t="shared" si="62"/>
        <v/>
      </c>
      <c r="G470" t="str">
        <f t="shared" si="63"/>
        <v/>
      </c>
      <c r="H470" t="str">
        <f t="shared" si="60"/>
        <v/>
      </c>
      <c r="I470" t="str">
        <f t="shared" si="61"/>
        <v/>
      </c>
    </row>
    <row r="471" spans="2:9" hidden="1">
      <c r="B471" t="str">
        <f t="shared" si="56"/>
        <v>Wielkopolskie</v>
      </c>
      <c r="C471" t="str">
        <f t="shared" si="57"/>
        <v/>
      </c>
      <c r="D471" t="str">
        <f t="shared" si="58"/>
        <v/>
      </c>
      <c r="E471" t="str">
        <f t="shared" si="59"/>
        <v/>
      </c>
      <c r="F471" t="str">
        <f t="shared" si="62"/>
        <v/>
      </c>
      <c r="G471" t="str">
        <f t="shared" si="63"/>
        <v/>
      </c>
      <c r="H471" t="str">
        <f t="shared" si="60"/>
        <v/>
      </c>
      <c r="I471" t="str">
        <f t="shared" si="61"/>
        <v/>
      </c>
    </row>
    <row r="472" spans="2:9" hidden="1">
      <c r="B472" t="str">
        <f t="shared" si="56"/>
        <v>Wielkopolskie</v>
      </c>
      <c r="C472" t="str">
        <f t="shared" si="57"/>
        <v/>
      </c>
      <c r="D472" t="str">
        <f t="shared" si="58"/>
        <v/>
      </c>
      <c r="E472" t="str">
        <f t="shared" si="59"/>
        <v/>
      </c>
      <c r="F472" t="str">
        <f t="shared" si="62"/>
        <v/>
      </c>
      <c r="G472" t="str">
        <f t="shared" si="63"/>
        <v/>
      </c>
      <c r="H472" t="str">
        <f t="shared" si="60"/>
        <v/>
      </c>
      <c r="I472" t="str">
        <f t="shared" si="61"/>
        <v/>
      </c>
    </row>
    <row r="473" spans="2:9" hidden="1">
      <c r="B473" t="str">
        <f t="shared" si="56"/>
        <v>Wielkopolskie</v>
      </c>
      <c r="C473" t="str">
        <f t="shared" si="57"/>
        <v/>
      </c>
      <c r="D473" t="str">
        <f t="shared" si="58"/>
        <v/>
      </c>
      <c r="E473" t="str">
        <f t="shared" si="59"/>
        <v/>
      </c>
      <c r="F473" t="str">
        <f t="shared" si="62"/>
        <v/>
      </c>
      <c r="G473" t="str">
        <f t="shared" si="63"/>
        <v/>
      </c>
      <c r="H473" t="str">
        <f t="shared" si="60"/>
        <v/>
      </c>
      <c r="I473" t="str">
        <f t="shared" si="61"/>
        <v/>
      </c>
    </row>
    <row r="474" spans="2:9" hidden="1">
      <c r="B474" t="str">
        <f t="shared" si="56"/>
        <v>Wielkopolskie</v>
      </c>
      <c r="C474" t="str">
        <f t="shared" si="57"/>
        <v/>
      </c>
      <c r="D474" t="str">
        <f t="shared" si="58"/>
        <v/>
      </c>
      <c r="E474" t="str">
        <f t="shared" si="59"/>
        <v/>
      </c>
      <c r="F474" t="str">
        <f t="shared" si="62"/>
        <v/>
      </c>
      <c r="G474" t="str">
        <f t="shared" si="63"/>
        <v/>
      </c>
      <c r="H474" t="str">
        <f t="shared" si="60"/>
        <v/>
      </c>
      <c r="I474" t="str">
        <f t="shared" si="61"/>
        <v/>
      </c>
    </row>
    <row r="475" spans="2:9" hidden="1">
      <c r="B475" t="str">
        <f t="shared" si="56"/>
        <v>Wielkopolskie</v>
      </c>
      <c r="C475" t="str">
        <f t="shared" si="57"/>
        <v/>
      </c>
      <c r="D475" t="str">
        <f t="shared" si="58"/>
        <v/>
      </c>
      <c r="E475" t="str">
        <f t="shared" si="59"/>
        <v/>
      </c>
      <c r="F475" t="str">
        <f t="shared" si="62"/>
        <v/>
      </c>
      <c r="G475" t="str">
        <f t="shared" si="63"/>
        <v/>
      </c>
      <c r="H475" t="str">
        <f t="shared" si="60"/>
        <v/>
      </c>
      <c r="I475" t="str">
        <f t="shared" si="61"/>
        <v/>
      </c>
    </row>
    <row r="476" spans="2:9" hidden="1">
      <c r="B476" t="str">
        <f t="shared" si="56"/>
        <v>Wielkopolskie</v>
      </c>
      <c r="C476" t="str">
        <f t="shared" si="57"/>
        <v/>
      </c>
      <c r="D476" t="str">
        <f t="shared" si="58"/>
        <v/>
      </c>
      <c r="E476" t="str">
        <f t="shared" si="59"/>
        <v/>
      </c>
      <c r="F476" t="str">
        <f t="shared" si="62"/>
        <v/>
      </c>
      <c r="G476" t="str">
        <f t="shared" si="63"/>
        <v/>
      </c>
      <c r="H476" t="str">
        <f t="shared" si="60"/>
        <v/>
      </c>
      <c r="I476" t="str">
        <f t="shared" si="61"/>
        <v/>
      </c>
    </row>
    <row r="477" spans="2:9" hidden="1">
      <c r="B477" t="str">
        <f t="shared" si="56"/>
        <v>Wielkopolskie</v>
      </c>
      <c r="C477" t="str">
        <f t="shared" si="57"/>
        <v/>
      </c>
      <c r="D477" t="str">
        <f t="shared" si="58"/>
        <v/>
      </c>
      <c r="E477" t="str">
        <f t="shared" si="59"/>
        <v/>
      </c>
      <c r="F477" t="str">
        <f t="shared" si="62"/>
        <v/>
      </c>
      <c r="G477" t="str">
        <f t="shared" si="63"/>
        <v/>
      </c>
      <c r="H477" t="str">
        <f t="shared" si="60"/>
        <v/>
      </c>
      <c r="I477" t="str">
        <f t="shared" si="61"/>
        <v/>
      </c>
    </row>
    <row r="478" spans="2:9" hidden="1">
      <c r="B478" t="str">
        <f t="shared" si="56"/>
        <v>Wielkopolskie</v>
      </c>
      <c r="C478" t="str">
        <f t="shared" si="57"/>
        <v/>
      </c>
      <c r="D478" t="str">
        <f t="shared" si="58"/>
        <v/>
      </c>
      <c r="E478" t="str">
        <f t="shared" si="59"/>
        <v/>
      </c>
      <c r="F478" t="str">
        <f t="shared" si="62"/>
        <v/>
      </c>
      <c r="G478" t="str">
        <f t="shared" si="63"/>
        <v/>
      </c>
      <c r="H478" t="str">
        <f t="shared" si="60"/>
        <v/>
      </c>
      <c r="I478" t="str">
        <f t="shared" si="61"/>
        <v/>
      </c>
    </row>
    <row r="479" spans="2:9" hidden="1">
      <c r="B479" t="str">
        <f t="shared" si="56"/>
        <v>Wielkopolskie</v>
      </c>
      <c r="C479" t="str">
        <f t="shared" si="57"/>
        <v/>
      </c>
      <c r="D479" t="str">
        <f t="shared" si="58"/>
        <v/>
      </c>
      <c r="E479" t="str">
        <f t="shared" si="59"/>
        <v/>
      </c>
      <c r="F479" t="str">
        <f t="shared" si="62"/>
        <v/>
      </c>
      <c r="G479" t="str">
        <f t="shared" si="63"/>
        <v/>
      </c>
      <c r="H479" t="str">
        <f t="shared" si="60"/>
        <v/>
      </c>
      <c r="I479" t="str">
        <f t="shared" si="61"/>
        <v/>
      </c>
    </row>
    <row r="480" spans="2:9" hidden="1">
      <c r="B480" t="str">
        <f t="shared" si="56"/>
        <v>Wielkopolskie</v>
      </c>
      <c r="C480" t="str">
        <f t="shared" si="57"/>
        <v/>
      </c>
      <c r="D480" t="str">
        <f t="shared" si="58"/>
        <v/>
      </c>
      <c r="E480" t="str">
        <f t="shared" si="59"/>
        <v/>
      </c>
      <c r="F480" t="str">
        <f t="shared" si="62"/>
        <v/>
      </c>
      <c r="G480" t="str">
        <f t="shared" si="63"/>
        <v/>
      </c>
      <c r="H480" t="str">
        <f t="shared" si="60"/>
        <v/>
      </c>
      <c r="I480" t="str">
        <f t="shared" si="61"/>
        <v/>
      </c>
    </row>
    <row r="481" spans="2:9" hidden="1">
      <c r="B481" t="str">
        <f t="shared" si="56"/>
        <v>Wielkopolskie</v>
      </c>
      <c r="C481" t="str">
        <f t="shared" si="57"/>
        <v/>
      </c>
      <c r="D481" t="str">
        <f t="shared" si="58"/>
        <v/>
      </c>
      <c r="E481" t="str">
        <f t="shared" si="59"/>
        <v/>
      </c>
      <c r="F481" t="str">
        <f t="shared" si="62"/>
        <v/>
      </c>
      <c r="G481" t="str">
        <f t="shared" si="63"/>
        <v/>
      </c>
      <c r="H481" t="str">
        <f t="shared" si="60"/>
        <v/>
      </c>
      <c r="I481" t="str">
        <f t="shared" si="61"/>
        <v/>
      </c>
    </row>
    <row r="482" spans="2:9" hidden="1">
      <c r="B482" t="str">
        <f t="shared" si="56"/>
        <v>Wielkopolskie</v>
      </c>
      <c r="C482" t="str">
        <f t="shared" si="57"/>
        <v/>
      </c>
      <c r="D482" t="str">
        <f t="shared" si="58"/>
        <v/>
      </c>
      <c r="E482" t="str">
        <f t="shared" si="59"/>
        <v/>
      </c>
      <c r="F482" t="str">
        <f t="shared" si="62"/>
        <v/>
      </c>
      <c r="G482" t="str">
        <f t="shared" si="63"/>
        <v/>
      </c>
      <c r="H482" t="str">
        <f t="shared" si="60"/>
        <v/>
      </c>
      <c r="I482" t="str">
        <f t="shared" si="61"/>
        <v/>
      </c>
    </row>
    <row r="483" spans="2:9" hidden="1">
      <c r="B483" t="str">
        <f t="shared" si="56"/>
        <v>Wielkopolskie</v>
      </c>
      <c r="C483" t="str">
        <f t="shared" si="57"/>
        <v/>
      </c>
      <c r="D483" t="str">
        <f t="shared" si="58"/>
        <v/>
      </c>
      <c r="E483" t="str">
        <f t="shared" si="59"/>
        <v/>
      </c>
      <c r="F483" t="str">
        <f t="shared" si="62"/>
        <v/>
      </c>
      <c r="G483" t="str">
        <f t="shared" si="63"/>
        <v/>
      </c>
      <c r="H483" t="str">
        <f t="shared" si="60"/>
        <v/>
      </c>
      <c r="I483" t="str">
        <f t="shared" si="61"/>
        <v/>
      </c>
    </row>
    <row r="484" spans="2:9" hidden="1">
      <c r="B484" t="str">
        <f t="shared" si="56"/>
        <v>Wielkopolskie</v>
      </c>
      <c r="C484" t="str">
        <f t="shared" si="57"/>
        <v/>
      </c>
      <c r="D484" t="str">
        <f t="shared" si="58"/>
        <v/>
      </c>
      <c r="E484" t="str">
        <f t="shared" si="59"/>
        <v/>
      </c>
      <c r="F484" t="str">
        <f t="shared" si="62"/>
        <v/>
      </c>
      <c r="G484" t="str">
        <f t="shared" si="63"/>
        <v/>
      </c>
      <c r="H484" t="str">
        <f t="shared" si="60"/>
        <v/>
      </c>
      <c r="I484" t="str">
        <f t="shared" si="61"/>
        <v/>
      </c>
    </row>
    <row r="485" spans="2:9" hidden="1">
      <c r="B485" t="str">
        <f t="shared" si="56"/>
        <v>Wielkopolskie</v>
      </c>
      <c r="C485" t="str">
        <f t="shared" si="57"/>
        <v/>
      </c>
      <c r="D485" t="str">
        <f t="shared" si="58"/>
        <v/>
      </c>
      <c r="E485" t="str">
        <f t="shared" si="59"/>
        <v/>
      </c>
      <c r="F485" t="str">
        <f t="shared" si="62"/>
        <v/>
      </c>
      <c r="G485" t="str">
        <f t="shared" si="63"/>
        <v/>
      </c>
      <c r="H485" t="str">
        <f t="shared" si="60"/>
        <v/>
      </c>
      <c r="I485" t="str">
        <f t="shared" si="61"/>
        <v/>
      </c>
    </row>
    <row r="486" spans="2:9" hidden="1">
      <c r="B486" t="str">
        <f t="shared" si="56"/>
        <v>Wielkopolskie</v>
      </c>
      <c r="C486" t="str">
        <f t="shared" si="57"/>
        <v/>
      </c>
      <c r="D486" t="str">
        <f t="shared" si="58"/>
        <v/>
      </c>
      <c r="E486" t="str">
        <f t="shared" si="59"/>
        <v/>
      </c>
      <c r="F486" t="str">
        <f t="shared" si="62"/>
        <v/>
      </c>
      <c r="G486" t="str">
        <f t="shared" si="63"/>
        <v/>
      </c>
      <c r="H486" t="str">
        <f t="shared" si="60"/>
        <v/>
      </c>
      <c r="I486" t="str">
        <f t="shared" si="61"/>
        <v/>
      </c>
    </row>
    <row r="487" spans="2:9" hidden="1">
      <c r="B487" t="str">
        <f t="shared" si="56"/>
        <v>Wielkopolskie</v>
      </c>
      <c r="C487" t="str">
        <f t="shared" si="57"/>
        <v/>
      </c>
      <c r="D487" t="str">
        <f t="shared" si="58"/>
        <v/>
      </c>
      <c r="E487" t="str">
        <f t="shared" si="59"/>
        <v/>
      </c>
      <c r="F487" t="str">
        <f t="shared" si="62"/>
        <v/>
      </c>
      <c r="G487" t="str">
        <f t="shared" si="63"/>
        <v/>
      </c>
      <c r="H487" t="str">
        <f t="shared" si="60"/>
        <v/>
      </c>
      <c r="I487" t="str">
        <f t="shared" si="61"/>
        <v/>
      </c>
    </row>
    <row r="488" spans="2:9" hidden="1">
      <c r="B488" t="str">
        <f t="shared" si="56"/>
        <v>Wielkopolskie</v>
      </c>
      <c r="C488" t="str">
        <f t="shared" si="57"/>
        <v/>
      </c>
      <c r="D488" t="str">
        <f t="shared" si="58"/>
        <v/>
      </c>
      <c r="E488" t="str">
        <f t="shared" si="59"/>
        <v/>
      </c>
      <c r="F488" t="str">
        <f t="shared" si="62"/>
        <v/>
      </c>
      <c r="G488" t="str">
        <f t="shared" si="63"/>
        <v/>
      </c>
      <c r="H488" t="str">
        <f t="shared" si="60"/>
        <v/>
      </c>
      <c r="I488" t="str">
        <f t="shared" si="61"/>
        <v/>
      </c>
    </row>
    <row r="489" spans="2:9" hidden="1">
      <c r="B489" t="str">
        <f t="shared" si="56"/>
        <v>Wielkopolskie</v>
      </c>
      <c r="C489" t="str">
        <f t="shared" si="57"/>
        <v/>
      </c>
      <c r="D489" t="str">
        <f t="shared" si="58"/>
        <v/>
      </c>
      <c r="E489" t="str">
        <f t="shared" si="59"/>
        <v/>
      </c>
      <c r="F489" t="str">
        <f t="shared" si="62"/>
        <v/>
      </c>
      <c r="G489" t="str">
        <f t="shared" si="63"/>
        <v/>
      </c>
      <c r="H489" t="str">
        <f t="shared" si="60"/>
        <v/>
      </c>
      <c r="I489" t="str">
        <f t="shared" si="61"/>
        <v/>
      </c>
    </row>
    <row r="490" spans="2:9" hidden="1">
      <c r="B490" t="str">
        <f t="shared" si="56"/>
        <v>Wielkopolskie</v>
      </c>
      <c r="C490" t="str">
        <f t="shared" si="57"/>
        <v/>
      </c>
      <c r="D490" t="str">
        <f t="shared" si="58"/>
        <v/>
      </c>
      <c r="E490" t="str">
        <f t="shared" si="59"/>
        <v/>
      </c>
      <c r="F490" t="str">
        <f t="shared" si="62"/>
        <v/>
      </c>
      <c r="G490" t="str">
        <f t="shared" si="63"/>
        <v/>
      </c>
      <c r="H490" t="str">
        <f t="shared" si="60"/>
        <v/>
      </c>
      <c r="I490" t="str">
        <f t="shared" si="61"/>
        <v/>
      </c>
    </row>
    <row r="491" spans="2:9" hidden="1">
      <c r="B491" t="str">
        <f t="shared" si="56"/>
        <v>Wielkopolskie</v>
      </c>
      <c r="C491" t="str">
        <f t="shared" si="57"/>
        <v/>
      </c>
      <c r="D491" t="str">
        <f t="shared" si="58"/>
        <v/>
      </c>
      <c r="E491" t="str">
        <f t="shared" si="59"/>
        <v/>
      </c>
      <c r="F491" t="str">
        <f t="shared" si="62"/>
        <v/>
      </c>
      <c r="G491" t="str">
        <f t="shared" si="63"/>
        <v/>
      </c>
      <c r="H491" t="str">
        <f t="shared" si="60"/>
        <v/>
      </c>
      <c r="I491" t="str">
        <f t="shared" si="61"/>
        <v/>
      </c>
    </row>
    <row r="492" spans="2:9" hidden="1">
      <c r="B492" t="str">
        <f t="shared" si="56"/>
        <v>Wielkopolskie</v>
      </c>
      <c r="C492" t="str">
        <f t="shared" si="57"/>
        <v/>
      </c>
      <c r="D492" t="str">
        <f t="shared" si="58"/>
        <v/>
      </c>
      <c r="E492" t="str">
        <f t="shared" si="59"/>
        <v/>
      </c>
      <c r="F492" t="str">
        <f t="shared" si="62"/>
        <v/>
      </c>
      <c r="G492" t="str">
        <f t="shared" si="63"/>
        <v/>
      </c>
      <c r="H492" t="str">
        <f t="shared" si="60"/>
        <v/>
      </c>
      <c r="I492" t="str">
        <f t="shared" si="61"/>
        <v/>
      </c>
    </row>
    <row r="493" spans="2:9" hidden="1">
      <c r="B493" t="str">
        <f t="shared" si="56"/>
        <v>Wielkopolskie</v>
      </c>
      <c r="C493" t="str">
        <f t="shared" si="57"/>
        <v/>
      </c>
      <c r="D493" t="str">
        <f t="shared" si="58"/>
        <v/>
      </c>
      <c r="E493" t="str">
        <f t="shared" si="59"/>
        <v/>
      </c>
      <c r="F493" t="str">
        <f t="shared" si="62"/>
        <v/>
      </c>
      <c r="G493" t="str">
        <f t="shared" si="63"/>
        <v/>
      </c>
      <c r="H493" t="str">
        <f t="shared" si="60"/>
        <v/>
      </c>
      <c r="I493" t="str">
        <f t="shared" si="61"/>
        <v/>
      </c>
    </row>
    <row r="494" spans="2:9" hidden="1">
      <c r="B494" t="str">
        <f t="shared" si="56"/>
        <v>Wielkopolskie</v>
      </c>
      <c r="C494" t="str">
        <f t="shared" si="57"/>
        <v/>
      </c>
      <c r="D494" t="str">
        <f t="shared" si="58"/>
        <v/>
      </c>
      <c r="E494" t="str">
        <f t="shared" si="59"/>
        <v/>
      </c>
      <c r="F494" t="str">
        <f t="shared" si="62"/>
        <v/>
      </c>
      <c r="G494" t="str">
        <f t="shared" si="63"/>
        <v/>
      </c>
      <c r="H494" t="str">
        <f t="shared" si="60"/>
        <v/>
      </c>
      <c r="I494" t="str">
        <f t="shared" si="61"/>
        <v/>
      </c>
    </row>
    <row r="495" spans="2:9" hidden="1">
      <c r="B495" t="str">
        <f t="shared" si="56"/>
        <v>Wielkopolskie</v>
      </c>
      <c r="C495" t="str">
        <f t="shared" si="57"/>
        <v/>
      </c>
      <c r="D495" t="str">
        <f t="shared" si="58"/>
        <v/>
      </c>
      <c r="E495" t="str">
        <f t="shared" si="59"/>
        <v/>
      </c>
      <c r="F495" t="str">
        <f t="shared" si="62"/>
        <v/>
      </c>
      <c r="G495" t="str">
        <f t="shared" si="63"/>
        <v/>
      </c>
      <c r="H495" t="str">
        <f t="shared" si="60"/>
        <v/>
      </c>
      <c r="I495" t="str">
        <f t="shared" si="61"/>
        <v/>
      </c>
    </row>
    <row r="496" spans="2:9" hidden="1">
      <c r="B496" t="str">
        <f t="shared" si="56"/>
        <v>Wielkopolskie</v>
      </c>
      <c r="C496" t="str">
        <f t="shared" si="57"/>
        <v/>
      </c>
      <c r="D496" t="str">
        <f t="shared" si="58"/>
        <v/>
      </c>
      <c r="E496" t="str">
        <f t="shared" si="59"/>
        <v/>
      </c>
      <c r="F496" t="str">
        <f t="shared" si="62"/>
        <v/>
      </c>
      <c r="G496" t="str">
        <f t="shared" si="63"/>
        <v/>
      </c>
      <c r="H496" t="str">
        <f t="shared" si="60"/>
        <v/>
      </c>
      <c r="I496" t="str">
        <f t="shared" si="61"/>
        <v/>
      </c>
    </row>
    <row r="497" spans="2:9" hidden="1">
      <c r="B497" t="str">
        <f t="shared" si="56"/>
        <v>Wielkopolskie</v>
      </c>
      <c r="C497" t="str">
        <f t="shared" si="57"/>
        <v/>
      </c>
      <c r="D497" t="str">
        <f t="shared" si="58"/>
        <v/>
      </c>
      <c r="E497" t="str">
        <f t="shared" si="59"/>
        <v/>
      </c>
      <c r="F497" t="str">
        <f t="shared" si="62"/>
        <v/>
      </c>
      <c r="G497" t="str">
        <f t="shared" si="63"/>
        <v/>
      </c>
      <c r="H497" t="str">
        <f t="shared" si="60"/>
        <v/>
      </c>
      <c r="I497" t="str">
        <f t="shared" si="61"/>
        <v/>
      </c>
    </row>
    <row r="498" spans="2:9" hidden="1">
      <c r="B498" t="str">
        <f t="shared" si="56"/>
        <v>Wielkopolskie</v>
      </c>
      <c r="C498" t="str">
        <f t="shared" si="57"/>
        <v/>
      </c>
      <c r="D498" t="str">
        <f t="shared" si="58"/>
        <v/>
      </c>
      <c r="E498" t="str">
        <f t="shared" si="59"/>
        <v/>
      </c>
      <c r="F498" t="str">
        <f t="shared" si="62"/>
        <v/>
      </c>
      <c r="G498" t="str">
        <f t="shared" si="63"/>
        <v/>
      </c>
      <c r="H498" t="str">
        <f t="shared" si="60"/>
        <v/>
      </c>
      <c r="I498" t="str">
        <f t="shared" si="61"/>
        <v/>
      </c>
    </row>
    <row r="499" spans="2:9" hidden="1">
      <c r="B499" t="str">
        <f t="shared" si="56"/>
        <v>Wielkopolskie</v>
      </c>
      <c r="C499" t="str">
        <f t="shared" si="57"/>
        <v/>
      </c>
      <c r="D499" t="str">
        <f t="shared" si="58"/>
        <v/>
      </c>
      <c r="E499" t="str">
        <f t="shared" si="59"/>
        <v/>
      </c>
      <c r="F499" t="str">
        <f t="shared" si="62"/>
        <v/>
      </c>
      <c r="G499" t="str">
        <f t="shared" si="63"/>
        <v/>
      </c>
      <c r="H499" t="str">
        <f t="shared" si="60"/>
        <v/>
      </c>
      <c r="I499" t="str">
        <f t="shared" si="61"/>
        <v/>
      </c>
    </row>
    <row r="500" spans="2:9" hidden="1">
      <c r="B500" t="str">
        <f t="shared" si="56"/>
        <v>Wielkopolskie</v>
      </c>
      <c r="C500" t="str">
        <f t="shared" si="57"/>
        <v/>
      </c>
      <c r="D500" t="str">
        <f t="shared" si="58"/>
        <v/>
      </c>
      <c r="E500" t="str">
        <f t="shared" si="59"/>
        <v/>
      </c>
      <c r="F500" t="str">
        <f t="shared" si="62"/>
        <v/>
      </c>
      <c r="G500" t="str">
        <f t="shared" si="63"/>
        <v/>
      </c>
      <c r="H500" t="str">
        <f t="shared" si="60"/>
        <v/>
      </c>
      <c r="I500" t="str">
        <f t="shared" si="61"/>
        <v/>
      </c>
    </row>
    <row r="501" spans="2:9" hidden="1">
      <c r="B501" t="str">
        <f t="shared" si="56"/>
        <v>Wielkopolskie</v>
      </c>
      <c r="C501" t="str">
        <f t="shared" si="57"/>
        <v/>
      </c>
      <c r="D501" t="str">
        <f t="shared" si="58"/>
        <v/>
      </c>
      <c r="E501" t="str">
        <f t="shared" si="59"/>
        <v/>
      </c>
      <c r="F501" t="str">
        <f t="shared" si="62"/>
        <v/>
      </c>
      <c r="G501" t="str">
        <f t="shared" si="63"/>
        <v/>
      </c>
      <c r="H501" t="str">
        <f t="shared" si="60"/>
        <v/>
      </c>
      <c r="I501" t="str">
        <f t="shared" si="61"/>
        <v/>
      </c>
    </row>
    <row r="502" spans="2:9" hidden="1">
      <c r="B502" t="str">
        <f t="shared" si="56"/>
        <v>Wielkopolskie</v>
      </c>
      <c r="C502" t="str">
        <f t="shared" si="57"/>
        <v/>
      </c>
      <c r="D502" t="str">
        <f t="shared" si="58"/>
        <v/>
      </c>
      <c r="E502" t="str">
        <f t="shared" si="59"/>
        <v/>
      </c>
      <c r="F502" t="str">
        <f t="shared" si="62"/>
        <v/>
      </c>
      <c r="G502" t="str">
        <f t="shared" si="63"/>
        <v/>
      </c>
      <c r="H502" t="str">
        <f t="shared" si="60"/>
        <v/>
      </c>
      <c r="I502" t="str">
        <f t="shared" si="61"/>
        <v/>
      </c>
    </row>
    <row r="503" spans="2:9" hidden="1">
      <c r="B503" t="str">
        <f t="shared" si="56"/>
        <v>Wielkopolskie</v>
      </c>
      <c r="C503" t="str">
        <f t="shared" si="57"/>
        <v/>
      </c>
      <c r="D503" t="str">
        <f t="shared" si="58"/>
        <v/>
      </c>
      <c r="E503" t="str">
        <f t="shared" si="59"/>
        <v/>
      </c>
      <c r="F503" t="str">
        <f t="shared" si="62"/>
        <v/>
      </c>
      <c r="G503" t="str">
        <f t="shared" si="63"/>
        <v/>
      </c>
      <c r="H503" t="str">
        <f t="shared" si="60"/>
        <v/>
      </c>
      <c r="I503" t="str">
        <f t="shared" si="61"/>
        <v/>
      </c>
    </row>
    <row r="504" spans="2:9" hidden="1">
      <c r="B504" t="str">
        <f t="shared" si="56"/>
        <v>Wielkopolskie</v>
      </c>
      <c r="C504" t="str">
        <f t="shared" si="57"/>
        <v/>
      </c>
      <c r="D504" t="str">
        <f t="shared" si="58"/>
        <v/>
      </c>
      <c r="E504" t="str">
        <f t="shared" si="59"/>
        <v/>
      </c>
      <c r="F504" t="str">
        <f t="shared" si="62"/>
        <v/>
      </c>
      <c r="G504" t="str">
        <f t="shared" si="63"/>
        <v/>
      </c>
      <c r="H504" t="str">
        <f t="shared" si="60"/>
        <v/>
      </c>
      <c r="I504" t="str">
        <f t="shared" si="61"/>
        <v/>
      </c>
    </row>
    <row r="505" spans="2:9" hidden="1">
      <c r="B505" t="str">
        <f t="shared" si="56"/>
        <v>Wielkopolskie</v>
      </c>
      <c r="C505" t="str">
        <f t="shared" si="57"/>
        <v/>
      </c>
      <c r="D505" t="str">
        <f t="shared" si="58"/>
        <v/>
      </c>
      <c r="E505" t="str">
        <f t="shared" si="59"/>
        <v/>
      </c>
      <c r="F505" t="str">
        <f t="shared" si="62"/>
        <v/>
      </c>
      <c r="G505" t="str">
        <f t="shared" si="63"/>
        <v/>
      </c>
      <c r="H505" t="str">
        <f t="shared" si="60"/>
        <v/>
      </c>
      <c r="I505" t="str">
        <f t="shared" si="61"/>
        <v/>
      </c>
    </row>
    <row r="506" spans="2:9" hidden="1">
      <c r="B506" t="str">
        <f t="shared" si="56"/>
        <v>Wielkopolskie</v>
      </c>
      <c r="C506" t="str">
        <f t="shared" si="57"/>
        <v/>
      </c>
      <c r="D506" t="str">
        <f t="shared" si="58"/>
        <v/>
      </c>
      <c r="E506" t="str">
        <f t="shared" si="59"/>
        <v/>
      </c>
      <c r="F506" t="str">
        <f t="shared" si="62"/>
        <v/>
      </c>
      <c r="G506" t="str">
        <f t="shared" si="63"/>
        <v/>
      </c>
      <c r="H506" t="str">
        <f t="shared" si="60"/>
        <v/>
      </c>
      <c r="I506" t="str">
        <f t="shared" si="61"/>
        <v/>
      </c>
    </row>
    <row r="507" spans="2:9" hidden="1">
      <c r="B507" t="str">
        <f t="shared" si="56"/>
        <v>Wielkopolskie</v>
      </c>
      <c r="C507" t="str">
        <f t="shared" si="57"/>
        <v/>
      </c>
      <c r="D507" t="str">
        <f t="shared" si="58"/>
        <v/>
      </c>
      <c r="E507" t="str">
        <f t="shared" si="59"/>
        <v/>
      </c>
      <c r="F507" t="str">
        <f t="shared" si="62"/>
        <v/>
      </c>
      <c r="G507" t="str">
        <f t="shared" si="63"/>
        <v/>
      </c>
      <c r="H507" t="str">
        <f t="shared" si="60"/>
        <v/>
      </c>
      <c r="I507" t="str">
        <f t="shared" si="61"/>
        <v/>
      </c>
    </row>
    <row r="508" spans="2:9" hidden="1">
      <c r="B508" t="str">
        <f t="shared" si="56"/>
        <v>Wielkopolskie</v>
      </c>
      <c r="C508" t="str">
        <f t="shared" si="57"/>
        <v/>
      </c>
      <c r="D508" t="str">
        <f t="shared" si="58"/>
        <v/>
      </c>
      <c r="E508" t="str">
        <f t="shared" si="59"/>
        <v/>
      </c>
      <c r="F508" t="str">
        <f t="shared" si="62"/>
        <v/>
      </c>
      <c r="G508" t="str">
        <f t="shared" si="63"/>
        <v/>
      </c>
      <c r="H508" t="str">
        <f t="shared" si="60"/>
        <v/>
      </c>
      <c r="I508" t="str">
        <f t="shared" si="61"/>
        <v/>
      </c>
    </row>
    <row r="509" spans="2:9" hidden="1">
      <c r="B509" t="str">
        <f t="shared" si="56"/>
        <v>Wielkopolskie</v>
      </c>
      <c r="C509" t="str">
        <f t="shared" si="57"/>
        <v/>
      </c>
      <c r="D509" t="str">
        <f t="shared" si="58"/>
        <v/>
      </c>
      <c r="E509" t="str">
        <f t="shared" si="59"/>
        <v/>
      </c>
      <c r="F509" t="str">
        <f t="shared" si="62"/>
        <v/>
      </c>
      <c r="G509" t="str">
        <f t="shared" si="63"/>
        <v/>
      </c>
      <c r="H509" t="str">
        <f t="shared" si="60"/>
        <v/>
      </c>
      <c r="I509" t="str">
        <f t="shared" si="61"/>
        <v/>
      </c>
    </row>
    <row r="510" spans="2:9" hidden="1">
      <c r="B510" t="str">
        <f t="shared" si="56"/>
        <v>Wielkopolskie</v>
      </c>
      <c r="C510" t="str">
        <f t="shared" si="57"/>
        <v/>
      </c>
      <c r="D510" t="str">
        <f t="shared" si="58"/>
        <v/>
      </c>
      <c r="E510" t="str">
        <f t="shared" si="59"/>
        <v/>
      </c>
      <c r="F510" t="str">
        <f t="shared" si="62"/>
        <v/>
      </c>
      <c r="G510" t="str">
        <f t="shared" si="63"/>
        <v/>
      </c>
      <c r="H510" t="str">
        <f t="shared" si="60"/>
        <v/>
      </c>
      <c r="I510" t="str">
        <f t="shared" si="61"/>
        <v/>
      </c>
    </row>
    <row r="511" spans="2:9" hidden="1">
      <c r="B511" t="str">
        <f t="shared" si="56"/>
        <v>Wielkopolskie</v>
      </c>
      <c r="C511" t="str">
        <f t="shared" si="57"/>
        <v/>
      </c>
      <c r="D511" t="str">
        <f t="shared" si="58"/>
        <v/>
      </c>
      <c r="E511" t="str">
        <f t="shared" si="59"/>
        <v/>
      </c>
      <c r="F511" t="str">
        <f t="shared" si="62"/>
        <v/>
      </c>
      <c r="G511" t="str">
        <f t="shared" si="63"/>
        <v/>
      </c>
      <c r="H511" t="str">
        <f t="shared" si="60"/>
        <v/>
      </c>
      <c r="I511" t="str">
        <f t="shared" si="61"/>
        <v/>
      </c>
    </row>
    <row r="512" spans="2:9" hidden="1">
      <c r="B512" t="str">
        <f t="shared" si="56"/>
        <v>Wielkopolskie</v>
      </c>
      <c r="C512" t="str">
        <f t="shared" si="57"/>
        <v/>
      </c>
      <c r="D512" t="str">
        <f t="shared" si="58"/>
        <v/>
      </c>
      <c r="E512" t="str">
        <f t="shared" si="59"/>
        <v/>
      </c>
      <c r="F512" t="str">
        <f t="shared" si="62"/>
        <v/>
      </c>
      <c r="G512" t="str">
        <f t="shared" si="63"/>
        <v/>
      </c>
      <c r="H512" t="str">
        <f t="shared" si="60"/>
        <v/>
      </c>
      <c r="I512" t="str">
        <f t="shared" si="61"/>
        <v/>
      </c>
    </row>
    <row r="513" spans="2:9" hidden="1">
      <c r="B513" t="str">
        <f t="shared" si="56"/>
        <v>Wielkopolskie</v>
      </c>
      <c r="C513" t="str">
        <f t="shared" si="57"/>
        <v/>
      </c>
      <c r="D513" t="str">
        <f t="shared" si="58"/>
        <v/>
      </c>
      <c r="E513" t="str">
        <f t="shared" si="59"/>
        <v/>
      </c>
      <c r="F513" t="str">
        <f t="shared" si="62"/>
        <v/>
      </c>
      <c r="G513" t="str">
        <f t="shared" si="63"/>
        <v/>
      </c>
      <c r="H513" t="str">
        <f t="shared" si="60"/>
        <v/>
      </c>
      <c r="I513" t="str">
        <f t="shared" si="61"/>
        <v/>
      </c>
    </row>
    <row r="514" spans="2:9" hidden="1">
      <c r="B514" t="str">
        <f t="shared" ref="B514:B577" si="64">+IF(AND(C514&gt;"",ISERR(FIND("DKK",A513))),A513,B513)</f>
        <v>Wielkopolskie</v>
      </c>
      <c r="C514" t="str">
        <f t="shared" ref="C514:C577" si="65">IF(ISERR(FIND($C$1,A514,1)),"",A514)</f>
        <v/>
      </c>
      <c r="D514" t="str">
        <f t="shared" ref="D514:D577" si="66">IF(C514&gt;"",A515,"")</f>
        <v/>
      </c>
      <c r="E514" t="str">
        <f t="shared" ref="E514:E577" si="67">IF(C514&gt;"",A516,"")</f>
        <v/>
      </c>
      <c r="F514" t="str">
        <f t="shared" si="62"/>
        <v/>
      </c>
      <c r="G514" t="str">
        <f t="shared" si="63"/>
        <v/>
      </c>
      <c r="H514" t="str">
        <f t="shared" ref="H514:H577" si="68">IF(E514&gt;"",IF(ISERR(FIND("DKK",A520)),"",A520),"")</f>
        <v/>
      </c>
      <c r="I514" t="str">
        <f t="shared" ref="I514:I577" si="69">IF(E514&gt;"",IF(ISERR(FIND("DKK",A521)),"",A521),"")</f>
        <v/>
      </c>
    </row>
    <row r="515" spans="2:9" hidden="1">
      <c r="B515" t="str">
        <f t="shared" si="64"/>
        <v>Wielkopolskie</v>
      </c>
      <c r="C515" t="str">
        <f t="shared" si="65"/>
        <v/>
      </c>
      <c r="D515" t="str">
        <f t="shared" si="66"/>
        <v/>
      </c>
      <c r="E515" t="str">
        <f t="shared" si="67"/>
        <v/>
      </c>
      <c r="F515" t="str">
        <f t="shared" ref="F515:F578" si="70">IF(C515&gt;"",MID(A519,FIND("tel.",A519)+5,15),"")</f>
        <v/>
      </c>
      <c r="G515" t="str">
        <f t="shared" ref="G515:G578" si="71">IF(E515&gt;"",MID(A518,FIND("mail:",A518)+6,100),"")</f>
        <v/>
      </c>
      <c r="H515" t="str">
        <f t="shared" si="68"/>
        <v/>
      </c>
      <c r="I515" t="str">
        <f t="shared" si="69"/>
        <v/>
      </c>
    </row>
    <row r="516" spans="2:9" hidden="1">
      <c r="B516" t="str">
        <f t="shared" si="64"/>
        <v>Wielkopolskie</v>
      </c>
      <c r="C516" t="str">
        <f t="shared" si="65"/>
        <v/>
      </c>
      <c r="D516" t="str">
        <f t="shared" si="66"/>
        <v/>
      </c>
      <c r="E516" t="str">
        <f t="shared" si="67"/>
        <v/>
      </c>
      <c r="F516" t="str">
        <f t="shared" si="70"/>
        <v/>
      </c>
      <c r="G516" t="str">
        <f t="shared" si="71"/>
        <v/>
      </c>
      <c r="H516" t="str">
        <f t="shared" si="68"/>
        <v/>
      </c>
      <c r="I516" t="str">
        <f t="shared" si="69"/>
        <v/>
      </c>
    </row>
    <row r="517" spans="2:9" hidden="1">
      <c r="B517" t="str">
        <f t="shared" si="64"/>
        <v>Wielkopolskie</v>
      </c>
      <c r="C517" t="str">
        <f t="shared" si="65"/>
        <v/>
      </c>
      <c r="D517" t="str">
        <f t="shared" si="66"/>
        <v/>
      </c>
      <c r="E517" t="str">
        <f t="shared" si="67"/>
        <v/>
      </c>
      <c r="F517" t="str">
        <f t="shared" si="70"/>
        <v/>
      </c>
      <c r="G517" t="str">
        <f t="shared" si="71"/>
        <v/>
      </c>
      <c r="H517" t="str">
        <f t="shared" si="68"/>
        <v/>
      </c>
      <c r="I517" t="str">
        <f t="shared" si="69"/>
        <v/>
      </c>
    </row>
    <row r="518" spans="2:9" hidden="1">
      <c r="B518" t="str">
        <f t="shared" si="64"/>
        <v>Wielkopolskie</v>
      </c>
      <c r="C518" t="str">
        <f t="shared" si="65"/>
        <v/>
      </c>
      <c r="D518" t="str">
        <f t="shared" si="66"/>
        <v/>
      </c>
      <c r="E518" t="str">
        <f t="shared" si="67"/>
        <v/>
      </c>
      <c r="F518" t="str">
        <f t="shared" si="70"/>
        <v/>
      </c>
      <c r="G518" t="str">
        <f t="shared" si="71"/>
        <v/>
      </c>
      <c r="H518" t="str">
        <f t="shared" si="68"/>
        <v/>
      </c>
      <c r="I518" t="str">
        <f t="shared" si="69"/>
        <v/>
      </c>
    </row>
    <row r="519" spans="2:9" hidden="1">
      <c r="B519" t="str">
        <f t="shared" si="64"/>
        <v>Wielkopolskie</v>
      </c>
      <c r="C519" t="str">
        <f t="shared" si="65"/>
        <v/>
      </c>
      <c r="D519" t="str">
        <f t="shared" si="66"/>
        <v/>
      </c>
      <c r="E519" t="str">
        <f t="shared" si="67"/>
        <v/>
      </c>
      <c r="F519" t="str">
        <f t="shared" si="70"/>
        <v/>
      </c>
      <c r="G519" t="str">
        <f t="shared" si="71"/>
        <v/>
      </c>
      <c r="H519" t="str">
        <f t="shared" si="68"/>
        <v/>
      </c>
      <c r="I519" t="str">
        <f t="shared" si="69"/>
        <v/>
      </c>
    </row>
    <row r="520" spans="2:9" hidden="1">
      <c r="B520" t="str">
        <f t="shared" si="64"/>
        <v>Wielkopolskie</v>
      </c>
      <c r="C520" t="str">
        <f t="shared" si="65"/>
        <v/>
      </c>
      <c r="D520" t="str">
        <f t="shared" si="66"/>
        <v/>
      </c>
      <c r="E520" t="str">
        <f t="shared" si="67"/>
        <v/>
      </c>
      <c r="F520" t="str">
        <f t="shared" si="70"/>
        <v/>
      </c>
      <c r="G520" t="str">
        <f t="shared" si="71"/>
        <v/>
      </c>
      <c r="H520" t="str">
        <f t="shared" si="68"/>
        <v/>
      </c>
      <c r="I520" t="str">
        <f t="shared" si="69"/>
        <v/>
      </c>
    </row>
    <row r="521" spans="2:9" hidden="1">
      <c r="B521" t="str">
        <f t="shared" si="64"/>
        <v>Wielkopolskie</v>
      </c>
      <c r="C521" t="str">
        <f t="shared" si="65"/>
        <v/>
      </c>
      <c r="D521" t="str">
        <f t="shared" si="66"/>
        <v/>
      </c>
      <c r="E521" t="str">
        <f t="shared" si="67"/>
        <v/>
      </c>
      <c r="F521" t="str">
        <f t="shared" si="70"/>
        <v/>
      </c>
      <c r="G521" t="str">
        <f t="shared" si="71"/>
        <v/>
      </c>
      <c r="H521" t="str">
        <f t="shared" si="68"/>
        <v/>
      </c>
      <c r="I521" t="str">
        <f t="shared" si="69"/>
        <v/>
      </c>
    </row>
    <row r="522" spans="2:9" hidden="1">
      <c r="B522" t="str">
        <f t="shared" si="64"/>
        <v>Wielkopolskie</v>
      </c>
      <c r="C522" t="str">
        <f t="shared" si="65"/>
        <v/>
      </c>
      <c r="D522" t="str">
        <f t="shared" si="66"/>
        <v/>
      </c>
      <c r="E522" t="str">
        <f t="shared" si="67"/>
        <v/>
      </c>
      <c r="F522" t="str">
        <f t="shared" si="70"/>
        <v/>
      </c>
      <c r="G522" t="str">
        <f t="shared" si="71"/>
        <v/>
      </c>
      <c r="H522" t="str">
        <f t="shared" si="68"/>
        <v/>
      </c>
      <c r="I522" t="str">
        <f t="shared" si="69"/>
        <v/>
      </c>
    </row>
    <row r="523" spans="2:9" hidden="1">
      <c r="B523" t="str">
        <f t="shared" si="64"/>
        <v>Wielkopolskie</v>
      </c>
      <c r="C523" t="str">
        <f t="shared" si="65"/>
        <v/>
      </c>
      <c r="D523" t="str">
        <f t="shared" si="66"/>
        <v/>
      </c>
      <c r="E523" t="str">
        <f t="shared" si="67"/>
        <v/>
      </c>
      <c r="F523" t="str">
        <f t="shared" si="70"/>
        <v/>
      </c>
      <c r="G523" t="str">
        <f t="shared" si="71"/>
        <v/>
      </c>
      <c r="H523" t="str">
        <f t="shared" si="68"/>
        <v/>
      </c>
      <c r="I523" t="str">
        <f t="shared" si="69"/>
        <v/>
      </c>
    </row>
    <row r="524" spans="2:9" hidden="1">
      <c r="B524" t="str">
        <f t="shared" si="64"/>
        <v>Wielkopolskie</v>
      </c>
      <c r="C524" t="str">
        <f t="shared" si="65"/>
        <v/>
      </c>
      <c r="D524" t="str">
        <f t="shared" si="66"/>
        <v/>
      </c>
      <c r="E524" t="str">
        <f t="shared" si="67"/>
        <v/>
      </c>
      <c r="F524" t="str">
        <f t="shared" si="70"/>
        <v/>
      </c>
      <c r="G524" t="str">
        <f t="shared" si="71"/>
        <v/>
      </c>
      <c r="H524" t="str">
        <f t="shared" si="68"/>
        <v/>
      </c>
      <c r="I524" t="str">
        <f t="shared" si="69"/>
        <v/>
      </c>
    </row>
    <row r="525" spans="2:9" hidden="1">
      <c r="B525" t="str">
        <f t="shared" si="64"/>
        <v>Wielkopolskie</v>
      </c>
      <c r="C525" t="str">
        <f t="shared" si="65"/>
        <v/>
      </c>
      <c r="D525" t="str">
        <f t="shared" si="66"/>
        <v/>
      </c>
      <c r="E525" t="str">
        <f t="shared" si="67"/>
        <v/>
      </c>
      <c r="F525" t="str">
        <f t="shared" si="70"/>
        <v/>
      </c>
      <c r="G525" t="str">
        <f t="shared" si="71"/>
        <v/>
      </c>
      <c r="H525" t="str">
        <f t="shared" si="68"/>
        <v/>
      </c>
      <c r="I525" t="str">
        <f t="shared" si="69"/>
        <v/>
      </c>
    </row>
    <row r="526" spans="2:9" hidden="1">
      <c r="B526" t="str">
        <f t="shared" si="64"/>
        <v>Wielkopolskie</v>
      </c>
      <c r="C526" t="str">
        <f t="shared" si="65"/>
        <v/>
      </c>
      <c r="D526" t="str">
        <f t="shared" si="66"/>
        <v/>
      </c>
      <c r="E526" t="str">
        <f t="shared" si="67"/>
        <v/>
      </c>
      <c r="F526" t="str">
        <f t="shared" si="70"/>
        <v/>
      </c>
      <c r="G526" t="str">
        <f t="shared" si="71"/>
        <v/>
      </c>
      <c r="H526" t="str">
        <f t="shared" si="68"/>
        <v/>
      </c>
      <c r="I526" t="str">
        <f t="shared" si="69"/>
        <v/>
      </c>
    </row>
    <row r="527" spans="2:9" hidden="1">
      <c r="B527" t="str">
        <f t="shared" si="64"/>
        <v>Wielkopolskie</v>
      </c>
      <c r="C527" t="str">
        <f t="shared" si="65"/>
        <v/>
      </c>
      <c r="D527" t="str">
        <f t="shared" si="66"/>
        <v/>
      </c>
      <c r="E527" t="str">
        <f t="shared" si="67"/>
        <v/>
      </c>
      <c r="F527" t="str">
        <f t="shared" si="70"/>
        <v/>
      </c>
      <c r="G527" t="str">
        <f t="shared" si="71"/>
        <v/>
      </c>
      <c r="H527" t="str">
        <f t="shared" si="68"/>
        <v/>
      </c>
      <c r="I527" t="str">
        <f t="shared" si="69"/>
        <v/>
      </c>
    </row>
    <row r="528" spans="2:9" hidden="1">
      <c r="B528" t="str">
        <f t="shared" si="64"/>
        <v>Wielkopolskie</v>
      </c>
      <c r="C528" t="str">
        <f t="shared" si="65"/>
        <v/>
      </c>
      <c r="D528" t="str">
        <f t="shared" si="66"/>
        <v/>
      </c>
      <c r="E528" t="str">
        <f t="shared" si="67"/>
        <v/>
      </c>
      <c r="F528" t="str">
        <f t="shared" si="70"/>
        <v/>
      </c>
      <c r="G528" t="str">
        <f t="shared" si="71"/>
        <v/>
      </c>
      <c r="H528" t="str">
        <f t="shared" si="68"/>
        <v/>
      </c>
      <c r="I528" t="str">
        <f t="shared" si="69"/>
        <v/>
      </c>
    </row>
    <row r="529" spans="2:9" hidden="1">
      <c r="B529" t="str">
        <f t="shared" si="64"/>
        <v>Wielkopolskie</v>
      </c>
      <c r="C529" t="str">
        <f t="shared" si="65"/>
        <v/>
      </c>
      <c r="D529" t="str">
        <f t="shared" si="66"/>
        <v/>
      </c>
      <c r="E529" t="str">
        <f t="shared" si="67"/>
        <v/>
      </c>
      <c r="F529" t="str">
        <f t="shared" si="70"/>
        <v/>
      </c>
      <c r="G529" t="str">
        <f t="shared" si="71"/>
        <v/>
      </c>
      <c r="H529" t="str">
        <f t="shared" si="68"/>
        <v/>
      </c>
      <c r="I529" t="str">
        <f t="shared" si="69"/>
        <v/>
      </c>
    </row>
    <row r="530" spans="2:9" hidden="1">
      <c r="B530" t="str">
        <f t="shared" si="64"/>
        <v>Wielkopolskie</v>
      </c>
      <c r="C530" t="str">
        <f t="shared" si="65"/>
        <v/>
      </c>
      <c r="D530" t="str">
        <f t="shared" si="66"/>
        <v/>
      </c>
      <c r="E530" t="str">
        <f t="shared" si="67"/>
        <v/>
      </c>
      <c r="F530" t="str">
        <f t="shared" si="70"/>
        <v/>
      </c>
      <c r="G530" t="str">
        <f t="shared" si="71"/>
        <v/>
      </c>
      <c r="H530" t="str">
        <f t="shared" si="68"/>
        <v/>
      </c>
      <c r="I530" t="str">
        <f t="shared" si="69"/>
        <v/>
      </c>
    </row>
    <row r="531" spans="2:9" hidden="1">
      <c r="B531" t="str">
        <f t="shared" si="64"/>
        <v>Wielkopolskie</v>
      </c>
      <c r="C531" t="str">
        <f t="shared" si="65"/>
        <v/>
      </c>
      <c r="D531" t="str">
        <f t="shared" si="66"/>
        <v/>
      </c>
      <c r="E531" t="str">
        <f t="shared" si="67"/>
        <v/>
      </c>
      <c r="F531" t="str">
        <f t="shared" si="70"/>
        <v/>
      </c>
      <c r="G531" t="str">
        <f t="shared" si="71"/>
        <v/>
      </c>
      <c r="H531" t="str">
        <f t="shared" si="68"/>
        <v/>
      </c>
      <c r="I531" t="str">
        <f t="shared" si="69"/>
        <v/>
      </c>
    </row>
    <row r="532" spans="2:9" hidden="1">
      <c r="B532" t="str">
        <f t="shared" si="64"/>
        <v>Wielkopolskie</v>
      </c>
      <c r="C532" t="str">
        <f t="shared" si="65"/>
        <v/>
      </c>
      <c r="D532" t="str">
        <f t="shared" si="66"/>
        <v/>
      </c>
      <c r="E532" t="str">
        <f t="shared" si="67"/>
        <v/>
      </c>
      <c r="F532" t="str">
        <f t="shared" si="70"/>
        <v/>
      </c>
      <c r="G532" t="str">
        <f t="shared" si="71"/>
        <v/>
      </c>
      <c r="H532" t="str">
        <f t="shared" si="68"/>
        <v/>
      </c>
      <c r="I532" t="str">
        <f t="shared" si="69"/>
        <v/>
      </c>
    </row>
    <row r="533" spans="2:9" hidden="1">
      <c r="B533" t="str">
        <f t="shared" si="64"/>
        <v>Wielkopolskie</v>
      </c>
      <c r="C533" t="str">
        <f t="shared" si="65"/>
        <v/>
      </c>
      <c r="D533" t="str">
        <f t="shared" si="66"/>
        <v/>
      </c>
      <c r="E533" t="str">
        <f t="shared" si="67"/>
        <v/>
      </c>
      <c r="F533" t="str">
        <f t="shared" si="70"/>
        <v/>
      </c>
      <c r="G533" t="str">
        <f t="shared" si="71"/>
        <v/>
      </c>
      <c r="H533" t="str">
        <f t="shared" si="68"/>
        <v/>
      </c>
      <c r="I533" t="str">
        <f t="shared" si="69"/>
        <v/>
      </c>
    </row>
    <row r="534" spans="2:9" hidden="1">
      <c r="B534" t="str">
        <f t="shared" si="64"/>
        <v>Wielkopolskie</v>
      </c>
      <c r="C534" t="str">
        <f t="shared" si="65"/>
        <v/>
      </c>
      <c r="D534" t="str">
        <f t="shared" si="66"/>
        <v/>
      </c>
      <c r="E534" t="str">
        <f t="shared" si="67"/>
        <v/>
      </c>
      <c r="F534" t="str">
        <f t="shared" si="70"/>
        <v/>
      </c>
      <c r="G534" t="str">
        <f t="shared" si="71"/>
        <v/>
      </c>
      <c r="H534" t="str">
        <f t="shared" si="68"/>
        <v/>
      </c>
      <c r="I534" t="str">
        <f t="shared" si="69"/>
        <v/>
      </c>
    </row>
    <row r="535" spans="2:9" hidden="1">
      <c r="B535" t="str">
        <f t="shared" si="64"/>
        <v>Wielkopolskie</v>
      </c>
      <c r="C535" t="str">
        <f t="shared" si="65"/>
        <v/>
      </c>
      <c r="D535" t="str">
        <f t="shared" si="66"/>
        <v/>
      </c>
      <c r="E535" t="str">
        <f t="shared" si="67"/>
        <v/>
      </c>
      <c r="F535" t="str">
        <f t="shared" si="70"/>
        <v/>
      </c>
      <c r="G535" t="str">
        <f t="shared" si="71"/>
        <v/>
      </c>
      <c r="H535" t="str">
        <f t="shared" si="68"/>
        <v/>
      </c>
      <c r="I535" t="str">
        <f t="shared" si="69"/>
        <v/>
      </c>
    </row>
    <row r="536" spans="2:9" hidden="1">
      <c r="B536" t="str">
        <f t="shared" si="64"/>
        <v>Wielkopolskie</v>
      </c>
      <c r="C536" t="str">
        <f t="shared" si="65"/>
        <v/>
      </c>
      <c r="D536" t="str">
        <f t="shared" si="66"/>
        <v/>
      </c>
      <c r="E536" t="str">
        <f t="shared" si="67"/>
        <v/>
      </c>
      <c r="F536" t="str">
        <f t="shared" si="70"/>
        <v/>
      </c>
      <c r="G536" t="str">
        <f t="shared" si="71"/>
        <v/>
      </c>
      <c r="H536" t="str">
        <f t="shared" si="68"/>
        <v/>
      </c>
      <c r="I536" t="str">
        <f t="shared" si="69"/>
        <v/>
      </c>
    </row>
    <row r="537" spans="2:9" hidden="1">
      <c r="B537" t="str">
        <f t="shared" si="64"/>
        <v>Wielkopolskie</v>
      </c>
      <c r="C537" t="str">
        <f t="shared" si="65"/>
        <v/>
      </c>
      <c r="D537" t="str">
        <f t="shared" si="66"/>
        <v/>
      </c>
      <c r="E537" t="str">
        <f t="shared" si="67"/>
        <v/>
      </c>
      <c r="F537" t="str">
        <f t="shared" si="70"/>
        <v/>
      </c>
      <c r="G537" t="str">
        <f t="shared" si="71"/>
        <v/>
      </c>
      <c r="H537" t="str">
        <f t="shared" si="68"/>
        <v/>
      </c>
      <c r="I537" t="str">
        <f t="shared" si="69"/>
        <v/>
      </c>
    </row>
    <row r="538" spans="2:9" hidden="1">
      <c r="B538" t="str">
        <f t="shared" si="64"/>
        <v>Wielkopolskie</v>
      </c>
      <c r="C538" t="str">
        <f t="shared" si="65"/>
        <v/>
      </c>
      <c r="D538" t="str">
        <f t="shared" si="66"/>
        <v/>
      </c>
      <c r="E538" t="str">
        <f t="shared" si="67"/>
        <v/>
      </c>
      <c r="F538" t="str">
        <f t="shared" si="70"/>
        <v/>
      </c>
      <c r="G538" t="str">
        <f t="shared" si="71"/>
        <v/>
      </c>
      <c r="H538" t="str">
        <f t="shared" si="68"/>
        <v/>
      </c>
      <c r="I538" t="str">
        <f t="shared" si="69"/>
        <v/>
      </c>
    </row>
    <row r="539" spans="2:9" hidden="1">
      <c r="B539" t="str">
        <f t="shared" si="64"/>
        <v>Wielkopolskie</v>
      </c>
      <c r="C539" t="str">
        <f t="shared" si="65"/>
        <v/>
      </c>
      <c r="D539" t="str">
        <f t="shared" si="66"/>
        <v/>
      </c>
      <c r="E539" t="str">
        <f t="shared" si="67"/>
        <v/>
      </c>
      <c r="F539" t="str">
        <f t="shared" si="70"/>
        <v/>
      </c>
      <c r="G539" t="str">
        <f t="shared" si="71"/>
        <v/>
      </c>
      <c r="H539" t="str">
        <f t="shared" si="68"/>
        <v/>
      </c>
      <c r="I539" t="str">
        <f t="shared" si="69"/>
        <v/>
      </c>
    </row>
    <row r="540" spans="2:9" hidden="1">
      <c r="B540" t="str">
        <f t="shared" si="64"/>
        <v>Wielkopolskie</v>
      </c>
      <c r="C540" t="str">
        <f t="shared" si="65"/>
        <v/>
      </c>
      <c r="D540" t="str">
        <f t="shared" si="66"/>
        <v/>
      </c>
      <c r="E540" t="str">
        <f t="shared" si="67"/>
        <v/>
      </c>
      <c r="F540" t="str">
        <f t="shared" si="70"/>
        <v/>
      </c>
      <c r="G540" t="str">
        <f t="shared" si="71"/>
        <v/>
      </c>
      <c r="H540" t="str">
        <f t="shared" si="68"/>
        <v/>
      </c>
      <c r="I540" t="str">
        <f t="shared" si="69"/>
        <v/>
      </c>
    </row>
    <row r="541" spans="2:9" hidden="1">
      <c r="B541" t="str">
        <f t="shared" si="64"/>
        <v>Wielkopolskie</v>
      </c>
      <c r="C541" t="str">
        <f t="shared" si="65"/>
        <v/>
      </c>
      <c r="D541" t="str">
        <f t="shared" si="66"/>
        <v/>
      </c>
      <c r="E541" t="str">
        <f t="shared" si="67"/>
        <v/>
      </c>
      <c r="F541" t="str">
        <f t="shared" si="70"/>
        <v/>
      </c>
      <c r="G541" t="str">
        <f t="shared" si="71"/>
        <v/>
      </c>
      <c r="H541" t="str">
        <f t="shared" si="68"/>
        <v/>
      </c>
      <c r="I541" t="str">
        <f t="shared" si="69"/>
        <v/>
      </c>
    </row>
    <row r="542" spans="2:9" hidden="1">
      <c r="B542" t="str">
        <f t="shared" si="64"/>
        <v>Wielkopolskie</v>
      </c>
      <c r="C542" t="str">
        <f t="shared" si="65"/>
        <v/>
      </c>
      <c r="D542" t="str">
        <f t="shared" si="66"/>
        <v/>
      </c>
      <c r="E542" t="str">
        <f t="shared" si="67"/>
        <v/>
      </c>
      <c r="F542" t="str">
        <f t="shared" si="70"/>
        <v/>
      </c>
      <c r="G542" t="str">
        <f t="shared" si="71"/>
        <v/>
      </c>
      <c r="H542" t="str">
        <f t="shared" si="68"/>
        <v/>
      </c>
      <c r="I542" t="str">
        <f t="shared" si="69"/>
        <v/>
      </c>
    </row>
    <row r="543" spans="2:9" hidden="1">
      <c r="B543" t="str">
        <f t="shared" si="64"/>
        <v>Wielkopolskie</v>
      </c>
      <c r="C543" t="str">
        <f t="shared" si="65"/>
        <v/>
      </c>
      <c r="D543" t="str">
        <f t="shared" si="66"/>
        <v/>
      </c>
      <c r="E543" t="str">
        <f t="shared" si="67"/>
        <v/>
      </c>
      <c r="F543" t="str">
        <f t="shared" si="70"/>
        <v/>
      </c>
      <c r="G543" t="str">
        <f t="shared" si="71"/>
        <v/>
      </c>
      <c r="H543" t="str">
        <f t="shared" si="68"/>
        <v/>
      </c>
      <c r="I543" t="str">
        <f t="shared" si="69"/>
        <v/>
      </c>
    </row>
    <row r="544" spans="2:9" hidden="1">
      <c r="B544" t="str">
        <f t="shared" si="64"/>
        <v>Wielkopolskie</v>
      </c>
      <c r="C544" t="str">
        <f t="shared" si="65"/>
        <v/>
      </c>
      <c r="D544" t="str">
        <f t="shared" si="66"/>
        <v/>
      </c>
      <c r="E544" t="str">
        <f t="shared" si="67"/>
        <v/>
      </c>
      <c r="F544" t="str">
        <f t="shared" si="70"/>
        <v/>
      </c>
      <c r="G544" t="str">
        <f t="shared" si="71"/>
        <v/>
      </c>
      <c r="H544" t="str">
        <f t="shared" si="68"/>
        <v/>
      </c>
      <c r="I544" t="str">
        <f t="shared" si="69"/>
        <v/>
      </c>
    </row>
    <row r="545" spans="2:9" hidden="1">
      <c r="B545" t="str">
        <f t="shared" si="64"/>
        <v>Wielkopolskie</v>
      </c>
      <c r="C545" t="str">
        <f t="shared" si="65"/>
        <v/>
      </c>
      <c r="D545" t="str">
        <f t="shared" si="66"/>
        <v/>
      </c>
      <c r="E545" t="str">
        <f t="shared" si="67"/>
        <v/>
      </c>
      <c r="F545" t="str">
        <f t="shared" si="70"/>
        <v/>
      </c>
      <c r="G545" t="str">
        <f t="shared" si="71"/>
        <v/>
      </c>
      <c r="H545" t="str">
        <f t="shared" si="68"/>
        <v/>
      </c>
      <c r="I545" t="str">
        <f t="shared" si="69"/>
        <v/>
      </c>
    </row>
    <row r="546" spans="2:9" hidden="1">
      <c r="B546" t="str">
        <f t="shared" si="64"/>
        <v>Wielkopolskie</v>
      </c>
      <c r="C546" t="str">
        <f t="shared" si="65"/>
        <v/>
      </c>
      <c r="D546" t="str">
        <f t="shared" si="66"/>
        <v/>
      </c>
      <c r="E546" t="str">
        <f t="shared" si="67"/>
        <v/>
      </c>
      <c r="F546" t="str">
        <f t="shared" si="70"/>
        <v/>
      </c>
      <c r="G546" t="str">
        <f t="shared" si="71"/>
        <v/>
      </c>
      <c r="H546" t="str">
        <f t="shared" si="68"/>
        <v/>
      </c>
      <c r="I546" t="str">
        <f t="shared" si="69"/>
        <v/>
      </c>
    </row>
    <row r="547" spans="2:9" hidden="1">
      <c r="B547" t="str">
        <f t="shared" si="64"/>
        <v>Wielkopolskie</v>
      </c>
      <c r="C547" t="str">
        <f t="shared" si="65"/>
        <v/>
      </c>
      <c r="D547" t="str">
        <f t="shared" si="66"/>
        <v/>
      </c>
      <c r="E547" t="str">
        <f t="shared" si="67"/>
        <v/>
      </c>
      <c r="F547" t="str">
        <f t="shared" si="70"/>
        <v/>
      </c>
      <c r="G547" t="str">
        <f t="shared" si="71"/>
        <v/>
      </c>
      <c r="H547" t="str">
        <f t="shared" si="68"/>
        <v/>
      </c>
      <c r="I547" t="str">
        <f t="shared" si="69"/>
        <v/>
      </c>
    </row>
    <row r="548" spans="2:9" hidden="1">
      <c r="B548" t="str">
        <f t="shared" si="64"/>
        <v>Wielkopolskie</v>
      </c>
      <c r="C548" t="str">
        <f t="shared" si="65"/>
        <v/>
      </c>
      <c r="D548" t="str">
        <f t="shared" si="66"/>
        <v/>
      </c>
      <c r="E548" t="str">
        <f t="shared" si="67"/>
        <v/>
      </c>
      <c r="F548" t="str">
        <f t="shared" si="70"/>
        <v/>
      </c>
      <c r="G548" t="str">
        <f t="shared" si="71"/>
        <v/>
      </c>
      <c r="H548" t="str">
        <f t="shared" si="68"/>
        <v/>
      </c>
      <c r="I548" t="str">
        <f t="shared" si="69"/>
        <v/>
      </c>
    </row>
    <row r="549" spans="2:9" hidden="1">
      <c r="B549" t="str">
        <f t="shared" si="64"/>
        <v>Wielkopolskie</v>
      </c>
      <c r="C549" t="str">
        <f t="shared" si="65"/>
        <v/>
      </c>
      <c r="D549" t="str">
        <f t="shared" si="66"/>
        <v/>
      </c>
      <c r="E549" t="str">
        <f t="shared" si="67"/>
        <v/>
      </c>
      <c r="F549" t="str">
        <f t="shared" si="70"/>
        <v/>
      </c>
      <c r="G549" t="str">
        <f t="shared" si="71"/>
        <v/>
      </c>
      <c r="H549" t="str">
        <f t="shared" si="68"/>
        <v/>
      </c>
      <c r="I549" t="str">
        <f t="shared" si="69"/>
        <v/>
      </c>
    </row>
    <row r="550" spans="2:9" hidden="1">
      <c r="B550" t="str">
        <f t="shared" si="64"/>
        <v>Wielkopolskie</v>
      </c>
      <c r="C550" t="str">
        <f t="shared" si="65"/>
        <v/>
      </c>
      <c r="D550" t="str">
        <f t="shared" si="66"/>
        <v/>
      </c>
      <c r="E550" t="str">
        <f t="shared" si="67"/>
        <v/>
      </c>
      <c r="F550" t="str">
        <f t="shared" si="70"/>
        <v/>
      </c>
      <c r="G550" t="str">
        <f t="shared" si="71"/>
        <v/>
      </c>
      <c r="H550" t="str">
        <f t="shared" si="68"/>
        <v/>
      </c>
      <c r="I550" t="str">
        <f t="shared" si="69"/>
        <v/>
      </c>
    </row>
    <row r="551" spans="2:9" hidden="1">
      <c r="B551" t="str">
        <f t="shared" si="64"/>
        <v>Wielkopolskie</v>
      </c>
      <c r="C551" t="str">
        <f t="shared" si="65"/>
        <v/>
      </c>
      <c r="D551" t="str">
        <f t="shared" si="66"/>
        <v/>
      </c>
      <c r="E551" t="str">
        <f t="shared" si="67"/>
        <v/>
      </c>
      <c r="F551" t="str">
        <f t="shared" si="70"/>
        <v/>
      </c>
      <c r="G551" t="str">
        <f t="shared" si="71"/>
        <v/>
      </c>
      <c r="H551" t="str">
        <f t="shared" si="68"/>
        <v/>
      </c>
      <c r="I551" t="str">
        <f t="shared" si="69"/>
        <v/>
      </c>
    </row>
    <row r="552" spans="2:9" hidden="1">
      <c r="B552" t="str">
        <f t="shared" si="64"/>
        <v>Wielkopolskie</v>
      </c>
      <c r="C552" t="str">
        <f t="shared" si="65"/>
        <v/>
      </c>
      <c r="D552" t="str">
        <f t="shared" si="66"/>
        <v/>
      </c>
      <c r="E552" t="str">
        <f t="shared" si="67"/>
        <v/>
      </c>
      <c r="F552" t="str">
        <f t="shared" si="70"/>
        <v/>
      </c>
      <c r="G552" t="str">
        <f t="shared" si="71"/>
        <v/>
      </c>
      <c r="H552" t="str">
        <f t="shared" si="68"/>
        <v/>
      </c>
      <c r="I552" t="str">
        <f t="shared" si="69"/>
        <v/>
      </c>
    </row>
    <row r="553" spans="2:9" hidden="1">
      <c r="B553" t="str">
        <f t="shared" si="64"/>
        <v>Wielkopolskie</v>
      </c>
      <c r="C553" t="str">
        <f t="shared" si="65"/>
        <v/>
      </c>
      <c r="D553" t="str">
        <f t="shared" si="66"/>
        <v/>
      </c>
      <c r="E553" t="str">
        <f t="shared" si="67"/>
        <v/>
      </c>
      <c r="F553" t="str">
        <f t="shared" si="70"/>
        <v/>
      </c>
      <c r="G553" t="str">
        <f t="shared" si="71"/>
        <v/>
      </c>
      <c r="H553" t="str">
        <f t="shared" si="68"/>
        <v/>
      </c>
      <c r="I553" t="str">
        <f t="shared" si="69"/>
        <v/>
      </c>
    </row>
    <row r="554" spans="2:9" hidden="1">
      <c r="B554" t="str">
        <f t="shared" si="64"/>
        <v>Wielkopolskie</v>
      </c>
      <c r="C554" t="str">
        <f t="shared" si="65"/>
        <v/>
      </c>
      <c r="D554" t="str">
        <f t="shared" si="66"/>
        <v/>
      </c>
      <c r="E554" t="str">
        <f t="shared" si="67"/>
        <v/>
      </c>
      <c r="F554" t="str">
        <f t="shared" si="70"/>
        <v/>
      </c>
      <c r="G554" t="str">
        <f t="shared" si="71"/>
        <v/>
      </c>
      <c r="H554" t="str">
        <f t="shared" si="68"/>
        <v/>
      </c>
      <c r="I554" t="str">
        <f t="shared" si="69"/>
        <v/>
      </c>
    </row>
    <row r="555" spans="2:9" hidden="1">
      <c r="B555" t="str">
        <f t="shared" si="64"/>
        <v>Wielkopolskie</v>
      </c>
      <c r="C555" t="str">
        <f t="shared" si="65"/>
        <v/>
      </c>
      <c r="D555" t="str">
        <f t="shared" si="66"/>
        <v/>
      </c>
      <c r="E555" t="str">
        <f t="shared" si="67"/>
        <v/>
      </c>
      <c r="F555" t="str">
        <f t="shared" si="70"/>
        <v/>
      </c>
      <c r="G555" t="str">
        <f t="shared" si="71"/>
        <v/>
      </c>
      <c r="H555" t="str">
        <f t="shared" si="68"/>
        <v/>
      </c>
      <c r="I555" t="str">
        <f t="shared" si="69"/>
        <v/>
      </c>
    </row>
    <row r="556" spans="2:9" hidden="1">
      <c r="B556" t="str">
        <f t="shared" si="64"/>
        <v>Wielkopolskie</v>
      </c>
      <c r="C556" t="str">
        <f t="shared" si="65"/>
        <v/>
      </c>
      <c r="D556" t="str">
        <f t="shared" si="66"/>
        <v/>
      </c>
      <c r="E556" t="str">
        <f t="shared" si="67"/>
        <v/>
      </c>
      <c r="F556" t="str">
        <f t="shared" si="70"/>
        <v/>
      </c>
      <c r="G556" t="str">
        <f t="shared" si="71"/>
        <v/>
      </c>
      <c r="H556" t="str">
        <f t="shared" si="68"/>
        <v/>
      </c>
      <c r="I556" t="str">
        <f t="shared" si="69"/>
        <v/>
      </c>
    </row>
    <row r="557" spans="2:9" hidden="1">
      <c r="B557" t="str">
        <f t="shared" si="64"/>
        <v>Wielkopolskie</v>
      </c>
      <c r="C557" t="str">
        <f t="shared" si="65"/>
        <v/>
      </c>
      <c r="D557" t="str">
        <f t="shared" si="66"/>
        <v/>
      </c>
      <c r="E557" t="str">
        <f t="shared" si="67"/>
        <v/>
      </c>
      <c r="F557" t="str">
        <f t="shared" si="70"/>
        <v/>
      </c>
      <c r="G557" t="str">
        <f t="shared" si="71"/>
        <v/>
      </c>
      <c r="H557" t="str">
        <f t="shared" si="68"/>
        <v/>
      </c>
      <c r="I557" t="str">
        <f t="shared" si="69"/>
        <v/>
      </c>
    </row>
    <row r="558" spans="2:9" hidden="1">
      <c r="B558" t="str">
        <f t="shared" si="64"/>
        <v>Wielkopolskie</v>
      </c>
      <c r="C558" t="str">
        <f t="shared" si="65"/>
        <v/>
      </c>
      <c r="D558" t="str">
        <f t="shared" si="66"/>
        <v/>
      </c>
      <c r="E558" t="str">
        <f t="shared" si="67"/>
        <v/>
      </c>
      <c r="F558" t="str">
        <f t="shared" si="70"/>
        <v/>
      </c>
      <c r="G558" t="str">
        <f t="shared" si="71"/>
        <v/>
      </c>
      <c r="H558" t="str">
        <f t="shared" si="68"/>
        <v/>
      </c>
      <c r="I558" t="str">
        <f t="shared" si="69"/>
        <v/>
      </c>
    </row>
    <row r="559" spans="2:9" hidden="1">
      <c r="B559" t="str">
        <f t="shared" si="64"/>
        <v>Wielkopolskie</v>
      </c>
      <c r="C559" t="str">
        <f t="shared" si="65"/>
        <v/>
      </c>
      <c r="D559" t="str">
        <f t="shared" si="66"/>
        <v/>
      </c>
      <c r="E559" t="str">
        <f t="shared" si="67"/>
        <v/>
      </c>
      <c r="F559" t="str">
        <f t="shared" si="70"/>
        <v/>
      </c>
      <c r="G559" t="str">
        <f t="shared" si="71"/>
        <v/>
      </c>
      <c r="H559" t="str">
        <f t="shared" si="68"/>
        <v/>
      </c>
      <c r="I559" t="str">
        <f t="shared" si="69"/>
        <v/>
      </c>
    </row>
    <row r="560" spans="2:9" hidden="1">
      <c r="B560" t="str">
        <f t="shared" si="64"/>
        <v>Wielkopolskie</v>
      </c>
      <c r="C560" t="str">
        <f t="shared" si="65"/>
        <v/>
      </c>
      <c r="D560" t="str">
        <f t="shared" si="66"/>
        <v/>
      </c>
      <c r="E560" t="str">
        <f t="shared" si="67"/>
        <v/>
      </c>
      <c r="F560" t="str">
        <f t="shared" si="70"/>
        <v/>
      </c>
      <c r="G560" t="str">
        <f t="shared" si="71"/>
        <v/>
      </c>
      <c r="H560" t="str">
        <f t="shared" si="68"/>
        <v/>
      </c>
      <c r="I560" t="str">
        <f t="shared" si="69"/>
        <v/>
      </c>
    </row>
    <row r="561" spans="2:9" hidden="1">
      <c r="B561" t="str">
        <f t="shared" si="64"/>
        <v>Wielkopolskie</v>
      </c>
      <c r="C561" t="str">
        <f t="shared" si="65"/>
        <v/>
      </c>
      <c r="D561" t="str">
        <f t="shared" si="66"/>
        <v/>
      </c>
      <c r="E561" t="str">
        <f t="shared" si="67"/>
        <v/>
      </c>
      <c r="F561" t="str">
        <f t="shared" si="70"/>
        <v/>
      </c>
      <c r="G561" t="str">
        <f t="shared" si="71"/>
        <v/>
      </c>
      <c r="H561" t="str">
        <f t="shared" si="68"/>
        <v/>
      </c>
      <c r="I561" t="str">
        <f t="shared" si="69"/>
        <v/>
      </c>
    </row>
    <row r="562" spans="2:9" hidden="1">
      <c r="B562" t="str">
        <f t="shared" si="64"/>
        <v>Wielkopolskie</v>
      </c>
      <c r="C562" t="str">
        <f t="shared" si="65"/>
        <v/>
      </c>
      <c r="D562" t="str">
        <f t="shared" si="66"/>
        <v/>
      </c>
      <c r="E562" t="str">
        <f t="shared" si="67"/>
        <v/>
      </c>
      <c r="F562" t="str">
        <f t="shared" si="70"/>
        <v/>
      </c>
      <c r="G562" t="str">
        <f t="shared" si="71"/>
        <v/>
      </c>
      <c r="H562" t="str">
        <f t="shared" si="68"/>
        <v/>
      </c>
      <c r="I562" t="str">
        <f t="shared" si="69"/>
        <v/>
      </c>
    </row>
    <row r="563" spans="2:9" hidden="1">
      <c r="B563" t="str">
        <f t="shared" si="64"/>
        <v>Wielkopolskie</v>
      </c>
      <c r="C563" t="str">
        <f t="shared" si="65"/>
        <v/>
      </c>
      <c r="D563" t="str">
        <f t="shared" si="66"/>
        <v/>
      </c>
      <c r="E563" t="str">
        <f t="shared" si="67"/>
        <v/>
      </c>
      <c r="F563" t="str">
        <f t="shared" si="70"/>
        <v/>
      </c>
      <c r="G563" t="str">
        <f t="shared" si="71"/>
        <v/>
      </c>
      <c r="H563" t="str">
        <f t="shared" si="68"/>
        <v/>
      </c>
      <c r="I563" t="str">
        <f t="shared" si="69"/>
        <v/>
      </c>
    </row>
    <row r="564" spans="2:9" hidden="1">
      <c r="B564" t="str">
        <f t="shared" si="64"/>
        <v>Wielkopolskie</v>
      </c>
      <c r="C564" t="str">
        <f t="shared" si="65"/>
        <v/>
      </c>
      <c r="D564" t="str">
        <f t="shared" si="66"/>
        <v/>
      </c>
      <c r="E564" t="str">
        <f t="shared" si="67"/>
        <v/>
      </c>
      <c r="F564" t="str">
        <f t="shared" si="70"/>
        <v/>
      </c>
      <c r="G564" t="str">
        <f t="shared" si="71"/>
        <v/>
      </c>
      <c r="H564" t="str">
        <f t="shared" si="68"/>
        <v/>
      </c>
      <c r="I564" t="str">
        <f t="shared" si="69"/>
        <v/>
      </c>
    </row>
    <row r="565" spans="2:9" hidden="1">
      <c r="B565" t="str">
        <f t="shared" si="64"/>
        <v>Wielkopolskie</v>
      </c>
      <c r="C565" t="str">
        <f t="shared" si="65"/>
        <v/>
      </c>
      <c r="D565" t="str">
        <f t="shared" si="66"/>
        <v/>
      </c>
      <c r="E565" t="str">
        <f t="shared" si="67"/>
        <v/>
      </c>
      <c r="F565" t="str">
        <f t="shared" si="70"/>
        <v/>
      </c>
      <c r="G565" t="str">
        <f t="shared" si="71"/>
        <v/>
      </c>
      <c r="H565" t="str">
        <f t="shared" si="68"/>
        <v/>
      </c>
      <c r="I565" t="str">
        <f t="shared" si="69"/>
        <v/>
      </c>
    </row>
    <row r="566" spans="2:9" hidden="1">
      <c r="B566" t="str">
        <f t="shared" si="64"/>
        <v>Wielkopolskie</v>
      </c>
      <c r="C566" t="str">
        <f t="shared" si="65"/>
        <v/>
      </c>
      <c r="D566" t="str">
        <f t="shared" si="66"/>
        <v/>
      </c>
      <c r="E566" t="str">
        <f t="shared" si="67"/>
        <v/>
      </c>
      <c r="F566" t="str">
        <f t="shared" si="70"/>
        <v/>
      </c>
      <c r="G566" t="str">
        <f t="shared" si="71"/>
        <v/>
      </c>
      <c r="H566" t="str">
        <f t="shared" si="68"/>
        <v/>
      </c>
      <c r="I566" t="str">
        <f t="shared" si="69"/>
        <v/>
      </c>
    </row>
    <row r="567" spans="2:9" hidden="1">
      <c r="B567" t="str">
        <f t="shared" si="64"/>
        <v>Wielkopolskie</v>
      </c>
      <c r="C567" t="str">
        <f t="shared" si="65"/>
        <v/>
      </c>
      <c r="D567" t="str">
        <f t="shared" si="66"/>
        <v/>
      </c>
      <c r="E567" t="str">
        <f t="shared" si="67"/>
        <v/>
      </c>
      <c r="F567" t="str">
        <f t="shared" si="70"/>
        <v/>
      </c>
      <c r="G567" t="str">
        <f t="shared" si="71"/>
        <v/>
      </c>
      <c r="H567" t="str">
        <f t="shared" si="68"/>
        <v/>
      </c>
      <c r="I567" t="str">
        <f t="shared" si="69"/>
        <v/>
      </c>
    </row>
    <row r="568" spans="2:9" hidden="1">
      <c r="B568" t="str">
        <f t="shared" si="64"/>
        <v>Wielkopolskie</v>
      </c>
      <c r="C568" t="str">
        <f t="shared" si="65"/>
        <v/>
      </c>
      <c r="D568" t="str">
        <f t="shared" si="66"/>
        <v/>
      </c>
      <c r="E568" t="str">
        <f t="shared" si="67"/>
        <v/>
      </c>
      <c r="F568" t="str">
        <f t="shared" si="70"/>
        <v/>
      </c>
      <c r="G568" t="str">
        <f t="shared" si="71"/>
        <v/>
      </c>
      <c r="H568" t="str">
        <f t="shared" si="68"/>
        <v/>
      </c>
      <c r="I568" t="str">
        <f t="shared" si="69"/>
        <v/>
      </c>
    </row>
    <row r="569" spans="2:9" hidden="1">
      <c r="B569" t="str">
        <f t="shared" si="64"/>
        <v>Wielkopolskie</v>
      </c>
      <c r="C569" t="str">
        <f t="shared" si="65"/>
        <v/>
      </c>
      <c r="D569" t="str">
        <f t="shared" si="66"/>
        <v/>
      </c>
      <c r="E569" t="str">
        <f t="shared" si="67"/>
        <v/>
      </c>
      <c r="F569" t="str">
        <f t="shared" si="70"/>
        <v/>
      </c>
      <c r="G569" t="str">
        <f t="shared" si="71"/>
        <v/>
      </c>
      <c r="H569" t="str">
        <f t="shared" si="68"/>
        <v/>
      </c>
      <c r="I569" t="str">
        <f t="shared" si="69"/>
        <v/>
      </c>
    </row>
    <row r="570" spans="2:9" hidden="1">
      <c r="B570" t="str">
        <f t="shared" si="64"/>
        <v>Wielkopolskie</v>
      </c>
      <c r="C570" t="str">
        <f t="shared" si="65"/>
        <v/>
      </c>
      <c r="D570" t="str">
        <f t="shared" si="66"/>
        <v/>
      </c>
      <c r="E570" t="str">
        <f t="shared" si="67"/>
        <v/>
      </c>
      <c r="F570" t="str">
        <f t="shared" si="70"/>
        <v/>
      </c>
      <c r="G570" t="str">
        <f t="shared" si="71"/>
        <v/>
      </c>
      <c r="H570" t="str">
        <f t="shared" si="68"/>
        <v/>
      </c>
      <c r="I570" t="str">
        <f t="shared" si="69"/>
        <v/>
      </c>
    </row>
    <row r="571" spans="2:9" hidden="1">
      <c r="B571" t="str">
        <f t="shared" si="64"/>
        <v>Wielkopolskie</v>
      </c>
      <c r="C571" t="str">
        <f t="shared" si="65"/>
        <v/>
      </c>
      <c r="D571" t="str">
        <f t="shared" si="66"/>
        <v/>
      </c>
      <c r="E571" t="str">
        <f t="shared" si="67"/>
        <v/>
      </c>
      <c r="F571" t="str">
        <f t="shared" si="70"/>
        <v/>
      </c>
      <c r="G571" t="str">
        <f t="shared" si="71"/>
        <v/>
      </c>
      <c r="H571" t="str">
        <f t="shared" si="68"/>
        <v/>
      </c>
      <c r="I571" t="str">
        <f t="shared" si="69"/>
        <v/>
      </c>
    </row>
    <row r="572" spans="2:9" hidden="1">
      <c r="B572" t="str">
        <f t="shared" si="64"/>
        <v>Wielkopolskie</v>
      </c>
      <c r="C572" t="str">
        <f t="shared" si="65"/>
        <v/>
      </c>
      <c r="D572" t="str">
        <f t="shared" si="66"/>
        <v/>
      </c>
      <c r="E572" t="str">
        <f t="shared" si="67"/>
        <v/>
      </c>
      <c r="F572" t="str">
        <f t="shared" si="70"/>
        <v/>
      </c>
      <c r="G572" t="str">
        <f t="shared" si="71"/>
        <v/>
      </c>
      <c r="H572" t="str">
        <f t="shared" si="68"/>
        <v/>
      </c>
      <c r="I572" t="str">
        <f t="shared" si="69"/>
        <v/>
      </c>
    </row>
    <row r="573" spans="2:9" hidden="1">
      <c r="B573" t="str">
        <f t="shared" si="64"/>
        <v>Wielkopolskie</v>
      </c>
      <c r="C573" t="str">
        <f t="shared" si="65"/>
        <v/>
      </c>
      <c r="D573" t="str">
        <f t="shared" si="66"/>
        <v/>
      </c>
      <c r="E573" t="str">
        <f t="shared" si="67"/>
        <v/>
      </c>
      <c r="F573" t="str">
        <f t="shared" si="70"/>
        <v/>
      </c>
      <c r="G573" t="str">
        <f t="shared" si="71"/>
        <v/>
      </c>
      <c r="H573" t="str">
        <f t="shared" si="68"/>
        <v/>
      </c>
      <c r="I573" t="str">
        <f t="shared" si="69"/>
        <v/>
      </c>
    </row>
    <row r="574" spans="2:9" hidden="1">
      <c r="B574" t="str">
        <f t="shared" si="64"/>
        <v>Wielkopolskie</v>
      </c>
      <c r="C574" t="str">
        <f t="shared" si="65"/>
        <v/>
      </c>
      <c r="D574" t="str">
        <f t="shared" si="66"/>
        <v/>
      </c>
      <c r="E574" t="str">
        <f t="shared" si="67"/>
        <v/>
      </c>
      <c r="F574" t="str">
        <f t="shared" si="70"/>
        <v/>
      </c>
      <c r="G574" t="str">
        <f t="shared" si="71"/>
        <v/>
      </c>
      <c r="H574" t="str">
        <f t="shared" si="68"/>
        <v/>
      </c>
      <c r="I574" t="str">
        <f t="shared" si="69"/>
        <v/>
      </c>
    </row>
    <row r="575" spans="2:9" hidden="1">
      <c r="B575" t="str">
        <f t="shared" si="64"/>
        <v>Wielkopolskie</v>
      </c>
      <c r="C575" t="str">
        <f t="shared" si="65"/>
        <v/>
      </c>
      <c r="D575" t="str">
        <f t="shared" si="66"/>
        <v/>
      </c>
      <c r="E575" t="str">
        <f t="shared" si="67"/>
        <v/>
      </c>
      <c r="F575" t="str">
        <f t="shared" si="70"/>
        <v/>
      </c>
      <c r="G575" t="str">
        <f t="shared" si="71"/>
        <v/>
      </c>
      <c r="H575" t="str">
        <f t="shared" si="68"/>
        <v/>
      </c>
      <c r="I575" t="str">
        <f t="shared" si="69"/>
        <v/>
      </c>
    </row>
    <row r="576" spans="2:9" hidden="1">
      <c r="B576" t="str">
        <f t="shared" si="64"/>
        <v>Wielkopolskie</v>
      </c>
      <c r="C576" t="str">
        <f t="shared" si="65"/>
        <v/>
      </c>
      <c r="D576" t="str">
        <f t="shared" si="66"/>
        <v/>
      </c>
      <c r="E576" t="str">
        <f t="shared" si="67"/>
        <v/>
      </c>
      <c r="F576" t="str">
        <f t="shared" si="70"/>
        <v/>
      </c>
      <c r="G576" t="str">
        <f t="shared" si="71"/>
        <v/>
      </c>
      <c r="H576" t="str">
        <f t="shared" si="68"/>
        <v/>
      </c>
      <c r="I576" t="str">
        <f t="shared" si="69"/>
        <v/>
      </c>
    </row>
    <row r="577" spans="2:9" hidden="1">
      <c r="B577" t="str">
        <f t="shared" si="64"/>
        <v>Wielkopolskie</v>
      </c>
      <c r="C577" t="str">
        <f t="shared" si="65"/>
        <v/>
      </c>
      <c r="D577" t="str">
        <f t="shared" si="66"/>
        <v/>
      </c>
      <c r="E577" t="str">
        <f t="shared" si="67"/>
        <v/>
      </c>
      <c r="F577" t="str">
        <f t="shared" si="70"/>
        <v/>
      </c>
      <c r="G577" t="str">
        <f t="shared" si="71"/>
        <v/>
      </c>
      <c r="H577" t="str">
        <f t="shared" si="68"/>
        <v/>
      </c>
      <c r="I577" t="str">
        <f t="shared" si="69"/>
        <v/>
      </c>
    </row>
    <row r="578" spans="2:9" hidden="1">
      <c r="B578" t="str">
        <f t="shared" ref="B578:B641" si="72">+IF(AND(C578&gt;"",ISERR(FIND("DKK",A577))),A577,B577)</f>
        <v>Wielkopolskie</v>
      </c>
      <c r="C578" t="str">
        <f t="shared" ref="C578:C641" si="73">IF(ISERR(FIND($C$1,A578,1)),"",A578)</f>
        <v/>
      </c>
      <c r="D578" t="str">
        <f t="shared" ref="D578:D641" si="74">IF(C578&gt;"",A579,"")</f>
        <v/>
      </c>
      <c r="E578" t="str">
        <f t="shared" ref="E578:E641" si="75">IF(C578&gt;"",A580,"")</f>
        <v/>
      </c>
      <c r="F578" t="str">
        <f t="shared" si="70"/>
        <v/>
      </c>
      <c r="G578" t="str">
        <f t="shared" si="71"/>
        <v/>
      </c>
      <c r="H578" t="str">
        <f t="shared" ref="H578:H641" si="76">IF(E578&gt;"",IF(ISERR(FIND("DKK",A584)),"",A584),"")</f>
        <v/>
      </c>
      <c r="I578" t="str">
        <f t="shared" ref="I578:I641" si="77">IF(E578&gt;"",IF(ISERR(FIND("DKK",A585)),"",A585),"")</f>
        <v/>
      </c>
    </row>
    <row r="579" spans="2:9" hidden="1">
      <c r="B579" t="str">
        <f t="shared" si="72"/>
        <v>Wielkopolskie</v>
      </c>
      <c r="C579" t="str">
        <f t="shared" si="73"/>
        <v/>
      </c>
      <c r="D579" t="str">
        <f t="shared" si="74"/>
        <v/>
      </c>
      <c r="E579" t="str">
        <f t="shared" si="75"/>
        <v/>
      </c>
      <c r="F579" t="str">
        <f t="shared" ref="F579:F642" si="78">IF(C579&gt;"",MID(A583,FIND("tel.",A583)+5,15),"")</f>
        <v/>
      </c>
      <c r="G579" t="str">
        <f t="shared" ref="G579:G642" si="79">IF(E579&gt;"",MID(A582,FIND("mail:",A582)+6,100),"")</f>
        <v/>
      </c>
      <c r="H579" t="str">
        <f t="shared" si="76"/>
        <v/>
      </c>
      <c r="I579" t="str">
        <f t="shared" si="77"/>
        <v/>
      </c>
    </row>
    <row r="580" spans="2:9" hidden="1">
      <c r="B580" t="str">
        <f t="shared" si="72"/>
        <v>Wielkopolskie</v>
      </c>
      <c r="C580" t="str">
        <f t="shared" si="73"/>
        <v/>
      </c>
      <c r="D580" t="str">
        <f t="shared" si="74"/>
        <v/>
      </c>
      <c r="E580" t="str">
        <f t="shared" si="75"/>
        <v/>
      </c>
      <c r="F580" t="str">
        <f t="shared" si="78"/>
        <v/>
      </c>
      <c r="G580" t="str">
        <f t="shared" si="79"/>
        <v/>
      </c>
      <c r="H580" t="str">
        <f t="shared" si="76"/>
        <v/>
      </c>
      <c r="I580" t="str">
        <f t="shared" si="77"/>
        <v/>
      </c>
    </row>
    <row r="581" spans="2:9" hidden="1">
      <c r="B581" t="str">
        <f t="shared" si="72"/>
        <v>Wielkopolskie</v>
      </c>
      <c r="C581" t="str">
        <f t="shared" si="73"/>
        <v/>
      </c>
      <c r="D581" t="str">
        <f t="shared" si="74"/>
        <v/>
      </c>
      <c r="E581" t="str">
        <f t="shared" si="75"/>
        <v/>
      </c>
      <c r="F581" t="str">
        <f t="shared" si="78"/>
        <v/>
      </c>
      <c r="G581" t="str">
        <f t="shared" si="79"/>
        <v/>
      </c>
      <c r="H581" t="str">
        <f t="shared" si="76"/>
        <v/>
      </c>
      <c r="I581" t="str">
        <f t="shared" si="77"/>
        <v/>
      </c>
    </row>
    <row r="582" spans="2:9" hidden="1">
      <c r="B582" t="str">
        <f t="shared" si="72"/>
        <v>Wielkopolskie</v>
      </c>
      <c r="C582" t="str">
        <f t="shared" si="73"/>
        <v/>
      </c>
      <c r="D582" t="str">
        <f t="shared" si="74"/>
        <v/>
      </c>
      <c r="E582" t="str">
        <f t="shared" si="75"/>
        <v/>
      </c>
      <c r="F582" t="str">
        <f t="shared" si="78"/>
        <v/>
      </c>
      <c r="G582" t="str">
        <f t="shared" si="79"/>
        <v/>
      </c>
      <c r="H582" t="str">
        <f t="shared" si="76"/>
        <v/>
      </c>
      <c r="I582" t="str">
        <f t="shared" si="77"/>
        <v/>
      </c>
    </row>
    <row r="583" spans="2:9" hidden="1">
      <c r="B583" t="str">
        <f t="shared" si="72"/>
        <v>Wielkopolskie</v>
      </c>
      <c r="C583" t="str">
        <f t="shared" si="73"/>
        <v/>
      </c>
      <c r="D583" t="str">
        <f t="shared" si="74"/>
        <v/>
      </c>
      <c r="E583" t="str">
        <f t="shared" si="75"/>
        <v/>
      </c>
      <c r="F583" t="str">
        <f t="shared" si="78"/>
        <v/>
      </c>
      <c r="G583" t="str">
        <f t="shared" si="79"/>
        <v/>
      </c>
      <c r="H583" t="str">
        <f t="shared" si="76"/>
        <v/>
      </c>
      <c r="I583" t="str">
        <f t="shared" si="77"/>
        <v/>
      </c>
    </row>
    <row r="584" spans="2:9" hidden="1">
      <c r="B584" t="str">
        <f t="shared" si="72"/>
        <v>Wielkopolskie</v>
      </c>
      <c r="C584" t="str">
        <f t="shared" si="73"/>
        <v/>
      </c>
      <c r="D584" t="str">
        <f t="shared" si="74"/>
        <v/>
      </c>
      <c r="E584" t="str">
        <f t="shared" si="75"/>
        <v/>
      </c>
      <c r="F584" t="str">
        <f t="shared" si="78"/>
        <v/>
      </c>
      <c r="G584" t="str">
        <f t="shared" si="79"/>
        <v/>
      </c>
      <c r="H584" t="str">
        <f t="shared" si="76"/>
        <v/>
      </c>
      <c r="I584" t="str">
        <f t="shared" si="77"/>
        <v/>
      </c>
    </row>
    <row r="585" spans="2:9" hidden="1">
      <c r="B585" t="str">
        <f t="shared" si="72"/>
        <v>Wielkopolskie</v>
      </c>
      <c r="C585" t="str">
        <f t="shared" si="73"/>
        <v/>
      </c>
      <c r="D585" t="str">
        <f t="shared" si="74"/>
        <v/>
      </c>
      <c r="E585" t="str">
        <f t="shared" si="75"/>
        <v/>
      </c>
      <c r="F585" t="str">
        <f t="shared" si="78"/>
        <v/>
      </c>
      <c r="G585" t="str">
        <f t="shared" si="79"/>
        <v/>
      </c>
      <c r="H585" t="str">
        <f t="shared" si="76"/>
        <v/>
      </c>
      <c r="I585" t="str">
        <f t="shared" si="77"/>
        <v/>
      </c>
    </row>
    <row r="586" spans="2:9" hidden="1">
      <c r="B586" t="str">
        <f t="shared" si="72"/>
        <v>Wielkopolskie</v>
      </c>
      <c r="C586" t="str">
        <f t="shared" si="73"/>
        <v/>
      </c>
      <c r="D586" t="str">
        <f t="shared" si="74"/>
        <v/>
      </c>
      <c r="E586" t="str">
        <f t="shared" si="75"/>
        <v/>
      </c>
      <c r="F586" t="str">
        <f t="shared" si="78"/>
        <v/>
      </c>
      <c r="G586" t="str">
        <f t="shared" si="79"/>
        <v/>
      </c>
      <c r="H586" t="str">
        <f t="shared" si="76"/>
        <v/>
      </c>
      <c r="I586" t="str">
        <f t="shared" si="77"/>
        <v/>
      </c>
    </row>
    <row r="587" spans="2:9" hidden="1">
      <c r="B587" t="str">
        <f t="shared" si="72"/>
        <v>Wielkopolskie</v>
      </c>
      <c r="C587" t="str">
        <f t="shared" si="73"/>
        <v/>
      </c>
      <c r="D587" t="str">
        <f t="shared" si="74"/>
        <v/>
      </c>
      <c r="E587" t="str">
        <f t="shared" si="75"/>
        <v/>
      </c>
      <c r="F587" t="str">
        <f t="shared" si="78"/>
        <v/>
      </c>
      <c r="G587" t="str">
        <f t="shared" si="79"/>
        <v/>
      </c>
      <c r="H587" t="str">
        <f t="shared" si="76"/>
        <v/>
      </c>
      <c r="I587" t="str">
        <f t="shared" si="77"/>
        <v/>
      </c>
    </row>
    <row r="588" spans="2:9" hidden="1">
      <c r="B588" t="str">
        <f t="shared" si="72"/>
        <v>Wielkopolskie</v>
      </c>
      <c r="C588" t="str">
        <f t="shared" si="73"/>
        <v/>
      </c>
      <c r="D588" t="str">
        <f t="shared" si="74"/>
        <v/>
      </c>
      <c r="E588" t="str">
        <f t="shared" si="75"/>
        <v/>
      </c>
      <c r="F588" t="str">
        <f t="shared" si="78"/>
        <v/>
      </c>
      <c r="G588" t="str">
        <f t="shared" si="79"/>
        <v/>
      </c>
      <c r="H588" t="str">
        <f t="shared" si="76"/>
        <v/>
      </c>
      <c r="I588" t="str">
        <f t="shared" si="77"/>
        <v/>
      </c>
    </row>
    <row r="589" spans="2:9" hidden="1">
      <c r="B589" t="str">
        <f t="shared" si="72"/>
        <v>Wielkopolskie</v>
      </c>
      <c r="C589" t="str">
        <f t="shared" si="73"/>
        <v/>
      </c>
      <c r="D589" t="str">
        <f t="shared" si="74"/>
        <v/>
      </c>
      <c r="E589" t="str">
        <f t="shared" si="75"/>
        <v/>
      </c>
      <c r="F589" t="str">
        <f t="shared" si="78"/>
        <v/>
      </c>
      <c r="G589" t="str">
        <f t="shared" si="79"/>
        <v/>
      </c>
      <c r="H589" t="str">
        <f t="shared" si="76"/>
        <v/>
      </c>
      <c r="I589" t="str">
        <f t="shared" si="77"/>
        <v/>
      </c>
    </row>
    <row r="590" spans="2:9" hidden="1">
      <c r="B590" t="str">
        <f t="shared" si="72"/>
        <v>Wielkopolskie</v>
      </c>
      <c r="C590" t="str">
        <f t="shared" si="73"/>
        <v/>
      </c>
      <c r="D590" t="str">
        <f t="shared" si="74"/>
        <v/>
      </c>
      <c r="E590" t="str">
        <f t="shared" si="75"/>
        <v/>
      </c>
      <c r="F590" t="str">
        <f t="shared" si="78"/>
        <v/>
      </c>
      <c r="G590" t="str">
        <f t="shared" si="79"/>
        <v/>
      </c>
      <c r="H590" t="str">
        <f t="shared" si="76"/>
        <v/>
      </c>
      <c r="I590" t="str">
        <f t="shared" si="77"/>
        <v/>
      </c>
    </row>
    <row r="591" spans="2:9" hidden="1">
      <c r="B591" t="str">
        <f t="shared" si="72"/>
        <v>Wielkopolskie</v>
      </c>
      <c r="C591" t="str">
        <f t="shared" si="73"/>
        <v/>
      </c>
      <c r="D591" t="str">
        <f t="shared" si="74"/>
        <v/>
      </c>
      <c r="E591" t="str">
        <f t="shared" si="75"/>
        <v/>
      </c>
      <c r="F591" t="str">
        <f t="shared" si="78"/>
        <v/>
      </c>
      <c r="G591" t="str">
        <f t="shared" si="79"/>
        <v/>
      </c>
      <c r="H591" t="str">
        <f t="shared" si="76"/>
        <v/>
      </c>
      <c r="I591" t="str">
        <f t="shared" si="77"/>
        <v/>
      </c>
    </row>
    <row r="592" spans="2:9" hidden="1">
      <c r="B592" t="str">
        <f t="shared" si="72"/>
        <v>Wielkopolskie</v>
      </c>
      <c r="C592" t="str">
        <f t="shared" si="73"/>
        <v/>
      </c>
      <c r="D592" t="str">
        <f t="shared" si="74"/>
        <v/>
      </c>
      <c r="E592" t="str">
        <f t="shared" si="75"/>
        <v/>
      </c>
      <c r="F592" t="str">
        <f t="shared" si="78"/>
        <v/>
      </c>
      <c r="G592" t="str">
        <f t="shared" si="79"/>
        <v/>
      </c>
      <c r="H592" t="str">
        <f t="shared" si="76"/>
        <v/>
      </c>
      <c r="I592" t="str">
        <f t="shared" si="77"/>
        <v/>
      </c>
    </row>
    <row r="593" spans="2:9" hidden="1">
      <c r="B593" t="str">
        <f t="shared" si="72"/>
        <v>Wielkopolskie</v>
      </c>
      <c r="C593" t="str">
        <f t="shared" si="73"/>
        <v/>
      </c>
      <c r="D593" t="str">
        <f t="shared" si="74"/>
        <v/>
      </c>
      <c r="E593" t="str">
        <f t="shared" si="75"/>
        <v/>
      </c>
      <c r="F593" t="str">
        <f t="shared" si="78"/>
        <v/>
      </c>
      <c r="G593" t="str">
        <f t="shared" si="79"/>
        <v/>
      </c>
      <c r="H593" t="str">
        <f t="shared" si="76"/>
        <v/>
      </c>
      <c r="I593" t="str">
        <f t="shared" si="77"/>
        <v/>
      </c>
    </row>
    <row r="594" spans="2:9" hidden="1">
      <c r="B594" t="str">
        <f t="shared" si="72"/>
        <v>Wielkopolskie</v>
      </c>
      <c r="C594" t="str">
        <f t="shared" si="73"/>
        <v/>
      </c>
      <c r="D594" t="str">
        <f t="shared" si="74"/>
        <v/>
      </c>
      <c r="E594" t="str">
        <f t="shared" si="75"/>
        <v/>
      </c>
      <c r="F594" t="str">
        <f t="shared" si="78"/>
        <v/>
      </c>
      <c r="G594" t="str">
        <f t="shared" si="79"/>
        <v/>
      </c>
      <c r="H594" t="str">
        <f t="shared" si="76"/>
        <v/>
      </c>
      <c r="I594" t="str">
        <f t="shared" si="77"/>
        <v/>
      </c>
    </row>
    <row r="595" spans="2:9" hidden="1">
      <c r="B595" t="str">
        <f t="shared" si="72"/>
        <v>Wielkopolskie</v>
      </c>
      <c r="C595" t="str">
        <f t="shared" si="73"/>
        <v/>
      </c>
      <c r="D595" t="str">
        <f t="shared" si="74"/>
        <v/>
      </c>
      <c r="E595" t="str">
        <f t="shared" si="75"/>
        <v/>
      </c>
      <c r="F595" t="str">
        <f t="shared" si="78"/>
        <v/>
      </c>
      <c r="G595" t="str">
        <f t="shared" si="79"/>
        <v/>
      </c>
      <c r="H595" t="str">
        <f t="shared" si="76"/>
        <v/>
      </c>
      <c r="I595" t="str">
        <f t="shared" si="77"/>
        <v/>
      </c>
    </row>
    <row r="596" spans="2:9" hidden="1">
      <c r="B596" t="str">
        <f t="shared" si="72"/>
        <v>Wielkopolskie</v>
      </c>
      <c r="C596" t="str">
        <f t="shared" si="73"/>
        <v/>
      </c>
      <c r="D596" t="str">
        <f t="shared" si="74"/>
        <v/>
      </c>
      <c r="E596" t="str">
        <f t="shared" si="75"/>
        <v/>
      </c>
      <c r="F596" t="str">
        <f t="shared" si="78"/>
        <v/>
      </c>
      <c r="G596" t="str">
        <f t="shared" si="79"/>
        <v/>
      </c>
      <c r="H596" t="str">
        <f t="shared" si="76"/>
        <v/>
      </c>
      <c r="I596" t="str">
        <f t="shared" si="77"/>
        <v/>
      </c>
    </row>
    <row r="597" spans="2:9" hidden="1">
      <c r="B597" t="str">
        <f t="shared" si="72"/>
        <v>Wielkopolskie</v>
      </c>
      <c r="C597" t="str">
        <f t="shared" si="73"/>
        <v/>
      </c>
      <c r="D597" t="str">
        <f t="shared" si="74"/>
        <v/>
      </c>
      <c r="E597" t="str">
        <f t="shared" si="75"/>
        <v/>
      </c>
      <c r="F597" t="str">
        <f t="shared" si="78"/>
        <v/>
      </c>
      <c r="G597" t="str">
        <f t="shared" si="79"/>
        <v/>
      </c>
      <c r="H597" t="str">
        <f t="shared" si="76"/>
        <v/>
      </c>
      <c r="I597" t="str">
        <f t="shared" si="77"/>
        <v/>
      </c>
    </row>
    <row r="598" spans="2:9" hidden="1">
      <c r="B598" t="str">
        <f t="shared" si="72"/>
        <v>Wielkopolskie</v>
      </c>
      <c r="C598" t="str">
        <f t="shared" si="73"/>
        <v/>
      </c>
      <c r="D598" t="str">
        <f t="shared" si="74"/>
        <v/>
      </c>
      <c r="E598" t="str">
        <f t="shared" si="75"/>
        <v/>
      </c>
      <c r="F598" t="str">
        <f t="shared" si="78"/>
        <v/>
      </c>
      <c r="G598" t="str">
        <f t="shared" si="79"/>
        <v/>
      </c>
      <c r="H598" t="str">
        <f t="shared" si="76"/>
        <v/>
      </c>
      <c r="I598" t="str">
        <f t="shared" si="77"/>
        <v/>
      </c>
    </row>
    <row r="599" spans="2:9" hidden="1">
      <c r="B599" t="str">
        <f t="shared" si="72"/>
        <v>Wielkopolskie</v>
      </c>
      <c r="C599" t="str">
        <f t="shared" si="73"/>
        <v/>
      </c>
      <c r="D599" t="str">
        <f t="shared" si="74"/>
        <v/>
      </c>
      <c r="E599" t="str">
        <f t="shared" si="75"/>
        <v/>
      </c>
      <c r="F599" t="str">
        <f t="shared" si="78"/>
        <v/>
      </c>
      <c r="G599" t="str">
        <f t="shared" si="79"/>
        <v/>
      </c>
      <c r="H599" t="str">
        <f t="shared" si="76"/>
        <v/>
      </c>
      <c r="I599" t="str">
        <f t="shared" si="77"/>
        <v/>
      </c>
    </row>
    <row r="600" spans="2:9" hidden="1">
      <c r="B600" t="str">
        <f t="shared" si="72"/>
        <v>Wielkopolskie</v>
      </c>
      <c r="C600" t="str">
        <f t="shared" si="73"/>
        <v/>
      </c>
      <c r="D600" t="str">
        <f t="shared" si="74"/>
        <v/>
      </c>
      <c r="E600" t="str">
        <f t="shared" si="75"/>
        <v/>
      </c>
      <c r="F600" t="str">
        <f t="shared" si="78"/>
        <v/>
      </c>
      <c r="G600" t="str">
        <f t="shared" si="79"/>
        <v/>
      </c>
      <c r="H600" t="str">
        <f t="shared" si="76"/>
        <v/>
      </c>
      <c r="I600" t="str">
        <f t="shared" si="77"/>
        <v/>
      </c>
    </row>
    <row r="601" spans="2:9" hidden="1">
      <c r="B601" t="str">
        <f t="shared" si="72"/>
        <v>Wielkopolskie</v>
      </c>
      <c r="C601" t="str">
        <f t="shared" si="73"/>
        <v/>
      </c>
      <c r="D601" t="str">
        <f t="shared" si="74"/>
        <v/>
      </c>
      <c r="E601" t="str">
        <f t="shared" si="75"/>
        <v/>
      </c>
      <c r="F601" t="str">
        <f t="shared" si="78"/>
        <v/>
      </c>
      <c r="G601" t="str">
        <f t="shared" si="79"/>
        <v/>
      </c>
      <c r="H601" t="str">
        <f t="shared" si="76"/>
        <v/>
      </c>
      <c r="I601" t="str">
        <f t="shared" si="77"/>
        <v/>
      </c>
    </row>
    <row r="602" spans="2:9" hidden="1">
      <c r="B602" t="str">
        <f t="shared" si="72"/>
        <v>Wielkopolskie</v>
      </c>
      <c r="C602" t="str">
        <f t="shared" si="73"/>
        <v/>
      </c>
      <c r="D602" t="str">
        <f t="shared" si="74"/>
        <v/>
      </c>
      <c r="E602" t="str">
        <f t="shared" si="75"/>
        <v/>
      </c>
      <c r="F602" t="str">
        <f t="shared" si="78"/>
        <v/>
      </c>
      <c r="G602" t="str">
        <f t="shared" si="79"/>
        <v/>
      </c>
      <c r="H602" t="str">
        <f t="shared" si="76"/>
        <v/>
      </c>
      <c r="I602" t="str">
        <f t="shared" si="77"/>
        <v/>
      </c>
    </row>
    <row r="603" spans="2:9" hidden="1">
      <c r="B603" t="str">
        <f t="shared" si="72"/>
        <v>Wielkopolskie</v>
      </c>
      <c r="C603" t="str">
        <f t="shared" si="73"/>
        <v/>
      </c>
      <c r="D603" t="str">
        <f t="shared" si="74"/>
        <v/>
      </c>
      <c r="E603" t="str">
        <f t="shared" si="75"/>
        <v/>
      </c>
      <c r="F603" t="str">
        <f t="shared" si="78"/>
        <v/>
      </c>
      <c r="G603" t="str">
        <f t="shared" si="79"/>
        <v/>
      </c>
      <c r="H603" t="str">
        <f t="shared" si="76"/>
        <v/>
      </c>
      <c r="I603" t="str">
        <f t="shared" si="77"/>
        <v/>
      </c>
    </row>
    <row r="604" spans="2:9" hidden="1">
      <c r="B604" t="str">
        <f t="shared" si="72"/>
        <v>Wielkopolskie</v>
      </c>
      <c r="C604" t="str">
        <f t="shared" si="73"/>
        <v/>
      </c>
      <c r="D604" t="str">
        <f t="shared" si="74"/>
        <v/>
      </c>
      <c r="E604" t="str">
        <f t="shared" si="75"/>
        <v/>
      </c>
      <c r="F604" t="str">
        <f t="shared" si="78"/>
        <v/>
      </c>
      <c r="G604" t="str">
        <f t="shared" si="79"/>
        <v/>
      </c>
      <c r="H604" t="str">
        <f t="shared" si="76"/>
        <v/>
      </c>
      <c r="I604" t="str">
        <f t="shared" si="77"/>
        <v/>
      </c>
    </row>
    <row r="605" spans="2:9" hidden="1">
      <c r="B605" t="str">
        <f t="shared" si="72"/>
        <v>Wielkopolskie</v>
      </c>
      <c r="C605" t="str">
        <f t="shared" si="73"/>
        <v/>
      </c>
      <c r="D605" t="str">
        <f t="shared" si="74"/>
        <v/>
      </c>
      <c r="E605" t="str">
        <f t="shared" si="75"/>
        <v/>
      </c>
      <c r="F605" t="str">
        <f t="shared" si="78"/>
        <v/>
      </c>
      <c r="G605" t="str">
        <f t="shared" si="79"/>
        <v/>
      </c>
      <c r="H605" t="str">
        <f t="shared" si="76"/>
        <v/>
      </c>
      <c r="I605" t="str">
        <f t="shared" si="77"/>
        <v/>
      </c>
    </row>
    <row r="606" spans="2:9" hidden="1">
      <c r="B606" t="str">
        <f t="shared" si="72"/>
        <v>Wielkopolskie</v>
      </c>
      <c r="C606" t="str">
        <f t="shared" si="73"/>
        <v/>
      </c>
      <c r="D606" t="str">
        <f t="shared" si="74"/>
        <v/>
      </c>
      <c r="E606" t="str">
        <f t="shared" si="75"/>
        <v/>
      </c>
      <c r="F606" t="str">
        <f t="shared" si="78"/>
        <v/>
      </c>
      <c r="G606" t="str">
        <f t="shared" si="79"/>
        <v/>
      </c>
      <c r="H606" t="str">
        <f t="shared" si="76"/>
        <v/>
      </c>
      <c r="I606" t="str">
        <f t="shared" si="77"/>
        <v/>
      </c>
    </row>
    <row r="607" spans="2:9" hidden="1">
      <c r="B607" t="str">
        <f t="shared" si="72"/>
        <v>Wielkopolskie</v>
      </c>
      <c r="C607" t="str">
        <f t="shared" si="73"/>
        <v/>
      </c>
      <c r="D607" t="str">
        <f t="shared" si="74"/>
        <v/>
      </c>
      <c r="E607" t="str">
        <f t="shared" si="75"/>
        <v/>
      </c>
      <c r="F607" t="str">
        <f t="shared" si="78"/>
        <v/>
      </c>
      <c r="G607" t="str">
        <f t="shared" si="79"/>
        <v/>
      </c>
      <c r="H607" t="str">
        <f t="shared" si="76"/>
        <v/>
      </c>
      <c r="I607" t="str">
        <f t="shared" si="77"/>
        <v/>
      </c>
    </row>
    <row r="608" spans="2:9" hidden="1">
      <c r="B608" t="str">
        <f t="shared" si="72"/>
        <v>Wielkopolskie</v>
      </c>
      <c r="C608" t="str">
        <f t="shared" si="73"/>
        <v/>
      </c>
      <c r="D608" t="str">
        <f t="shared" si="74"/>
        <v/>
      </c>
      <c r="E608" t="str">
        <f t="shared" si="75"/>
        <v/>
      </c>
      <c r="F608" t="str">
        <f t="shared" si="78"/>
        <v/>
      </c>
      <c r="G608" t="str">
        <f t="shared" si="79"/>
        <v/>
      </c>
      <c r="H608" t="str">
        <f t="shared" si="76"/>
        <v/>
      </c>
      <c r="I608" t="str">
        <f t="shared" si="77"/>
        <v/>
      </c>
    </row>
    <row r="609" spans="2:9" hidden="1">
      <c r="B609" t="str">
        <f t="shared" si="72"/>
        <v>Wielkopolskie</v>
      </c>
      <c r="C609" t="str">
        <f t="shared" si="73"/>
        <v/>
      </c>
      <c r="D609" t="str">
        <f t="shared" si="74"/>
        <v/>
      </c>
      <c r="E609" t="str">
        <f t="shared" si="75"/>
        <v/>
      </c>
      <c r="F609" t="str">
        <f t="shared" si="78"/>
        <v/>
      </c>
      <c r="G609" t="str">
        <f t="shared" si="79"/>
        <v/>
      </c>
      <c r="H609" t="str">
        <f t="shared" si="76"/>
        <v/>
      </c>
      <c r="I609" t="str">
        <f t="shared" si="77"/>
        <v/>
      </c>
    </row>
    <row r="610" spans="2:9" hidden="1">
      <c r="B610" t="str">
        <f t="shared" si="72"/>
        <v>Wielkopolskie</v>
      </c>
      <c r="C610" t="str">
        <f t="shared" si="73"/>
        <v/>
      </c>
      <c r="D610" t="str">
        <f t="shared" si="74"/>
        <v/>
      </c>
      <c r="E610" t="str">
        <f t="shared" si="75"/>
        <v/>
      </c>
      <c r="F610" t="str">
        <f t="shared" si="78"/>
        <v/>
      </c>
      <c r="G610" t="str">
        <f t="shared" si="79"/>
        <v/>
      </c>
      <c r="H610" t="str">
        <f t="shared" si="76"/>
        <v/>
      </c>
      <c r="I610" t="str">
        <f t="shared" si="77"/>
        <v/>
      </c>
    </row>
    <row r="611" spans="2:9" hidden="1">
      <c r="B611" t="str">
        <f t="shared" si="72"/>
        <v>Wielkopolskie</v>
      </c>
      <c r="C611" t="str">
        <f t="shared" si="73"/>
        <v/>
      </c>
      <c r="D611" t="str">
        <f t="shared" si="74"/>
        <v/>
      </c>
      <c r="E611" t="str">
        <f t="shared" si="75"/>
        <v/>
      </c>
      <c r="F611" t="str">
        <f t="shared" si="78"/>
        <v/>
      </c>
      <c r="G611" t="str">
        <f t="shared" si="79"/>
        <v/>
      </c>
      <c r="H611" t="str">
        <f t="shared" si="76"/>
        <v/>
      </c>
      <c r="I611" t="str">
        <f t="shared" si="77"/>
        <v/>
      </c>
    </row>
    <row r="612" spans="2:9" hidden="1">
      <c r="B612" t="str">
        <f t="shared" si="72"/>
        <v>Wielkopolskie</v>
      </c>
      <c r="C612" t="str">
        <f t="shared" si="73"/>
        <v/>
      </c>
      <c r="D612" t="str">
        <f t="shared" si="74"/>
        <v/>
      </c>
      <c r="E612" t="str">
        <f t="shared" si="75"/>
        <v/>
      </c>
      <c r="F612" t="str">
        <f t="shared" si="78"/>
        <v/>
      </c>
      <c r="G612" t="str">
        <f t="shared" si="79"/>
        <v/>
      </c>
      <c r="H612" t="str">
        <f t="shared" si="76"/>
        <v/>
      </c>
      <c r="I612" t="str">
        <f t="shared" si="77"/>
        <v/>
      </c>
    </row>
    <row r="613" spans="2:9" hidden="1">
      <c r="B613" t="str">
        <f t="shared" si="72"/>
        <v>Wielkopolskie</v>
      </c>
      <c r="C613" t="str">
        <f t="shared" si="73"/>
        <v/>
      </c>
      <c r="D613" t="str">
        <f t="shared" si="74"/>
        <v/>
      </c>
      <c r="E613" t="str">
        <f t="shared" si="75"/>
        <v/>
      </c>
      <c r="F613" t="str">
        <f t="shared" si="78"/>
        <v/>
      </c>
      <c r="G613" t="str">
        <f t="shared" si="79"/>
        <v/>
      </c>
      <c r="H613" t="str">
        <f t="shared" si="76"/>
        <v/>
      </c>
      <c r="I613" t="str">
        <f t="shared" si="77"/>
        <v/>
      </c>
    </row>
    <row r="614" spans="2:9" hidden="1">
      <c r="B614" t="str">
        <f t="shared" si="72"/>
        <v>Wielkopolskie</v>
      </c>
      <c r="C614" t="str">
        <f t="shared" si="73"/>
        <v/>
      </c>
      <c r="D614" t="str">
        <f t="shared" si="74"/>
        <v/>
      </c>
      <c r="E614" t="str">
        <f t="shared" si="75"/>
        <v/>
      </c>
      <c r="F614" t="str">
        <f t="shared" si="78"/>
        <v/>
      </c>
      <c r="G614" t="str">
        <f t="shared" si="79"/>
        <v/>
      </c>
      <c r="H614" t="str">
        <f t="shared" si="76"/>
        <v/>
      </c>
      <c r="I614" t="str">
        <f t="shared" si="77"/>
        <v/>
      </c>
    </row>
    <row r="615" spans="2:9" hidden="1">
      <c r="B615" t="str">
        <f t="shared" si="72"/>
        <v>Wielkopolskie</v>
      </c>
      <c r="C615" t="str">
        <f t="shared" si="73"/>
        <v/>
      </c>
      <c r="D615" t="str">
        <f t="shared" si="74"/>
        <v/>
      </c>
      <c r="E615" t="str">
        <f t="shared" si="75"/>
        <v/>
      </c>
      <c r="F615" t="str">
        <f t="shared" si="78"/>
        <v/>
      </c>
      <c r="G615" t="str">
        <f t="shared" si="79"/>
        <v/>
      </c>
      <c r="H615" t="str">
        <f t="shared" si="76"/>
        <v/>
      </c>
      <c r="I615" t="str">
        <f t="shared" si="77"/>
        <v/>
      </c>
    </row>
    <row r="616" spans="2:9" hidden="1">
      <c r="B616" t="str">
        <f t="shared" si="72"/>
        <v>Wielkopolskie</v>
      </c>
      <c r="C616" t="str">
        <f t="shared" si="73"/>
        <v/>
      </c>
      <c r="D616" t="str">
        <f t="shared" si="74"/>
        <v/>
      </c>
      <c r="E616" t="str">
        <f t="shared" si="75"/>
        <v/>
      </c>
      <c r="F616" t="str">
        <f t="shared" si="78"/>
        <v/>
      </c>
      <c r="G616" t="str">
        <f t="shared" si="79"/>
        <v/>
      </c>
      <c r="H616" t="str">
        <f t="shared" si="76"/>
        <v/>
      </c>
      <c r="I616" t="str">
        <f t="shared" si="77"/>
        <v/>
      </c>
    </row>
    <row r="617" spans="2:9" hidden="1">
      <c r="B617" t="str">
        <f t="shared" si="72"/>
        <v>Wielkopolskie</v>
      </c>
      <c r="C617" t="str">
        <f t="shared" si="73"/>
        <v/>
      </c>
      <c r="D617" t="str">
        <f t="shared" si="74"/>
        <v/>
      </c>
      <c r="E617" t="str">
        <f t="shared" si="75"/>
        <v/>
      </c>
      <c r="F617" t="str">
        <f t="shared" si="78"/>
        <v/>
      </c>
      <c r="G617" t="str">
        <f t="shared" si="79"/>
        <v/>
      </c>
      <c r="H617" t="str">
        <f t="shared" si="76"/>
        <v/>
      </c>
      <c r="I617" t="str">
        <f t="shared" si="77"/>
        <v/>
      </c>
    </row>
    <row r="618" spans="2:9" hidden="1">
      <c r="B618" t="str">
        <f t="shared" si="72"/>
        <v>Wielkopolskie</v>
      </c>
      <c r="C618" t="str">
        <f t="shared" si="73"/>
        <v/>
      </c>
      <c r="D618" t="str">
        <f t="shared" si="74"/>
        <v/>
      </c>
      <c r="E618" t="str">
        <f t="shared" si="75"/>
        <v/>
      </c>
      <c r="F618" t="str">
        <f t="shared" si="78"/>
        <v/>
      </c>
      <c r="G618" t="str">
        <f t="shared" si="79"/>
        <v/>
      </c>
      <c r="H618" t="str">
        <f t="shared" si="76"/>
        <v/>
      </c>
      <c r="I618" t="str">
        <f t="shared" si="77"/>
        <v/>
      </c>
    </row>
    <row r="619" spans="2:9" hidden="1">
      <c r="B619" t="str">
        <f t="shared" si="72"/>
        <v>Wielkopolskie</v>
      </c>
      <c r="C619" t="str">
        <f t="shared" si="73"/>
        <v/>
      </c>
      <c r="D619" t="str">
        <f t="shared" si="74"/>
        <v/>
      </c>
      <c r="E619" t="str">
        <f t="shared" si="75"/>
        <v/>
      </c>
      <c r="F619" t="str">
        <f t="shared" si="78"/>
        <v/>
      </c>
      <c r="G619" t="str">
        <f t="shared" si="79"/>
        <v/>
      </c>
      <c r="H619" t="str">
        <f t="shared" si="76"/>
        <v/>
      </c>
      <c r="I619" t="str">
        <f t="shared" si="77"/>
        <v/>
      </c>
    </row>
    <row r="620" spans="2:9" hidden="1">
      <c r="B620" t="str">
        <f t="shared" si="72"/>
        <v>Wielkopolskie</v>
      </c>
      <c r="C620" t="str">
        <f t="shared" si="73"/>
        <v/>
      </c>
      <c r="D620" t="str">
        <f t="shared" si="74"/>
        <v/>
      </c>
      <c r="E620" t="str">
        <f t="shared" si="75"/>
        <v/>
      </c>
      <c r="F620" t="str">
        <f t="shared" si="78"/>
        <v/>
      </c>
      <c r="G620" t="str">
        <f t="shared" si="79"/>
        <v/>
      </c>
      <c r="H620" t="str">
        <f t="shared" si="76"/>
        <v/>
      </c>
      <c r="I620" t="str">
        <f t="shared" si="77"/>
        <v/>
      </c>
    </row>
    <row r="621" spans="2:9" hidden="1">
      <c r="B621" t="str">
        <f t="shared" si="72"/>
        <v>Wielkopolskie</v>
      </c>
      <c r="C621" t="str">
        <f t="shared" si="73"/>
        <v/>
      </c>
      <c r="D621" t="str">
        <f t="shared" si="74"/>
        <v/>
      </c>
      <c r="E621" t="str">
        <f t="shared" si="75"/>
        <v/>
      </c>
      <c r="F621" t="str">
        <f t="shared" si="78"/>
        <v/>
      </c>
      <c r="G621" t="str">
        <f t="shared" si="79"/>
        <v/>
      </c>
      <c r="H621" t="str">
        <f t="shared" si="76"/>
        <v/>
      </c>
      <c r="I621" t="str">
        <f t="shared" si="77"/>
        <v/>
      </c>
    </row>
    <row r="622" spans="2:9" hidden="1">
      <c r="B622" t="str">
        <f t="shared" si="72"/>
        <v>Wielkopolskie</v>
      </c>
      <c r="C622" t="str">
        <f t="shared" si="73"/>
        <v/>
      </c>
      <c r="D622" t="str">
        <f t="shared" si="74"/>
        <v/>
      </c>
      <c r="E622" t="str">
        <f t="shared" si="75"/>
        <v/>
      </c>
      <c r="F622" t="str">
        <f t="shared" si="78"/>
        <v/>
      </c>
      <c r="G622" t="str">
        <f t="shared" si="79"/>
        <v/>
      </c>
      <c r="H622" t="str">
        <f t="shared" si="76"/>
        <v/>
      </c>
      <c r="I622" t="str">
        <f t="shared" si="77"/>
        <v/>
      </c>
    </row>
    <row r="623" spans="2:9" hidden="1">
      <c r="B623" t="str">
        <f t="shared" si="72"/>
        <v>Wielkopolskie</v>
      </c>
      <c r="C623" t="str">
        <f t="shared" si="73"/>
        <v/>
      </c>
      <c r="D623" t="str">
        <f t="shared" si="74"/>
        <v/>
      </c>
      <c r="E623" t="str">
        <f t="shared" si="75"/>
        <v/>
      </c>
      <c r="F623" t="str">
        <f t="shared" si="78"/>
        <v/>
      </c>
      <c r="G623" t="str">
        <f t="shared" si="79"/>
        <v/>
      </c>
      <c r="H623" t="str">
        <f t="shared" si="76"/>
        <v/>
      </c>
      <c r="I623" t="str">
        <f t="shared" si="77"/>
        <v/>
      </c>
    </row>
    <row r="624" spans="2:9" hidden="1">
      <c r="B624" t="str">
        <f t="shared" si="72"/>
        <v>Wielkopolskie</v>
      </c>
      <c r="C624" t="str">
        <f t="shared" si="73"/>
        <v/>
      </c>
      <c r="D624" t="str">
        <f t="shared" si="74"/>
        <v/>
      </c>
      <c r="E624" t="str">
        <f t="shared" si="75"/>
        <v/>
      </c>
      <c r="F624" t="str">
        <f t="shared" si="78"/>
        <v/>
      </c>
      <c r="G624" t="str">
        <f t="shared" si="79"/>
        <v/>
      </c>
      <c r="H624" t="str">
        <f t="shared" si="76"/>
        <v/>
      </c>
      <c r="I624" t="str">
        <f t="shared" si="77"/>
        <v/>
      </c>
    </row>
    <row r="625" spans="2:9" hidden="1">
      <c r="B625" t="str">
        <f t="shared" si="72"/>
        <v>Wielkopolskie</v>
      </c>
      <c r="C625" t="str">
        <f t="shared" si="73"/>
        <v/>
      </c>
      <c r="D625" t="str">
        <f t="shared" si="74"/>
        <v/>
      </c>
      <c r="E625" t="str">
        <f t="shared" si="75"/>
        <v/>
      </c>
      <c r="F625" t="str">
        <f t="shared" si="78"/>
        <v/>
      </c>
      <c r="G625" t="str">
        <f t="shared" si="79"/>
        <v/>
      </c>
      <c r="H625" t="str">
        <f t="shared" si="76"/>
        <v/>
      </c>
      <c r="I625" t="str">
        <f t="shared" si="77"/>
        <v/>
      </c>
    </row>
    <row r="626" spans="2:9" hidden="1">
      <c r="B626" t="str">
        <f t="shared" si="72"/>
        <v>Wielkopolskie</v>
      </c>
      <c r="C626" t="str">
        <f t="shared" si="73"/>
        <v/>
      </c>
      <c r="D626" t="str">
        <f t="shared" si="74"/>
        <v/>
      </c>
      <c r="E626" t="str">
        <f t="shared" si="75"/>
        <v/>
      </c>
      <c r="F626" t="str">
        <f t="shared" si="78"/>
        <v/>
      </c>
      <c r="G626" t="str">
        <f t="shared" si="79"/>
        <v/>
      </c>
      <c r="H626" t="str">
        <f t="shared" si="76"/>
        <v/>
      </c>
      <c r="I626" t="str">
        <f t="shared" si="77"/>
        <v/>
      </c>
    </row>
    <row r="627" spans="2:9" hidden="1">
      <c r="B627" t="str">
        <f t="shared" si="72"/>
        <v>Wielkopolskie</v>
      </c>
      <c r="C627" t="str">
        <f t="shared" si="73"/>
        <v/>
      </c>
      <c r="D627" t="str">
        <f t="shared" si="74"/>
        <v/>
      </c>
      <c r="E627" t="str">
        <f t="shared" si="75"/>
        <v/>
      </c>
      <c r="F627" t="str">
        <f t="shared" si="78"/>
        <v/>
      </c>
      <c r="G627" t="str">
        <f t="shared" si="79"/>
        <v/>
      </c>
      <c r="H627" t="str">
        <f t="shared" si="76"/>
        <v/>
      </c>
      <c r="I627" t="str">
        <f t="shared" si="77"/>
        <v/>
      </c>
    </row>
    <row r="628" spans="2:9" hidden="1">
      <c r="B628" t="str">
        <f t="shared" si="72"/>
        <v>Wielkopolskie</v>
      </c>
      <c r="C628" t="str">
        <f t="shared" si="73"/>
        <v/>
      </c>
      <c r="D628" t="str">
        <f t="shared" si="74"/>
        <v/>
      </c>
      <c r="E628" t="str">
        <f t="shared" si="75"/>
        <v/>
      </c>
      <c r="F628" t="str">
        <f t="shared" si="78"/>
        <v/>
      </c>
      <c r="G628" t="str">
        <f t="shared" si="79"/>
        <v/>
      </c>
      <c r="H628" t="str">
        <f t="shared" si="76"/>
        <v/>
      </c>
      <c r="I628" t="str">
        <f t="shared" si="77"/>
        <v/>
      </c>
    </row>
    <row r="629" spans="2:9" hidden="1">
      <c r="B629" t="str">
        <f t="shared" si="72"/>
        <v>Wielkopolskie</v>
      </c>
      <c r="C629" t="str">
        <f t="shared" si="73"/>
        <v/>
      </c>
      <c r="D629" t="str">
        <f t="shared" si="74"/>
        <v/>
      </c>
      <c r="E629" t="str">
        <f t="shared" si="75"/>
        <v/>
      </c>
      <c r="F629" t="str">
        <f t="shared" si="78"/>
        <v/>
      </c>
      <c r="G629" t="str">
        <f t="shared" si="79"/>
        <v/>
      </c>
      <c r="H629" t="str">
        <f t="shared" si="76"/>
        <v/>
      </c>
      <c r="I629" t="str">
        <f t="shared" si="77"/>
        <v/>
      </c>
    </row>
    <row r="630" spans="2:9" hidden="1">
      <c r="B630" t="str">
        <f t="shared" si="72"/>
        <v>Wielkopolskie</v>
      </c>
      <c r="C630" t="str">
        <f t="shared" si="73"/>
        <v/>
      </c>
      <c r="D630" t="str">
        <f t="shared" si="74"/>
        <v/>
      </c>
      <c r="E630" t="str">
        <f t="shared" si="75"/>
        <v/>
      </c>
      <c r="F630" t="str">
        <f t="shared" si="78"/>
        <v/>
      </c>
      <c r="G630" t="str">
        <f t="shared" si="79"/>
        <v/>
      </c>
      <c r="H630" t="str">
        <f t="shared" si="76"/>
        <v/>
      </c>
      <c r="I630" t="str">
        <f t="shared" si="77"/>
        <v/>
      </c>
    </row>
    <row r="631" spans="2:9" hidden="1">
      <c r="B631" t="str">
        <f t="shared" si="72"/>
        <v>Wielkopolskie</v>
      </c>
      <c r="C631" t="str">
        <f t="shared" si="73"/>
        <v/>
      </c>
      <c r="D631" t="str">
        <f t="shared" si="74"/>
        <v/>
      </c>
      <c r="E631" t="str">
        <f t="shared" si="75"/>
        <v/>
      </c>
      <c r="F631" t="str">
        <f t="shared" si="78"/>
        <v/>
      </c>
      <c r="G631" t="str">
        <f t="shared" si="79"/>
        <v/>
      </c>
      <c r="H631" t="str">
        <f t="shared" si="76"/>
        <v/>
      </c>
      <c r="I631" t="str">
        <f t="shared" si="77"/>
        <v/>
      </c>
    </row>
    <row r="632" spans="2:9" hidden="1">
      <c r="B632" t="str">
        <f t="shared" si="72"/>
        <v>Wielkopolskie</v>
      </c>
      <c r="C632" t="str">
        <f t="shared" si="73"/>
        <v/>
      </c>
      <c r="D632" t="str">
        <f t="shared" si="74"/>
        <v/>
      </c>
      <c r="E632" t="str">
        <f t="shared" si="75"/>
        <v/>
      </c>
      <c r="F632" t="str">
        <f t="shared" si="78"/>
        <v/>
      </c>
      <c r="G632" t="str">
        <f t="shared" si="79"/>
        <v/>
      </c>
      <c r="H632" t="str">
        <f t="shared" si="76"/>
        <v/>
      </c>
      <c r="I632" t="str">
        <f t="shared" si="77"/>
        <v/>
      </c>
    </row>
    <row r="633" spans="2:9" hidden="1">
      <c r="B633" t="str">
        <f t="shared" si="72"/>
        <v>Wielkopolskie</v>
      </c>
      <c r="C633" t="str">
        <f t="shared" si="73"/>
        <v/>
      </c>
      <c r="D633" t="str">
        <f t="shared" si="74"/>
        <v/>
      </c>
      <c r="E633" t="str">
        <f t="shared" si="75"/>
        <v/>
      </c>
      <c r="F633" t="str">
        <f t="shared" si="78"/>
        <v/>
      </c>
      <c r="G633" t="str">
        <f t="shared" si="79"/>
        <v/>
      </c>
      <c r="H633" t="str">
        <f t="shared" si="76"/>
        <v/>
      </c>
      <c r="I633" t="str">
        <f t="shared" si="77"/>
        <v/>
      </c>
    </row>
    <row r="634" spans="2:9" hidden="1">
      <c r="B634" t="str">
        <f t="shared" si="72"/>
        <v>Wielkopolskie</v>
      </c>
      <c r="C634" t="str">
        <f t="shared" si="73"/>
        <v/>
      </c>
      <c r="D634" t="str">
        <f t="shared" si="74"/>
        <v/>
      </c>
      <c r="E634" t="str">
        <f t="shared" si="75"/>
        <v/>
      </c>
      <c r="F634" t="str">
        <f t="shared" si="78"/>
        <v/>
      </c>
      <c r="G634" t="str">
        <f t="shared" si="79"/>
        <v/>
      </c>
      <c r="H634" t="str">
        <f t="shared" si="76"/>
        <v/>
      </c>
      <c r="I634" t="str">
        <f t="shared" si="77"/>
        <v/>
      </c>
    </row>
    <row r="635" spans="2:9" hidden="1">
      <c r="B635" t="str">
        <f t="shared" si="72"/>
        <v>Wielkopolskie</v>
      </c>
      <c r="C635" t="str">
        <f t="shared" si="73"/>
        <v/>
      </c>
      <c r="D635" t="str">
        <f t="shared" si="74"/>
        <v/>
      </c>
      <c r="E635" t="str">
        <f t="shared" si="75"/>
        <v/>
      </c>
      <c r="F635" t="str">
        <f t="shared" si="78"/>
        <v/>
      </c>
      <c r="G635" t="str">
        <f t="shared" si="79"/>
        <v/>
      </c>
      <c r="H635" t="str">
        <f t="shared" si="76"/>
        <v/>
      </c>
      <c r="I635" t="str">
        <f t="shared" si="77"/>
        <v/>
      </c>
    </row>
    <row r="636" spans="2:9" hidden="1">
      <c r="B636" t="str">
        <f t="shared" si="72"/>
        <v>Wielkopolskie</v>
      </c>
      <c r="C636" t="str">
        <f t="shared" si="73"/>
        <v/>
      </c>
      <c r="D636" t="str">
        <f t="shared" si="74"/>
        <v/>
      </c>
      <c r="E636" t="str">
        <f t="shared" si="75"/>
        <v/>
      </c>
      <c r="F636" t="str">
        <f t="shared" si="78"/>
        <v/>
      </c>
      <c r="G636" t="str">
        <f t="shared" si="79"/>
        <v/>
      </c>
      <c r="H636" t="str">
        <f t="shared" si="76"/>
        <v/>
      </c>
      <c r="I636" t="str">
        <f t="shared" si="77"/>
        <v/>
      </c>
    </row>
    <row r="637" spans="2:9" hidden="1">
      <c r="B637" t="str">
        <f t="shared" si="72"/>
        <v>Wielkopolskie</v>
      </c>
      <c r="C637" t="str">
        <f t="shared" si="73"/>
        <v/>
      </c>
      <c r="D637" t="str">
        <f t="shared" si="74"/>
        <v/>
      </c>
      <c r="E637" t="str">
        <f t="shared" si="75"/>
        <v/>
      </c>
      <c r="F637" t="str">
        <f t="shared" si="78"/>
        <v/>
      </c>
      <c r="G637" t="str">
        <f t="shared" si="79"/>
        <v/>
      </c>
      <c r="H637" t="str">
        <f t="shared" si="76"/>
        <v/>
      </c>
      <c r="I637" t="str">
        <f t="shared" si="77"/>
        <v/>
      </c>
    </row>
    <row r="638" spans="2:9" hidden="1">
      <c r="B638" t="str">
        <f t="shared" si="72"/>
        <v>Wielkopolskie</v>
      </c>
      <c r="C638" t="str">
        <f t="shared" si="73"/>
        <v/>
      </c>
      <c r="D638" t="str">
        <f t="shared" si="74"/>
        <v/>
      </c>
      <c r="E638" t="str">
        <f t="shared" si="75"/>
        <v/>
      </c>
      <c r="F638" t="str">
        <f t="shared" si="78"/>
        <v/>
      </c>
      <c r="G638" t="str">
        <f t="shared" si="79"/>
        <v/>
      </c>
      <c r="H638" t="str">
        <f t="shared" si="76"/>
        <v/>
      </c>
      <c r="I638" t="str">
        <f t="shared" si="77"/>
        <v/>
      </c>
    </row>
    <row r="639" spans="2:9" hidden="1">
      <c r="B639" t="str">
        <f t="shared" si="72"/>
        <v>Wielkopolskie</v>
      </c>
      <c r="C639" t="str">
        <f t="shared" si="73"/>
        <v/>
      </c>
      <c r="D639" t="str">
        <f t="shared" si="74"/>
        <v/>
      </c>
      <c r="E639" t="str">
        <f t="shared" si="75"/>
        <v/>
      </c>
      <c r="F639" t="str">
        <f t="shared" si="78"/>
        <v/>
      </c>
      <c r="G639" t="str">
        <f t="shared" si="79"/>
        <v/>
      </c>
      <c r="H639" t="str">
        <f t="shared" si="76"/>
        <v/>
      </c>
      <c r="I639" t="str">
        <f t="shared" si="77"/>
        <v/>
      </c>
    </row>
    <row r="640" spans="2:9" hidden="1">
      <c r="B640" t="str">
        <f t="shared" si="72"/>
        <v>Wielkopolskie</v>
      </c>
      <c r="C640" t="str">
        <f t="shared" si="73"/>
        <v/>
      </c>
      <c r="D640" t="str">
        <f t="shared" si="74"/>
        <v/>
      </c>
      <c r="E640" t="str">
        <f t="shared" si="75"/>
        <v/>
      </c>
      <c r="F640" t="str">
        <f t="shared" si="78"/>
        <v/>
      </c>
      <c r="G640" t="str">
        <f t="shared" si="79"/>
        <v/>
      </c>
      <c r="H640" t="str">
        <f t="shared" si="76"/>
        <v/>
      </c>
      <c r="I640" t="str">
        <f t="shared" si="77"/>
        <v/>
      </c>
    </row>
    <row r="641" spans="2:9" hidden="1">
      <c r="B641" t="str">
        <f t="shared" si="72"/>
        <v>Wielkopolskie</v>
      </c>
      <c r="C641" t="str">
        <f t="shared" si="73"/>
        <v/>
      </c>
      <c r="D641" t="str">
        <f t="shared" si="74"/>
        <v/>
      </c>
      <c r="E641" t="str">
        <f t="shared" si="75"/>
        <v/>
      </c>
      <c r="F641" t="str">
        <f t="shared" si="78"/>
        <v/>
      </c>
      <c r="G641" t="str">
        <f t="shared" si="79"/>
        <v/>
      </c>
      <c r="H641" t="str">
        <f t="shared" si="76"/>
        <v/>
      </c>
      <c r="I641" t="str">
        <f t="shared" si="77"/>
        <v/>
      </c>
    </row>
    <row r="642" spans="2:9" hidden="1">
      <c r="B642" t="str">
        <f t="shared" ref="B642:B705" si="80">+IF(AND(C642&gt;"",ISERR(FIND("DKK",A641))),A641,B641)</f>
        <v>Wielkopolskie</v>
      </c>
      <c r="C642" t="str">
        <f t="shared" ref="C642:C705" si="81">IF(ISERR(FIND($C$1,A642,1)),"",A642)</f>
        <v/>
      </c>
      <c r="D642" t="str">
        <f t="shared" ref="D642:D705" si="82">IF(C642&gt;"",A643,"")</f>
        <v/>
      </c>
      <c r="E642" t="str">
        <f t="shared" ref="E642:E705" si="83">IF(C642&gt;"",A644,"")</f>
        <v/>
      </c>
      <c r="F642" t="str">
        <f t="shared" si="78"/>
        <v/>
      </c>
      <c r="G642" t="str">
        <f t="shared" si="79"/>
        <v/>
      </c>
      <c r="H642" t="str">
        <f t="shared" ref="H642:H705" si="84">IF(E642&gt;"",IF(ISERR(FIND("DKK",A648)),"",A648),"")</f>
        <v/>
      </c>
      <c r="I642" t="str">
        <f t="shared" ref="I642:I705" si="85">IF(E642&gt;"",IF(ISERR(FIND("DKK",A649)),"",A649),"")</f>
        <v/>
      </c>
    </row>
    <row r="643" spans="2:9" hidden="1">
      <c r="B643" t="str">
        <f t="shared" si="80"/>
        <v>Wielkopolskie</v>
      </c>
      <c r="C643" t="str">
        <f t="shared" si="81"/>
        <v/>
      </c>
      <c r="D643" t="str">
        <f t="shared" si="82"/>
        <v/>
      </c>
      <c r="E643" t="str">
        <f t="shared" si="83"/>
        <v/>
      </c>
      <c r="F643" t="str">
        <f t="shared" ref="F643:F706" si="86">IF(C643&gt;"",MID(A647,FIND("tel.",A647)+5,15),"")</f>
        <v/>
      </c>
      <c r="G643" t="str">
        <f t="shared" ref="G643:G706" si="87">IF(E643&gt;"",MID(A646,FIND("mail:",A646)+6,100),"")</f>
        <v/>
      </c>
      <c r="H643" t="str">
        <f t="shared" si="84"/>
        <v/>
      </c>
      <c r="I643" t="str">
        <f t="shared" si="85"/>
        <v/>
      </c>
    </row>
    <row r="644" spans="2:9" hidden="1">
      <c r="B644" t="str">
        <f t="shared" si="80"/>
        <v>Wielkopolskie</v>
      </c>
      <c r="C644" t="str">
        <f t="shared" si="81"/>
        <v/>
      </c>
      <c r="D644" t="str">
        <f t="shared" si="82"/>
        <v/>
      </c>
      <c r="E644" t="str">
        <f t="shared" si="83"/>
        <v/>
      </c>
      <c r="F644" t="str">
        <f t="shared" si="86"/>
        <v/>
      </c>
      <c r="G644" t="str">
        <f t="shared" si="87"/>
        <v/>
      </c>
      <c r="H644" t="str">
        <f t="shared" si="84"/>
        <v/>
      </c>
      <c r="I644" t="str">
        <f t="shared" si="85"/>
        <v/>
      </c>
    </row>
    <row r="645" spans="2:9" hidden="1">
      <c r="B645" t="str">
        <f t="shared" si="80"/>
        <v>Wielkopolskie</v>
      </c>
      <c r="C645" t="str">
        <f t="shared" si="81"/>
        <v/>
      </c>
      <c r="D645" t="str">
        <f t="shared" si="82"/>
        <v/>
      </c>
      <c r="E645" t="str">
        <f t="shared" si="83"/>
        <v/>
      </c>
      <c r="F645" t="str">
        <f t="shared" si="86"/>
        <v/>
      </c>
      <c r="G645" t="str">
        <f t="shared" si="87"/>
        <v/>
      </c>
      <c r="H645" t="str">
        <f t="shared" si="84"/>
        <v/>
      </c>
      <c r="I645" t="str">
        <f t="shared" si="85"/>
        <v/>
      </c>
    </row>
    <row r="646" spans="2:9" hidden="1">
      <c r="B646" t="str">
        <f t="shared" si="80"/>
        <v>Wielkopolskie</v>
      </c>
      <c r="C646" t="str">
        <f t="shared" si="81"/>
        <v/>
      </c>
      <c r="D646" t="str">
        <f t="shared" si="82"/>
        <v/>
      </c>
      <c r="E646" t="str">
        <f t="shared" si="83"/>
        <v/>
      </c>
      <c r="F646" t="str">
        <f t="shared" si="86"/>
        <v/>
      </c>
      <c r="G646" t="str">
        <f t="shared" si="87"/>
        <v/>
      </c>
      <c r="H646" t="str">
        <f t="shared" si="84"/>
        <v/>
      </c>
      <c r="I646" t="str">
        <f t="shared" si="85"/>
        <v/>
      </c>
    </row>
    <row r="647" spans="2:9" hidden="1">
      <c r="B647" t="str">
        <f t="shared" si="80"/>
        <v>Wielkopolskie</v>
      </c>
      <c r="C647" t="str">
        <f t="shared" si="81"/>
        <v/>
      </c>
      <c r="D647" t="str">
        <f t="shared" si="82"/>
        <v/>
      </c>
      <c r="E647" t="str">
        <f t="shared" si="83"/>
        <v/>
      </c>
      <c r="F647" t="str">
        <f t="shared" si="86"/>
        <v/>
      </c>
      <c r="G647" t="str">
        <f t="shared" si="87"/>
        <v/>
      </c>
      <c r="H647" t="str">
        <f t="shared" si="84"/>
        <v/>
      </c>
      <c r="I647" t="str">
        <f t="shared" si="85"/>
        <v/>
      </c>
    </row>
    <row r="648" spans="2:9" hidden="1">
      <c r="B648" t="str">
        <f t="shared" si="80"/>
        <v>Wielkopolskie</v>
      </c>
      <c r="C648" t="str">
        <f t="shared" si="81"/>
        <v/>
      </c>
      <c r="D648" t="str">
        <f t="shared" si="82"/>
        <v/>
      </c>
      <c r="E648" t="str">
        <f t="shared" si="83"/>
        <v/>
      </c>
      <c r="F648" t="str">
        <f t="shared" si="86"/>
        <v/>
      </c>
      <c r="G648" t="str">
        <f t="shared" si="87"/>
        <v/>
      </c>
      <c r="H648" t="str">
        <f t="shared" si="84"/>
        <v/>
      </c>
      <c r="I648" t="str">
        <f t="shared" si="85"/>
        <v/>
      </c>
    </row>
    <row r="649" spans="2:9" hidden="1">
      <c r="B649" t="str">
        <f t="shared" si="80"/>
        <v>Wielkopolskie</v>
      </c>
      <c r="C649" t="str">
        <f t="shared" si="81"/>
        <v/>
      </c>
      <c r="D649" t="str">
        <f t="shared" si="82"/>
        <v/>
      </c>
      <c r="E649" t="str">
        <f t="shared" si="83"/>
        <v/>
      </c>
      <c r="F649" t="str">
        <f t="shared" si="86"/>
        <v/>
      </c>
      <c r="G649" t="str">
        <f t="shared" si="87"/>
        <v/>
      </c>
      <c r="H649" t="str">
        <f t="shared" si="84"/>
        <v/>
      </c>
      <c r="I649" t="str">
        <f t="shared" si="85"/>
        <v/>
      </c>
    </row>
    <row r="650" spans="2:9" hidden="1">
      <c r="B650" t="str">
        <f t="shared" si="80"/>
        <v>Wielkopolskie</v>
      </c>
      <c r="C650" t="str">
        <f t="shared" si="81"/>
        <v/>
      </c>
      <c r="D650" t="str">
        <f t="shared" si="82"/>
        <v/>
      </c>
      <c r="E650" t="str">
        <f t="shared" si="83"/>
        <v/>
      </c>
      <c r="F650" t="str">
        <f t="shared" si="86"/>
        <v/>
      </c>
      <c r="G650" t="str">
        <f t="shared" si="87"/>
        <v/>
      </c>
      <c r="H650" t="str">
        <f t="shared" si="84"/>
        <v/>
      </c>
      <c r="I650" t="str">
        <f t="shared" si="85"/>
        <v/>
      </c>
    </row>
    <row r="651" spans="2:9" hidden="1">
      <c r="B651" t="str">
        <f t="shared" si="80"/>
        <v>Wielkopolskie</v>
      </c>
      <c r="C651" t="str">
        <f t="shared" si="81"/>
        <v/>
      </c>
      <c r="D651" t="str">
        <f t="shared" si="82"/>
        <v/>
      </c>
      <c r="E651" t="str">
        <f t="shared" si="83"/>
        <v/>
      </c>
      <c r="F651" t="str">
        <f t="shared" si="86"/>
        <v/>
      </c>
      <c r="G651" t="str">
        <f t="shared" si="87"/>
        <v/>
      </c>
      <c r="H651" t="str">
        <f t="shared" si="84"/>
        <v/>
      </c>
      <c r="I651" t="str">
        <f t="shared" si="85"/>
        <v/>
      </c>
    </row>
    <row r="652" spans="2:9" hidden="1">
      <c r="B652" t="str">
        <f t="shared" si="80"/>
        <v>Wielkopolskie</v>
      </c>
      <c r="C652" t="str">
        <f t="shared" si="81"/>
        <v/>
      </c>
      <c r="D652" t="str">
        <f t="shared" si="82"/>
        <v/>
      </c>
      <c r="E652" t="str">
        <f t="shared" si="83"/>
        <v/>
      </c>
      <c r="F652" t="str">
        <f t="shared" si="86"/>
        <v/>
      </c>
      <c r="G652" t="str">
        <f t="shared" si="87"/>
        <v/>
      </c>
      <c r="H652" t="str">
        <f t="shared" si="84"/>
        <v/>
      </c>
      <c r="I652" t="str">
        <f t="shared" si="85"/>
        <v/>
      </c>
    </row>
    <row r="653" spans="2:9" hidden="1">
      <c r="B653" t="str">
        <f t="shared" si="80"/>
        <v>Wielkopolskie</v>
      </c>
      <c r="C653" t="str">
        <f t="shared" si="81"/>
        <v/>
      </c>
      <c r="D653" t="str">
        <f t="shared" si="82"/>
        <v/>
      </c>
      <c r="E653" t="str">
        <f t="shared" si="83"/>
        <v/>
      </c>
      <c r="F653" t="str">
        <f t="shared" si="86"/>
        <v/>
      </c>
      <c r="G653" t="str">
        <f t="shared" si="87"/>
        <v/>
      </c>
      <c r="H653" t="str">
        <f t="shared" si="84"/>
        <v/>
      </c>
      <c r="I653" t="str">
        <f t="shared" si="85"/>
        <v/>
      </c>
    </row>
    <row r="654" spans="2:9" hidden="1">
      <c r="B654" t="str">
        <f t="shared" si="80"/>
        <v>Wielkopolskie</v>
      </c>
      <c r="C654" t="str">
        <f t="shared" si="81"/>
        <v/>
      </c>
      <c r="D654" t="str">
        <f t="shared" si="82"/>
        <v/>
      </c>
      <c r="E654" t="str">
        <f t="shared" si="83"/>
        <v/>
      </c>
      <c r="F654" t="str">
        <f t="shared" si="86"/>
        <v/>
      </c>
      <c r="G654" t="str">
        <f t="shared" si="87"/>
        <v/>
      </c>
      <c r="H654" t="str">
        <f t="shared" si="84"/>
        <v/>
      </c>
      <c r="I654" t="str">
        <f t="shared" si="85"/>
        <v/>
      </c>
    </row>
    <row r="655" spans="2:9" hidden="1">
      <c r="B655" t="str">
        <f t="shared" si="80"/>
        <v>Wielkopolskie</v>
      </c>
      <c r="C655" t="str">
        <f t="shared" si="81"/>
        <v/>
      </c>
      <c r="D655" t="str">
        <f t="shared" si="82"/>
        <v/>
      </c>
      <c r="E655" t="str">
        <f t="shared" si="83"/>
        <v/>
      </c>
      <c r="F655" t="str">
        <f t="shared" si="86"/>
        <v/>
      </c>
      <c r="G655" t="str">
        <f t="shared" si="87"/>
        <v/>
      </c>
      <c r="H655" t="str">
        <f t="shared" si="84"/>
        <v/>
      </c>
      <c r="I655" t="str">
        <f t="shared" si="85"/>
        <v/>
      </c>
    </row>
    <row r="656" spans="2:9" hidden="1">
      <c r="B656" t="str">
        <f t="shared" si="80"/>
        <v>Wielkopolskie</v>
      </c>
      <c r="C656" t="str">
        <f t="shared" si="81"/>
        <v/>
      </c>
      <c r="D656" t="str">
        <f t="shared" si="82"/>
        <v/>
      </c>
      <c r="E656" t="str">
        <f t="shared" si="83"/>
        <v/>
      </c>
      <c r="F656" t="str">
        <f t="shared" si="86"/>
        <v/>
      </c>
      <c r="G656" t="str">
        <f t="shared" si="87"/>
        <v/>
      </c>
      <c r="H656" t="str">
        <f t="shared" si="84"/>
        <v/>
      </c>
      <c r="I656" t="str">
        <f t="shared" si="85"/>
        <v/>
      </c>
    </row>
    <row r="657" spans="2:9" hidden="1">
      <c r="B657" t="str">
        <f t="shared" si="80"/>
        <v>Wielkopolskie</v>
      </c>
      <c r="C657" t="str">
        <f t="shared" si="81"/>
        <v/>
      </c>
      <c r="D657" t="str">
        <f t="shared" si="82"/>
        <v/>
      </c>
      <c r="E657" t="str">
        <f t="shared" si="83"/>
        <v/>
      </c>
      <c r="F657" t="str">
        <f t="shared" si="86"/>
        <v/>
      </c>
      <c r="G657" t="str">
        <f t="shared" si="87"/>
        <v/>
      </c>
      <c r="H657" t="str">
        <f t="shared" si="84"/>
        <v/>
      </c>
      <c r="I657" t="str">
        <f t="shared" si="85"/>
        <v/>
      </c>
    </row>
    <row r="658" spans="2:9" hidden="1">
      <c r="B658" t="str">
        <f t="shared" si="80"/>
        <v>Wielkopolskie</v>
      </c>
      <c r="C658" t="str">
        <f t="shared" si="81"/>
        <v/>
      </c>
      <c r="D658" t="str">
        <f t="shared" si="82"/>
        <v/>
      </c>
      <c r="E658" t="str">
        <f t="shared" si="83"/>
        <v/>
      </c>
      <c r="F658" t="str">
        <f t="shared" si="86"/>
        <v/>
      </c>
      <c r="G658" t="str">
        <f t="shared" si="87"/>
        <v/>
      </c>
      <c r="H658" t="str">
        <f t="shared" si="84"/>
        <v/>
      </c>
      <c r="I658" t="str">
        <f t="shared" si="85"/>
        <v/>
      </c>
    </row>
    <row r="659" spans="2:9" hidden="1">
      <c r="B659" t="str">
        <f t="shared" si="80"/>
        <v>Wielkopolskie</v>
      </c>
      <c r="C659" t="str">
        <f t="shared" si="81"/>
        <v/>
      </c>
      <c r="D659" t="str">
        <f t="shared" si="82"/>
        <v/>
      </c>
      <c r="E659" t="str">
        <f t="shared" si="83"/>
        <v/>
      </c>
      <c r="F659" t="str">
        <f t="shared" si="86"/>
        <v/>
      </c>
      <c r="G659" t="str">
        <f t="shared" si="87"/>
        <v/>
      </c>
      <c r="H659" t="str">
        <f t="shared" si="84"/>
        <v/>
      </c>
      <c r="I659" t="str">
        <f t="shared" si="85"/>
        <v/>
      </c>
    </row>
    <row r="660" spans="2:9" hidden="1">
      <c r="B660" t="str">
        <f t="shared" si="80"/>
        <v>Wielkopolskie</v>
      </c>
      <c r="C660" t="str">
        <f t="shared" si="81"/>
        <v/>
      </c>
      <c r="D660" t="str">
        <f t="shared" si="82"/>
        <v/>
      </c>
      <c r="E660" t="str">
        <f t="shared" si="83"/>
        <v/>
      </c>
      <c r="F660" t="str">
        <f t="shared" si="86"/>
        <v/>
      </c>
      <c r="G660" t="str">
        <f t="shared" si="87"/>
        <v/>
      </c>
      <c r="H660" t="str">
        <f t="shared" si="84"/>
        <v/>
      </c>
      <c r="I660" t="str">
        <f t="shared" si="85"/>
        <v/>
      </c>
    </row>
    <row r="661" spans="2:9" hidden="1">
      <c r="B661" t="str">
        <f t="shared" si="80"/>
        <v>Wielkopolskie</v>
      </c>
      <c r="C661" t="str">
        <f t="shared" si="81"/>
        <v/>
      </c>
      <c r="D661" t="str">
        <f t="shared" si="82"/>
        <v/>
      </c>
      <c r="E661" t="str">
        <f t="shared" si="83"/>
        <v/>
      </c>
      <c r="F661" t="str">
        <f t="shared" si="86"/>
        <v/>
      </c>
      <c r="G661" t="str">
        <f t="shared" si="87"/>
        <v/>
      </c>
      <c r="H661" t="str">
        <f t="shared" si="84"/>
        <v/>
      </c>
      <c r="I661" t="str">
        <f t="shared" si="85"/>
        <v/>
      </c>
    </row>
    <row r="662" spans="2:9" hidden="1">
      <c r="B662" t="str">
        <f t="shared" si="80"/>
        <v>Wielkopolskie</v>
      </c>
      <c r="C662" t="str">
        <f t="shared" si="81"/>
        <v/>
      </c>
      <c r="D662" t="str">
        <f t="shared" si="82"/>
        <v/>
      </c>
      <c r="E662" t="str">
        <f t="shared" si="83"/>
        <v/>
      </c>
      <c r="F662" t="str">
        <f t="shared" si="86"/>
        <v/>
      </c>
      <c r="G662" t="str">
        <f t="shared" si="87"/>
        <v/>
      </c>
      <c r="H662" t="str">
        <f t="shared" si="84"/>
        <v/>
      </c>
      <c r="I662" t="str">
        <f t="shared" si="85"/>
        <v/>
      </c>
    </row>
    <row r="663" spans="2:9" hidden="1">
      <c r="B663" t="str">
        <f t="shared" si="80"/>
        <v>Wielkopolskie</v>
      </c>
      <c r="C663" t="str">
        <f t="shared" si="81"/>
        <v/>
      </c>
      <c r="D663" t="str">
        <f t="shared" si="82"/>
        <v/>
      </c>
      <c r="E663" t="str">
        <f t="shared" si="83"/>
        <v/>
      </c>
      <c r="F663" t="str">
        <f t="shared" si="86"/>
        <v/>
      </c>
      <c r="G663" t="str">
        <f t="shared" si="87"/>
        <v/>
      </c>
      <c r="H663" t="str">
        <f t="shared" si="84"/>
        <v/>
      </c>
      <c r="I663" t="str">
        <f t="shared" si="85"/>
        <v/>
      </c>
    </row>
    <row r="664" spans="2:9" hidden="1">
      <c r="B664" t="str">
        <f t="shared" si="80"/>
        <v>Wielkopolskie</v>
      </c>
      <c r="C664" t="str">
        <f t="shared" si="81"/>
        <v/>
      </c>
      <c r="D664" t="str">
        <f t="shared" si="82"/>
        <v/>
      </c>
      <c r="E664" t="str">
        <f t="shared" si="83"/>
        <v/>
      </c>
      <c r="F664" t="str">
        <f t="shared" si="86"/>
        <v/>
      </c>
      <c r="G664" t="str">
        <f t="shared" si="87"/>
        <v/>
      </c>
      <c r="H664" t="str">
        <f t="shared" si="84"/>
        <v/>
      </c>
      <c r="I664" t="str">
        <f t="shared" si="85"/>
        <v/>
      </c>
    </row>
    <row r="665" spans="2:9" hidden="1">
      <c r="B665" t="str">
        <f t="shared" si="80"/>
        <v>Wielkopolskie</v>
      </c>
      <c r="C665" t="str">
        <f t="shared" si="81"/>
        <v/>
      </c>
      <c r="D665" t="str">
        <f t="shared" si="82"/>
        <v/>
      </c>
      <c r="E665" t="str">
        <f t="shared" si="83"/>
        <v/>
      </c>
      <c r="F665" t="str">
        <f t="shared" si="86"/>
        <v/>
      </c>
      <c r="G665" t="str">
        <f t="shared" si="87"/>
        <v/>
      </c>
      <c r="H665" t="str">
        <f t="shared" si="84"/>
        <v/>
      </c>
      <c r="I665" t="str">
        <f t="shared" si="85"/>
        <v/>
      </c>
    </row>
    <row r="666" spans="2:9" hidden="1">
      <c r="B666" t="str">
        <f t="shared" si="80"/>
        <v>Wielkopolskie</v>
      </c>
      <c r="C666" t="str">
        <f t="shared" si="81"/>
        <v/>
      </c>
      <c r="D666" t="str">
        <f t="shared" si="82"/>
        <v/>
      </c>
      <c r="E666" t="str">
        <f t="shared" si="83"/>
        <v/>
      </c>
      <c r="F666" t="str">
        <f t="shared" si="86"/>
        <v/>
      </c>
      <c r="G666" t="str">
        <f t="shared" si="87"/>
        <v/>
      </c>
      <c r="H666" t="str">
        <f t="shared" si="84"/>
        <v/>
      </c>
      <c r="I666" t="str">
        <f t="shared" si="85"/>
        <v/>
      </c>
    </row>
    <row r="667" spans="2:9" hidden="1">
      <c r="B667" t="str">
        <f t="shared" si="80"/>
        <v>Wielkopolskie</v>
      </c>
      <c r="C667" t="str">
        <f t="shared" si="81"/>
        <v/>
      </c>
      <c r="D667" t="str">
        <f t="shared" si="82"/>
        <v/>
      </c>
      <c r="E667" t="str">
        <f t="shared" si="83"/>
        <v/>
      </c>
      <c r="F667" t="str">
        <f t="shared" si="86"/>
        <v/>
      </c>
      <c r="G667" t="str">
        <f t="shared" si="87"/>
        <v/>
      </c>
      <c r="H667" t="str">
        <f t="shared" si="84"/>
        <v/>
      </c>
      <c r="I667" t="str">
        <f t="shared" si="85"/>
        <v/>
      </c>
    </row>
    <row r="668" spans="2:9" hidden="1">
      <c r="B668" t="str">
        <f t="shared" si="80"/>
        <v>Wielkopolskie</v>
      </c>
      <c r="C668" t="str">
        <f t="shared" si="81"/>
        <v/>
      </c>
      <c r="D668" t="str">
        <f t="shared" si="82"/>
        <v/>
      </c>
      <c r="E668" t="str">
        <f t="shared" si="83"/>
        <v/>
      </c>
      <c r="F668" t="str">
        <f t="shared" si="86"/>
        <v/>
      </c>
      <c r="G668" t="str">
        <f t="shared" si="87"/>
        <v/>
      </c>
      <c r="H668" t="str">
        <f t="shared" si="84"/>
        <v/>
      </c>
      <c r="I668" t="str">
        <f t="shared" si="85"/>
        <v/>
      </c>
    </row>
    <row r="669" spans="2:9" hidden="1">
      <c r="B669" t="str">
        <f t="shared" si="80"/>
        <v>Wielkopolskie</v>
      </c>
      <c r="C669" t="str">
        <f t="shared" si="81"/>
        <v/>
      </c>
      <c r="D669" t="str">
        <f t="shared" si="82"/>
        <v/>
      </c>
      <c r="E669" t="str">
        <f t="shared" si="83"/>
        <v/>
      </c>
      <c r="F669" t="str">
        <f t="shared" si="86"/>
        <v/>
      </c>
      <c r="G669" t="str">
        <f t="shared" si="87"/>
        <v/>
      </c>
      <c r="H669" t="str">
        <f t="shared" si="84"/>
        <v/>
      </c>
      <c r="I669" t="str">
        <f t="shared" si="85"/>
        <v/>
      </c>
    </row>
    <row r="670" spans="2:9" hidden="1">
      <c r="B670" t="str">
        <f t="shared" si="80"/>
        <v>Wielkopolskie</v>
      </c>
      <c r="C670" t="str">
        <f t="shared" si="81"/>
        <v/>
      </c>
      <c r="D670" t="str">
        <f t="shared" si="82"/>
        <v/>
      </c>
      <c r="E670" t="str">
        <f t="shared" si="83"/>
        <v/>
      </c>
      <c r="F670" t="str">
        <f t="shared" si="86"/>
        <v/>
      </c>
      <c r="G670" t="str">
        <f t="shared" si="87"/>
        <v/>
      </c>
      <c r="H670" t="str">
        <f t="shared" si="84"/>
        <v/>
      </c>
      <c r="I670" t="str">
        <f t="shared" si="85"/>
        <v/>
      </c>
    </row>
    <row r="671" spans="2:9" hidden="1">
      <c r="B671" t="str">
        <f t="shared" si="80"/>
        <v>Wielkopolskie</v>
      </c>
      <c r="C671" t="str">
        <f t="shared" si="81"/>
        <v/>
      </c>
      <c r="D671" t="str">
        <f t="shared" si="82"/>
        <v/>
      </c>
      <c r="E671" t="str">
        <f t="shared" si="83"/>
        <v/>
      </c>
      <c r="F671" t="str">
        <f t="shared" si="86"/>
        <v/>
      </c>
      <c r="G671" t="str">
        <f t="shared" si="87"/>
        <v/>
      </c>
      <c r="H671" t="str">
        <f t="shared" si="84"/>
        <v/>
      </c>
      <c r="I671" t="str">
        <f t="shared" si="85"/>
        <v/>
      </c>
    </row>
    <row r="672" spans="2:9" hidden="1">
      <c r="B672" t="str">
        <f t="shared" si="80"/>
        <v>Wielkopolskie</v>
      </c>
      <c r="C672" t="str">
        <f t="shared" si="81"/>
        <v/>
      </c>
      <c r="D672" t="str">
        <f t="shared" si="82"/>
        <v/>
      </c>
      <c r="E672" t="str">
        <f t="shared" si="83"/>
        <v/>
      </c>
      <c r="F672" t="str">
        <f t="shared" si="86"/>
        <v/>
      </c>
      <c r="G672" t="str">
        <f t="shared" si="87"/>
        <v/>
      </c>
      <c r="H672" t="str">
        <f t="shared" si="84"/>
        <v/>
      </c>
      <c r="I672" t="str">
        <f t="shared" si="85"/>
        <v/>
      </c>
    </row>
    <row r="673" spans="2:9" hidden="1">
      <c r="B673" t="str">
        <f t="shared" si="80"/>
        <v>Wielkopolskie</v>
      </c>
      <c r="C673" t="str">
        <f t="shared" si="81"/>
        <v/>
      </c>
      <c r="D673" t="str">
        <f t="shared" si="82"/>
        <v/>
      </c>
      <c r="E673" t="str">
        <f t="shared" si="83"/>
        <v/>
      </c>
      <c r="F673" t="str">
        <f t="shared" si="86"/>
        <v/>
      </c>
      <c r="G673" t="str">
        <f t="shared" si="87"/>
        <v/>
      </c>
      <c r="H673" t="str">
        <f t="shared" si="84"/>
        <v/>
      </c>
      <c r="I673" t="str">
        <f t="shared" si="85"/>
        <v/>
      </c>
    </row>
    <row r="674" spans="2:9" hidden="1">
      <c r="B674" t="str">
        <f t="shared" si="80"/>
        <v>Wielkopolskie</v>
      </c>
      <c r="C674" t="str">
        <f t="shared" si="81"/>
        <v/>
      </c>
      <c r="D674" t="str">
        <f t="shared" si="82"/>
        <v/>
      </c>
      <c r="E674" t="str">
        <f t="shared" si="83"/>
        <v/>
      </c>
      <c r="F674" t="str">
        <f t="shared" si="86"/>
        <v/>
      </c>
      <c r="G674" t="str">
        <f t="shared" si="87"/>
        <v/>
      </c>
      <c r="H674" t="str">
        <f t="shared" si="84"/>
        <v/>
      </c>
      <c r="I674" t="str">
        <f t="shared" si="85"/>
        <v/>
      </c>
    </row>
    <row r="675" spans="2:9" hidden="1">
      <c r="B675" t="str">
        <f t="shared" si="80"/>
        <v>Wielkopolskie</v>
      </c>
      <c r="C675" t="str">
        <f t="shared" si="81"/>
        <v/>
      </c>
      <c r="D675" t="str">
        <f t="shared" si="82"/>
        <v/>
      </c>
      <c r="E675" t="str">
        <f t="shared" si="83"/>
        <v/>
      </c>
      <c r="F675" t="str">
        <f t="shared" si="86"/>
        <v/>
      </c>
      <c r="G675" t="str">
        <f t="shared" si="87"/>
        <v/>
      </c>
      <c r="H675" t="str">
        <f t="shared" si="84"/>
        <v/>
      </c>
      <c r="I675" t="str">
        <f t="shared" si="85"/>
        <v/>
      </c>
    </row>
    <row r="676" spans="2:9" hidden="1">
      <c r="B676" t="str">
        <f t="shared" si="80"/>
        <v>Wielkopolskie</v>
      </c>
      <c r="C676" t="str">
        <f t="shared" si="81"/>
        <v/>
      </c>
      <c r="D676" t="str">
        <f t="shared" si="82"/>
        <v/>
      </c>
      <c r="E676" t="str">
        <f t="shared" si="83"/>
        <v/>
      </c>
      <c r="F676" t="str">
        <f t="shared" si="86"/>
        <v/>
      </c>
      <c r="G676" t="str">
        <f t="shared" si="87"/>
        <v/>
      </c>
      <c r="H676" t="str">
        <f t="shared" si="84"/>
        <v/>
      </c>
      <c r="I676" t="str">
        <f t="shared" si="85"/>
        <v/>
      </c>
    </row>
    <row r="677" spans="2:9" hidden="1">
      <c r="B677" t="str">
        <f t="shared" si="80"/>
        <v>Wielkopolskie</v>
      </c>
      <c r="C677" t="str">
        <f t="shared" si="81"/>
        <v/>
      </c>
      <c r="D677" t="str">
        <f t="shared" si="82"/>
        <v/>
      </c>
      <c r="E677" t="str">
        <f t="shared" si="83"/>
        <v/>
      </c>
      <c r="F677" t="str">
        <f t="shared" si="86"/>
        <v/>
      </c>
      <c r="G677" t="str">
        <f t="shared" si="87"/>
        <v/>
      </c>
      <c r="H677" t="str">
        <f t="shared" si="84"/>
        <v/>
      </c>
      <c r="I677" t="str">
        <f t="shared" si="85"/>
        <v/>
      </c>
    </row>
    <row r="678" spans="2:9" hidden="1">
      <c r="B678" t="str">
        <f t="shared" si="80"/>
        <v>Wielkopolskie</v>
      </c>
      <c r="C678" t="str">
        <f t="shared" si="81"/>
        <v/>
      </c>
      <c r="D678" t="str">
        <f t="shared" si="82"/>
        <v/>
      </c>
      <c r="E678" t="str">
        <f t="shared" si="83"/>
        <v/>
      </c>
      <c r="F678" t="str">
        <f t="shared" si="86"/>
        <v/>
      </c>
      <c r="G678" t="str">
        <f t="shared" si="87"/>
        <v/>
      </c>
      <c r="H678" t="str">
        <f t="shared" si="84"/>
        <v/>
      </c>
      <c r="I678" t="str">
        <f t="shared" si="85"/>
        <v/>
      </c>
    </row>
    <row r="679" spans="2:9" hidden="1">
      <c r="B679" t="str">
        <f t="shared" si="80"/>
        <v>Wielkopolskie</v>
      </c>
      <c r="C679" t="str">
        <f t="shared" si="81"/>
        <v/>
      </c>
      <c r="D679" t="str">
        <f t="shared" si="82"/>
        <v/>
      </c>
      <c r="E679" t="str">
        <f t="shared" si="83"/>
        <v/>
      </c>
      <c r="F679" t="str">
        <f t="shared" si="86"/>
        <v/>
      </c>
      <c r="G679" t="str">
        <f t="shared" si="87"/>
        <v/>
      </c>
      <c r="H679" t="str">
        <f t="shared" si="84"/>
        <v/>
      </c>
      <c r="I679" t="str">
        <f t="shared" si="85"/>
        <v/>
      </c>
    </row>
    <row r="680" spans="2:9" hidden="1">
      <c r="B680" t="str">
        <f t="shared" si="80"/>
        <v>Wielkopolskie</v>
      </c>
      <c r="C680" t="str">
        <f t="shared" si="81"/>
        <v/>
      </c>
      <c r="D680" t="str">
        <f t="shared" si="82"/>
        <v/>
      </c>
      <c r="E680" t="str">
        <f t="shared" si="83"/>
        <v/>
      </c>
      <c r="F680" t="str">
        <f t="shared" si="86"/>
        <v/>
      </c>
      <c r="G680" t="str">
        <f t="shared" si="87"/>
        <v/>
      </c>
      <c r="H680" t="str">
        <f t="shared" si="84"/>
        <v/>
      </c>
      <c r="I680" t="str">
        <f t="shared" si="85"/>
        <v/>
      </c>
    </row>
    <row r="681" spans="2:9" hidden="1">
      <c r="B681" t="str">
        <f t="shared" si="80"/>
        <v>Wielkopolskie</v>
      </c>
      <c r="C681" t="str">
        <f t="shared" si="81"/>
        <v/>
      </c>
      <c r="D681" t="str">
        <f t="shared" si="82"/>
        <v/>
      </c>
      <c r="E681" t="str">
        <f t="shared" si="83"/>
        <v/>
      </c>
      <c r="F681" t="str">
        <f t="shared" si="86"/>
        <v/>
      </c>
      <c r="G681" t="str">
        <f t="shared" si="87"/>
        <v/>
      </c>
      <c r="H681" t="str">
        <f t="shared" si="84"/>
        <v/>
      </c>
      <c r="I681" t="str">
        <f t="shared" si="85"/>
        <v/>
      </c>
    </row>
    <row r="682" spans="2:9" hidden="1">
      <c r="B682" t="str">
        <f t="shared" si="80"/>
        <v>Wielkopolskie</v>
      </c>
      <c r="C682" t="str">
        <f t="shared" si="81"/>
        <v/>
      </c>
      <c r="D682" t="str">
        <f t="shared" si="82"/>
        <v/>
      </c>
      <c r="E682" t="str">
        <f t="shared" si="83"/>
        <v/>
      </c>
      <c r="F682" t="str">
        <f t="shared" si="86"/>
        <v/>
      </c>
      <c r="G682" t="str">
        <f t="shared" si="87"/>
        <v/>
      </c>
      <c r="H682" t="str">
        <f t="shared" si="84"/>
        <v/>
      </c>
      <c r="I682" t="str">
        <f t="shared" si="85"/>
        <v/>
      </c>
    </row>
    <row r="683" spans="2:9" hidden="1">
      <c r="B683" t="str">
        <f t="shared" si="80"/>
        <v>Wielkopolskie</v>
      </c>
      <c r="C683" t="str">
        <f t="shared" si="81"/>
        <v/>
      </c>
      <c r="D683" t="str">
        <f t="shared" si="82"/>
        <v/>
      </c>
      <c r="E683" t="str">
        <f t="shared" si="83"/>
        <v/>
      </c>
      <c r="F683" t="str">
        <f t="shared" si="86"/>
        <v/>
      </c>
      <c r="G683" t="str">
        <f t="shared" si="87"/>
        <v/>
      </c>
      <c r="H683" t="str">
        <f t="shared" si="84"/>
        <v/>
      </c>
      <c r="I683" t="str">
        <f t="shared" si="85"/>
        <v/>
      </c>
    </row>
    <row r="684" spans="2:9" hidden="1">
      <c r="B684" t="str">
        <f t="shared" si="80"/>
        <v>Wielkopolskie</v>
      </c>
      <c r="C684" t="str">
        <f t="shared" si="81"/>
        <v/>
      </c>
      <c r="D684" t="str">
        <f t="shared" si="82"/>
        <v/>
      </c>
      <c r="E684" t="str">
        <f t="shared" si="83"/>
        <v/>
      </c>
      <c r="F684" t="str">
        <f t="shared" si="86"/>
        <v/>
      </c>
      <c r="G684" t="str">
        <f t="shared" si="87"/>
        <v/>
      </c>
      <c r="H684" t="str">
        <f t="shared" si="84"/>
        <v/>
      </c>
      <c r="I684" t="str">
        <f t="shared" si="85"/>
        <v/>
      </c>
    </row>
    <row r="685" spans="2:9" hidden="1">
      <c r="B685" t="str">
        <f t="shared" si="80"/>
        <v>Wielkopolskie</v>
      </c>
      <c r="C685" t="str">
        <f t="shared" si="81"/>
        <v/>
      </c>
      <c r="D685" t="str">
        <f t="shared" si="82"/>
        <v/>
      </c>
      <c r="E685" t="str">
        <f t="shared" si="83"/>
        <v/>
      </c>
      <c r="F685" t="str">
        <f t="shared" si="86"/>
        <v/>
      </c>
      <c r="G685" t="str">
        <f t="shared" si="87"/>
        <v/>
      </c>
      <c r="H685" t="str">
        <f t="shared" si="84"/>
        <v/>
      </c>
      <c r="I685" t="str">
        <f t="shared" si="85"/>
        <v/>
      </c>
    </row>
    <row r="686" spans="2:9" hidden="1">
      <c r="B686" t="str">
        <f t="shared" si="80"/>
        <v>Wielkopolskie</v>
      </c>
      <c r="C686" t="str">
        <f t="shared" si="81"/>
        <v/>
      </c>
      <c r="D686" t="str">
        <f t="shared" si="82"/>
        <v/>
      </c>
      <c r="E686" t="str">
        <f t="shared" si="83"/>
        <v/>
      </c>
      <c r="F686" t="str">
        <f t="shared" si="86"/>
        <v/>
      </c>
      <c r="G686" t="str">
        <f t="shared" si="87"/>
        <v/>
      </c>
      <c r="H686" t="str">
        <f t="shared" si="84"/>
        <v/>
      </c>
      <c r="I686" t="str">
        <f t="shared" si="85"/>
        <v/>
      </c>
    </row>
    <row r="687" spans="2:9" hidden="1">
      <c r="B687" t="str">
        <f t="shared" si="80"/>
        <v>Wielkopolskie</v>
      </c>
      <c r="C687" t="str">
        <f t="shared" si="81"/>
        <v/>
      </c>
      <c r="D687" t="str">
        <f t="shared" si="82"/>
        <v/>
      </c>
      <c r="E687" t="str">
        <f t="shared" si="83"/>
        <v/>
      </c>
      <c r="F687" t="str">
        <f t="shared" si="86"/>
        <v/>
      </c>
      <c r="G687" t="str">
        <f t="shared" si="87"/>
        <v/>
      </c>
      <c r="H687" t="str">
        <f t="shared" si="84"/>
        <v/>
      </c>
      <c r="I687" t="str">
        <f t="shared" si="85"/>
        <v/>
      </c>
    </row>
    <row r="688" spans="2:9" hidden="1">
      <c r="B688" t="str">
        <f t="shared" si="80"/>
        <v>Wielkopolskie</v>
      </c>
      <c r="C688" t="str">
        <f t="shared" si="81"/>
        <v/>
      </c>
      <c r="D688" t="str">
        <f t="shared" si="82"/>
        <v/>
      </c>
      <c r="E688" t="str">
        <f t="shared" si="83"/>
        <v/>
      </c>
      <c r="F688" t="str">
        <f t="shared" si="86"/>
        <v/>
      </c>
      <c r="G688" t="str">
        <f t="shared" si="87"/>
        <v/>
      </c>
      <c r="H688" t="str">
        <f t="shared" si="84"/>
        <v/>
      </c>
      <c r="I688" t="str">
        <f t="shared" si="85"/>
        <v/>
      </c>
    </row>
    <row r="689" spans="2:9" hidden="1">
      <c r="B689" t="str">
        <f t="shared" si="80"/>
        <v>Wielkopolskie</v>
      </c>
      <c r="C689" t="str">
        <f t="shared" si="81"/>
        <v/>
      </c>
      <c r="D689" t="str">
        <f t="shared" si="82"/>
        <v/>
      </c>
      <c r="E689" t="str">
        <f t="shared" si="83"/>
        <v/>
      </c>
      <c r="F689" t="str">
        <f t="shared" si="86"/>
        <v/>
      </c>
      <c r="G689" t="str">
        <f t="shared" si="87"/>
        <v/>
      </c>
      <c r="H689" t="str">
        <f t="shared" si="84"/>
        <v/>
      </c>
      <c r="I689" t="str">
        <f t="shared" si="85"/>
        <v/>
      </c>
    </row>
    <row r="690" spans="2:9" hidden="1">
      <c r="B690" t="str">
        <f t="shared" si="80"/>
        <v>Wielkopolskie</v>
      </c>
      <c r="C690" t="str">
        <f t="shared" si="81"/>
        <v/>
      </c>
      <c r="D690" t="str">
        <f t="shared" si="82"/>
        <v/>
      </c>
      <c r="E690" t="str">
        <f t="shared" si="83"/>
        <v/>
      </c>
      <c r="F690" t="str">
        <f t="shared" si="86"/>
        <v/>
      </c>
      <c r="G690" t="str">
        <f t="shared" si="87"/>
        <v/>
      </c>
      <c r="H690" t="str">
        <f t="shared" si="84"/>
        <v/>
      </c>
      <c r="I690" t="str">
        <f t="shared" si="85"/>
        <v/>
      </c>
    </row>
    <row r="691" spans="2:9" hidden="1">
      <c r="B691" t="str">
        <f t="shared" si="80"/>
        <v>Wielkopolskie</v>
      </c>
      <c r="C691" t="str">
        <f t="shared" si="81"/>
        <v/>
      </c>
      <c r="D691" t="str">
        <f t="shared" si="82"/>
        <v/>
      </c>
      <c r="E691" t="str">
        <f t="shared" si="83"/>
        <v/>
      </c>
      <c r="F691" t="str">
        <f t="shared" si="86"/>
        <v/>
      </c>
      <c r="G691" t="str">
        <f t="shared" si="87"/>
        <v/>
      </c>
      <c r="H691" t="str">
        <f t="shared" si="84"/>
        <v/>
      </c>
      <c r="I691" t="str">
        <f t="shared" si="85"/>
        <v/>
      </c>
    </row>
    <row r="692" spans="2:9" hidden="1">
      <c r="B692" t="str">
        <f t="shared" si="80"/>
        <v>Wielkopolskie</v>
      </c>
      <c r="C692" t="str">
        <f t="shared" si="81"/>
        <v/>
      </c>
      <c r="D692" t="str">
        <f t="shared" si="82"/>
        <v/>
      </c>
      <c r="E692" t="str">
        <f t="shared" si="83"/>
        <v/>
      </c>
      <c r="F692" t="str">
        <f t="shared" si="86"/>
        <v/>
      </c>
      <c r="G692" t="str">
        <f t="shared" si="87"/>
        <v/>
      </c>
      <c r="H692" t="str">
        <f t="shared" si="84"/>
        <v/>
      </c>
      <c r="I692" t="str">
        <f t="shared" si="85"/>
        <v/>
      </c>
    </row>
    <row r="693" spans="2:9" hidden="1">
      <c r="B693" t="str">
        <f t="shared" si="80"/>
        <v>Wielkopolskie</v>
      </c>
      <c r="C693" t="str">
        <f t="shared" si="81"/>
        <v/>
      </c>
      <c r="D693" t="str">
        <f t="shared" si="82"/>
        <v/>
      </c>
      <c r="E693" t="str">
        <f t="shared" si="83"/>
        <v/>
      </c>
      <c r="F693" t="str">
        <f t="shared" si="86"/>
        <v/>
      </c>
      <c r="G693" t="str">
        <f t="shared" si="87"/>
        <v/>
      </c>
      <c r="H693" t="str">
        <f t="shared" si="84"/>
        <v/>
      </c>
      <c r="I693" t="str">
        <f t="shared" si="85"/>
        <v/>
      </c>
    </row>
    <row r="694" spans="2:9" hidden="1">
      <c r="B694" t="str">
        <f t="shared" si="80"/>
        <v>Wielkopolskie</v>
      </c>
      <c r="C694" t="str">
        <f t="shared" si="81"/>
        <v/>
      </c>
      <c r="D694" t="str">
        <f t="shared" si="82"/>
        <v/>
      </c>
      <c r="E694" t="str">
        <f t="shared" si="83"/>
        <v/>
      </c>
      <c r="F694" t="str">
        <f t="shared" si="86"/>
        <v/>
      </c>
      <c r="G694" t="str">
        <f t="shared" si="87"/>
        <v/>
      </c>
      <c r="H694" t="str">
        <f t="shared" si="84"/>
        <v/>
      </c>
      <c r="I694" t="str">
        <f t="shared" si="85"/>
        <v/>
      </c>
    </row>
    <row r="695" spans="2:9" hidden="1">
      <c r="B695" t="str">
        <f t="shared" si="80"/>
        <v>Wielkopolskie</v>
      </c>
      <c r="C695" t="str">
        <f t="shared" si="81"/>
        <v/>
      </c>
      <c r="D695" t="str">
        <f t="shared" si="82"/>
        <v/>
      </c>
      <c r="E695" t="str">
        <f t="shared" si="83"/>
        <v/>
      </c>
      <c r="F695" t="str">
        <f t="shared" si="86"/>
        <v/>
      </c>
      <c r="G695" t="str">
        <f t="shared" si="87"/>
        <v/>
      </c>
      <c r="H695" t="str">
        <f t="shared" si="84"/>
        <v/>
      </c>
      <c r="I695" t="str">
        <f t="shared" si="85"/>
        <v/>
      </c>
    </row>
    <row r="696" spans="2:9" hidden="1">
      <c r="B696" t="str">
        <f t="shared" si="80"/>
        <v>Wielkopolskie</v>
      </c>
      <c r="C696" t="str">
        <f t="shared" si="81"/>
        <v/>
      </c>
      <c r="D696" t="str">
        <f t="shared" si="82"/>
        <v/>
      </c>
      <c r="E696" t="str">
        <f t="shared" si="83"/>
        <v/>
      </c>
      <c r="F696" t="str">
        <f t="shared" si="86"/>
        <v/>
      </c>
      <c r="G696" t="str">
        <f t="shared" si="87"/>
        <v/>
      </c>
      <c r="H696" t="str">
        <f t="shared" si="84"/>
        <v/>
      </c>
      <c r="I696" t="str">
        <f t="shared" si="85"/>
        <v/>
      </c>
    </row>
    <row r="697" spans="2:9" hidden="1">
      <c r="B697" t="str">
        <f t="shared" si="80"/>
        <v>Wielkopolskie</v>
      </c>
      <c r="C697" t="str">
        <f t="shared" si="81"/>
        <v/>
      </c>
      <c r="D697" t="str">
        <f t="shared" si="82"/>
        <v/>
      </c>
      <c r="E697" t="str">
        <f t="shared" si="83"/>
        <v/>
      </c>
      <c r="F697" t="str">
        <f t="shared" si="86"/>
        <v/>
      </c>
      <c r="G697" t="str">
        <f t="shared" si="87"/>
        <v/>
      </c>
      <c r="H697" t="str">
        <f t="shared" si="84"/>
        <v/>
      </c>
      <c r="I697" t="str">
        <f t="shared" si="85"/>
        <v/>
      </c>
    </row>
    <row r="698" spans="2:9" hidden="1">
      <c r="B698" t="str">
        <f t="shared" si="80"/>
        <v>Wielkopolskie</v>
      </c>
      <c r="C698" t="str">
        <f t="shared" si="81"/>
        <v/>
      </c>
      <c r="D698" t="str">
        <f t="shared" si="82"/>
        <v/>
      </c>
      <c r="E698" t="str">
        <f t="shared" si="83"/>
        <v/>
      </c>
      <c r="F698" t="str">
        <f t="shared" si="86"/>
        <v/>
      </c>
      <c r="G698" t="str">
        <f t="shared" si="87"/>
        <v/>
      </c>
      <c r="H698" t="str">
        <f t="shared" si="84"/>
        <v/>
      </c>
      <c r="I698" t="str">
        <f t="shared" si="85"/>
        <v/>
      </c>
    </row>
    <row r="699" spans="2:9" hidden="1">
      <c r="B699" t="str">
        <f t="shared" si="80"/>
        <v>Wielkopolskie</v>
      </c>
      <c r="C699" t="str">
        <f t="shared" si="81"/>
        <v/>
      </c>
      <c r="D699" t="str">
        <f t="shared" si="82"/>
        <v/>
      </c>
      <c r="E699" t="str">
        <f t="shared" si="83"/>
        <v/>
      </c>
      <c r="F699" t="str">
        <f t="shared" si="86"/>
        <v/>
      </c>
      <c r="G699" t="str">
        <f t="shared" si="87"/>
        <v/>
      </c>
      <c r="H699" t="str">
        <f t="shared" si="84"/>
        <v/>
      </c>
      <c r="I699" t="str">
        <f t="shared" si="85"/>
        <v/>
      </c>
    </row>
    <row r="700" spans="2:9" hidden="1">
      <c r="B700" t="str">
        <f t="shared" si="80"/>
        <v>Wielkopolskie</v>
      </c>
      <c r="C700" t="str">
        <f t="shared" si="81"/>
        <v/>
      </c>
      <c r="D700" t="str">
        <f t="shared" si="82"/>
        <v/>
      </c>
      <c r="E700" t="str">
        <f t="shared" si="83"/>
        <v/>
      </c>
      <c r="F700" t="str">
        <f t="shared" si="86"/>
        <v/>
      </c>
      <c r="G700" t="str">
        <f t="shared" si="87"/>
        <v/>
      </c>
      <c r="H700" t="str">
        <f t="shared" si="84"/>
        <v/>
      </c>
      <c r="I700" t="str">
        <f t="shared" si="85"/>
        <v/>
      </c>
    </row>
    <row r="701" spans="2:9" hidden="1">
      <c r="B701" t="str">
        <f t="shared" si="80"/>
        <v>Wielkopolskie</v>
      </c>
      <c r="C701" t="str">
        <f t="shared" si="81"/>
        <v/>
      </c>
      <c r="D701" t="str">
        <f t="shared" si="82"/>
        <v/>
      </c>
      <c r="E701" t="str">
        <f t="shared" si="83"/>
        <v/>
      </c>
      <c r="F701" t="str">
        <f t="shared" si="86"/>
        <v/>
      </c>
      <c r="G701" t="str">
        <f t="shared" si="87"/>
        <v/>
      </c>
      <c r="H701" t="str">
        <f t="shared" si="84"/>
        <v/>
      </c>
      <c r="I701" t="str">
        <f t="shared" si="85"/>
        <v/>
      </c>
    </row>
    <row r="702" spans="2:9" hidden="1">
      <c r="B702" t="str">
        <f t="shared" si="80"/>
        <v>Wielkopolskie</v>
      </c>
      <c r="C702" t="str">
        <f t="shared" si="81"/>
        <v/>
      </c>
      <c r="D702" t="str">
        <f t="shared" si="82"/>
        <v/>
      </c>
      <c r="E702" t="str">
        <f t="shared" si="83"/>
        <v/>
      </c>
      <c r="F702" t="str">
        <f t="shared" si="86"/>
        <v/>
      </c>
      <c r="G702" t="str">
        <f t="shared" si="87"/>
        <v/>
      </c>
      <c r="H702" t="str">
        <f t="shared" si="84"/>
        <v/>
      </c>
      <c r="I702" t="str">
        <f t="shared" si="85"/>
        <v/>
      </c>
    </row>
    <row r="703" spans="2:9" hidden="1">
      <c r="B703" t="str">
        <f t="shared" si="80"/>
        <v>Wielkopolskie</v>
      </c>
      <c r="C703" t="str">
        <f t="shared" si="81"/>
        <v/>
      </c>
      <c r="D703" t="str">
        <f t="shared" si="82"/>
        <v/>
      </c>
      <c r="E703" t="str">
        <f t="shared" si="83"/>
        <v/>
      </c>
      <c r="F703" t="str">
        <f t="shared" si="86"/>
        <v/>
      </c>
      <c r="G703" t="str">
        <f t="shared" si="87"/>
        <v/>
      </c>
      <c r="H703" t="str">
        <f t="shared" si="84"/>
        <v/>
      </c>
      <c r="I703" t="str">
        <f t="shared" si="85"/>
        <v/>
      </c>
    </row>
    <row r="704" spans="2:9" hidden="1">
      <c r="B704" t="str">
        <f t="shared" si="80"/>
        <v>Wielkopolskie</v>
      </c>
      <c r="C704" t="str">
        <f t="shared" si="81"/>
        <v/>
      </c>
      <c r="D704" t="str">
        <f t="shared" si="82"/>
        <v/>
      </c>
      <c r="E704" t="str">
        <f t="shared" si="83"/>
        <v/>
      </c>
      <c r="F704" t="str">
        <f t="shared" si="86"/>
        <v/>
      </c>
      <c r="G704" t="str">
        <f t="shared" si="87"/>
        <v/>
      </c>
      <c r="H704" t="str">
        <f t="shared" si="84"/>
        <v/>
      </c>
      <c r="I704" t="str">
        <f t="shared" si="85"/>
        <v/>
      </c>
    </row>
    <row r="705" spans="2:9" hidden="1">
      <c r="B705" t="str">
        <f t="shared" si="80"/>
        <v>Wielkopolskie</v>
      </c>
      <c r="C705" t="str">
        <f t="shared" si="81"/>
        <v/>
      </c>
      <c r="D705" t="str">
        <f t="shared" si="82"/>
        <v/>
      </c>
      <c r="E705" t="str">
        <f t="shared" si="83"/>
        <v/>
      </c>
      <c r="F705" t="str">
        <f t="shared" si="86"/>
        <v/>
      </c>
      <c r="G705" t="str">
        <f t="shared" si="87"/>
        <v/>
      </c>
      <c r="H705" t="str">
        <f t="shared" si="84"/>
        <v/>
      </c>
      <c r="I705" t="str">
        <f t="shared" si="85"/>
        <v/>
      </c>
    </row>
    <row r="706" spans="2:9" hidden="1">
      <c r="B706" t="str">
        <f t="shared" ref="B706:B716" si="88">+IF(AND(C706&gt;"",ISERR(FIND("DKK",A705))),A705,B705)</f>
        <v>Wielkopolskie</v>
      </c>
      <c r="C706" t="str">
        <f t="shared" ref="C706:C720" si="89">IF(ISERR(FIND($C$1,A706,1)),"",A706)</f>
        <v/>
      </c>
      <c r="D706" t="str">
        <f t="shared" ref="D706:D720" si="90">IF(C706&gt;"",A707,"")</f>
        <v/>
      </c>
      <c r="E706" t="str">
        <f t="shared" ref="E706:E720" si="91">IF(C706&gt;"",A708,"")</f>
        <v/>
      </c>
      <c r="F706" t="str">
        <f t="shared" si="86"/>
        <v/>
      </c>
      <c r="G706" t="str">
        <f t="shared" si="87"/>
        <v/>
      </c>
      <c r="H706" t="str">
        <f t="shared" ref="H706:H720" si="92">IF(E706&gt;"",IF(ISERR(FIND("DKK",A712)),"",A712),"")</f>
        <v/>
      </c>
      <c r="I706" t="str">
        <f t="shared" ref="I706:I720" si="93">IF(E706&gt;"",IF(ISERR(FIND("DKK",A713)),"",A713),"")</f>
        <v/>
      </c>
    </row>
    <row r="707" spans="2:9" hidden="1">
      <c r="B707" t="str">
        <f t="shared" si="88"/>
        <v>Wielkopolskie</v>
      </c>
      <c r="C707" t="str">
        <f t="shared" si="89"/>
        <v/>
      </c>
      <c r="D707" t="str">
        <f t="shared" si="90"/>
        <v/>
      </c>
      <c r="E707" t="str">
        <f t="shared" si="91"/>
        <v/>
      </c>
      <c r="F707" t="str">
        <f t="shared" ref="F707:F720" si="94">IF(C707&gt;"",MID(A711,FIND("tel.",A711)+5,15),"")</f>
        <v/>
      </c>
      <c r="G707" t="str">
        <f t="shared" ref="G707:G720" si="95">IF(E707&gt;"",MID(A710,FIND("mail:",A710)+6,100),"")</f>
        <v/>
      </c>
      <c r="H707" t="str">
        <f t="shared" si="92"/>
        <v/>
      </c>
      <c r="I707" t="str">
        <f t="shared" si="93"/>
        <v/>
      </c>
    </row>
    <row r="708" spans="2:9" hidden="1">
      <c r="B708" t="str">
        <f t="shared" si="88"/>
        <v>Wielkopolskie</v>
      </c>
      <c r="C708" t="str">
        <f t="shared" si="89"/>
        <v/>
      </c>
      <c r="D708" t="str">
        <f t="shared" si="90"/>
        <v/>
      </c>
      <c r="E708" t="str">
        <f t="shared" si="91"/>
        <v/>
      </c>
      <c r="F708" t="str">
        <f t="shared" si="94"/>
        <v/>
      </c>
      <c r="G708" t="str">
        <f t="shared" si="95"/>
        <v/>
      </c>
      <c r="H708" t="str">
        <f t="shared" si="92"/>
        <v/>
      </c>
      <c r="I708" t="str">
        <f t="shared" si="93"/>
        <v/>
      </c>
    </row>
    <row r="709" spans="2:9" hidden="1">
      <c r="B709" t="str">
        <f t="shared" si="88"/>
        <v>Wielkopolskie</v>
      </c>
      <c r="C709" t="str">
        <f t="shared" si="89"/>
        <v/>
      </c>
      <c r="D709" t="str">
        <f t="shared" si="90"/>
        <v/>
      </c>
      <c r="E709" t="str">
        <f t="shared" si="91"/>
        <v/>
      </c>
      <c r="F709" t="str">
        <f t="shared" si="94"/>
        <v/>
      </c>
      <c r="G709" t="str">
        <f t="shared" si="95"/>
        <v/>
      </c>
      <c r="H709" t="str">
        <f t="shared" si="92"/>
        <v/>
      </c>
      <c r="I709" t="str">
        <f t="shared" si="93"/>
        <v/>
      </c>
    </row>
    <row r="710" spans="2:9" hidden="1">
      <c r="B710" t="str">
        <f t="shared" si="88"/>
        <v>Wielkopolskie</v>
      </c>
      <c r="C710" t="str">
        <f t="shared" si="89"/>
        <v/>
      </c>
      <c r="D710" t="str">
        <f t="shared" si="90"/>
        <v/>
      </c>
      <c r="E710" t="str">
        <f t="shared" si="91"/>
        <v/>
      </c>
      <c r="F710" t="str">
        <f t="shared" si="94"/>
        <v/>
      </c>
      <c r="G710" t="str">
        <f t="shared" si="95"/>
        <v/>
      </c>
      <c r="H710" t="str">
        <f t="shared" si="92"/>
        <v/>
      </c>
      <c r="I710" t="str">
        <f t="shared" si="93"/>
        <v/>
      </c>
    </row>
    <row r="711" spans="2:9" hidden="1">
      <c r="B711" t="str">
        <f t="shared" si="88"/>
        <v>Wielkopolskie</v>
      </c>
      <c r="C711" t="str">
        <f t="shared" si="89"/>
        <v/>
      </c>
      <c r="D711" t="str">
        <f t="shared" si="90"/>
        <v/>
      </c>
      <c r="E711" t="str">
        <f t="shared" si="91"/>
        <v/>
      </c>
      <c r="F711" t="str">
        <f t="shared" si="94"/>
        <v/>
      </c>
      <c r="G711" t="str">
        <f t="shared" si="95"/>
        <v/>
      </c>
      <c r="H711" t="str">
        <f t="shared" si="92"/>
        <v/>
      </c>
      <c r="I711" t="str">
        <f t="shared" si="93"/>
        <v/>
      </c>
    </row>
    <row r="712" spans="2:9" hidden="1">
      <c r="B712" t="str">
        <f t="shared" si="88"/>
        <v>Wielkopolskie</v>
      </c>
      <c r="C712" t="str">
        <f t="shared" si="89"/>
        <v/>
      </c>
      <c r="D712" t="str">
        <f t="shared" si="90"/>
        <v/>
      </c>
      <c r="E712" t="str">
        <f t="shared" si="91"/>
        <v/>
      </c>
      <c r="F712" t="str">
        <f t="shared" si="94"/>
        <v/>
      </c>
      <c r="G712" t="str">
        <f t="shared" si="95"/>
        <v/>
      </c>
      <c r="H712" t="str">
        <f t="shared" si="92"/>
        <v/>
      </c>
      <c r="I712" t="str">
        <f t="shared" si="93"/>
        <v/>
      </c>
    </row>
    <row r="713" spans="2:9" hidden="1">
      <c r="B713" t="str">
        <f t="shared" si="88"/>
        <v>Wielkopolskie</v>
      </c>
      <c r="C713" t="str">
        <f t="shared" si="89"/>
        <v/>
      </c>
      <c r="D713" t="str">
        <f t="shared" si="90"/>
        <v/>
      </c>
      <c r="E713" t="str">
        <f t="shared" si="91"/>
        <v/>
      </c>
      <c r="F713" t="str">
        <f t="shared" si="94"/>
        <v/>
      </c>
      <c r="G713" t="str">
        <f t="shared" si="95"/>
        <v/>
      </c>
      <c r="H713" t="str">
        <f t="shared" si="92"/>
        <v/>
      </c>
      <c r="I713" t="str">
        <f t="shared" si="93"/>
        <v/>
      </c>
    </row>
    <row r="714" spans="2:9" hidden="1">
      <c r="B714" t="str">
        <f t="shared" si="88"/>
        <v>Wielkopolskie</v>
      </c>
      <c r="C714" t="str">
        <f t="shared" si="89"/>
        <v/>
      </c>
      <c r="D714" t="str">
        <f t="shared" si="90"/>
        <v/>
      </c>
      <c r="E714" t="str">
        <f t="shared" si="91"/>
        <v/>
      </c>
      <c r="F714" t="str">
        <f t="shared" si="94"/>
        <v/>
      </c>
      <c r="G714" t="str">
        <f t="shared" si="95"/>
        <v/>
      </c>
      <c r="H714" t="str">
        <f t="shared" si="92"/>
        <v/>
      </c>
      <c r="I714" t="str">
        <f t="shared" si="93"/>
        <v/>
      </c>
    </row>
    <row r="715" spans="2:9" hidden="1">
      <c r="B715" t="str">
        <f t="shared" si="88"/>
        <v>Wielkopolskie</v>
      </c>
      <c r="C715" t="str">
        <f t="shared" si="89"/>
        <v/>
      </c>
      <c r="D715" t="str">
        <f t="shared" si="90"/>
        <v/>
      </c>
      <c r="E715" t="str">
        <f t="shared" si="91"/>
        <v/>
      </c>
      <c r="F715" t="str">
        <f t="shared" si="94"/>
        <v/>
      </c>
      <c r="G715" t="str">
        <f t="shared" si="95"/>
        <v/>
      </c>
      <c r="H715" t="str">
        <f t="shared" si="92"/>
        <v/>
      </c>
      <c r="I715" t="str">
        <f t="shared" si="93"/>
        <v/>
      </c>
    </row>
    <row r="716" spans="2:9" hidden="1">
      <c r="B716" t="str">
        <f t="shared" si="88"/>
        <v>Wielkopolskie</v>
      </c>
      <c r="C716" t="str">
        <f t="shared" si="89"/>
        <v/>
      </c>
      <c r="D716" t="str">
        <f t="shared" si="90"/>
        <v/>
      </c>
      <c r="E716" t="str">
        <f t="shared" si="91"/>
        <v/>
      </c>
      <c r="F716" t="str">
        <f t="shared" si="94"/>
        <v/>
      </c>
      <c r="G716" t="str">
        <f t="shared" si="95"/>
        <v/>
      </c>
      <c r="H716" t="str">
        <f t="shared" si="92"/>
        <v/>
      </c>
      <c r="I716" t="str">
        <f t="shared" si="93"/>
        <v/>
      </c>
    </row>
    <row r="717" spans="2:9" hidden="1">
      <c r="C717" t="str">
        <f t="shared" si="89"/>
        <v/>
      </c>
      <c r="D717" t="str">
        <f t="shared" si="90"/>
        <v/>
      </c>
      <c r="E717" t="str">
        <f t="shared" si="91"/>
        <v/>
      </c>
      <c r="F717" t="str">
        <f t="shared" si="94"/>
        <v/>
      </c>
      <c r="G717" t="str">
        <f t="shared" si="95"/>
        <v/>
      </c>
      <c r="H717" t="str">
        <f t="shared" si="92"/>
        <v/>
      </c>
      <c r="I717" t="str">
        <f t="shared" si="93"/>
        <v/>
      </c>
    </row>
    <row r="718" spans="2:9" hidden="1">
      <c r="C718" t="str">
        <f t="shared" si="89"/>
        <v/>
      </c>
      <c r="D718" t="str">
        <f t="shared" si="90"/>
        <v/>
      </c>
      <c r="E718" t="str">
        <f t="shared" si="91"/>
        <v/>
      </c>
      <c r="F718" t="str">
        <f t="shared" si="94"/>
        <v/>
      </c>
      <c r="G718" t="str">
        <f t="shared" si="95"/>
        <v/>
      </c>
      <c r="H718" t="str">
        <f t="shared" si="92"/>
        <v/>
      </c>
      <c r="I718" t="str">
        <f t="shared" si="93"/>
        <v/>
      </c>
    </row>
    <row r="719" spans="2:9" hidden="1">
      <c r="C719" t="str">
        <f t="shared" si="89"/>
        <v/>
      </c>
      <c r="D719" t="str">
        <f t="shared" si="90"/>
        <v/>
      </c>
      <c r="E719" t="str">
        <f t="shared" si="91"/>
        <v/>
      </c>
      <c r="F719" t="str">
        <f t="shared" si="94"/>
        <v/>
      </c>
      <c r="G719" t="str">
        <f t="shared" si="95"/>
        <v/>
      </c>
      <c r="H719" t="str">
        <f t="shared" si="92"/>
        <v/>
      </c>
      <c r="I719" t="str">
        <f t="shared" si="93"/>
        <v/>
      </c>
    </row>
    <row r="720" spans="2:9" hidden="1">
      <c r="C720" t="str">
        <f t="shared" si="89"/>
        <v/>
      </c>
      <c r="D720" t="str">
        <f t="shared" si="90"/>
        <v/>
      </c>
      <c r="E720" t="str">
        <f t="shared" si="91"/>
        <v/>
      </c>
      <c r="F720" t="str">
        <f t="shared" si="94"/>
        <v/>
      </c>
      <c r="G720" t="str">
        <f t="shared" si="95"/>
        <v/>
      </c>
      <c r="H720" t="str">
        <f t="shared" si="92"/>
        <v/>
      </c>
      <c r="I720" t="str">
        <f t="shared" si="93"/>
        <v/>
      </c>
    </row>
  </sheetData>
  <autoFilter ref="A1:I720" xr:uid="{3BC3497B-0151-4F6C-B7D0-88F36E395C2B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Biblioteki</vt:lpstr>
      <vt:lpstr>Wpis</vt:lpstr>
      <vt:lpstr>DKK</vt:lpstr>
      <vt:lpstr>temp</vt:lpstr>
      <vt:lpstr>Koordynatorzy</vt:lpstr>
      <vt:lpstr>LibraCount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PKa</dc:creator>
  <cp:lastModifiedBy>PKa</cp:lastModifiedBy>
  <dcterms:created xsi:type="dcterms:W3CDTF">2020-10-30T08:48:41Z</dcterms:created>
  <dcterms:modified xsi:type="dcterms:W3CDTF">2021-03-10T14:51:41Z</dcterms:modified>
</cp:coreProperties>
</file>